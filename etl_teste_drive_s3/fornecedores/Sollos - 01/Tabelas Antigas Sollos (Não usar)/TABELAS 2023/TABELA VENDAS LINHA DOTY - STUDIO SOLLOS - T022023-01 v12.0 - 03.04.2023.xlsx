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SOLLOS BRASIL\"/>
    </mc:Choice>
  </mc:AlternateContent>
  <workbookProtection workbookPassword="FB1E" lockStructure="1"/>
  <bookViews>
    <workbookView xWindow="0" yWindow="0" windowWidth="24000" windowHeight="9735" activeTab="4"/>
  </bookViews>
  <sheets>
    <sheet name="CAPA Linha Doty" sheetId="1" r:id="rId1"/>
    <sheet name="Linha Doty" sheetId="2" r:id="rId2"/>
    <sheet name="Acabamentos" sheetId="3" r:id="rId3"/>
    <sheet name="Tecido Fornecido" sheetId="4" r:id="rId4"/>
    <sheet name="Classificação de Tecidos " sheetId="5" r:id="rId5"/>
    <sheet name="Política de Pagamento" sheetId="6" state="hidden" r:id="rId6"/>
  </sheets>
  <definedNames>
    <definedName name="_117" localSheetId="4">#REF!</definedName>
    <definedName name="_117" localSheetId="1">#REF!</definedName>
    <definedName name="_117" localSheetId="5">#REF!</definedName>
    <definedName name="_117" localSheetId="3">#REF!</definedName>
    <definedName name="_117">#REF!</definedName>
    <definedName name="_117br" localSheetId="1">#REF!</definedName>
    <definedName name="_117br" localSheetId="5">#REF!</definedName>
    <definedName name="_117br" localSheetId="3">#REF!</definedName>
    <definedName name="_117br">#REF!</definedName>
    <definedName name="_128" localSheetId="1">#REF!</definedName>
    <definedName name="_128" localSheetId="5">#REF!</definedName>
    <definedName name="_128" localSheetId="3">#REF!</definedName>
    <definedName name="_128">#REF!</definedName>
    <definedName name="_128br" localSheetId="1">#REF!</definedName>
    <definedName name="_128br" localSheetId="5">#REF!</definedName>
    <definedName name="_128br" localSheetId="3">#REF!</definedName>
    <definedName name="_128br">#REF!</definedName>
    <definedName name="_145" localSheetId="1">#REF!</definedName>
    <definedName name="_145" localSheetId="5">#REF!</definedName>
    <definedName name="_145" localSheetId="3">#REF!</definedName>
    <definedName name="_145">#REF!</definedName>
    <definedName name="_146" localSheetId="1">#REF!</definedName>
    <definedName name="_146" localSheetId="5">#REF!</definedName>
    <definedName name="_146" localSheetId="3">#REF!</definedName>
    <definedName name="_146">#REF!</definedName>
    <definedName name="_147" localSheetId="1">#REF!</definedName>
    <definedName name="_147" localSheetId="5">#REF!</definedName>
    <definedName name="_147" localSheetId="3">#REF!</definedName>
    <definedName name="_147">#REF!</definedName>
    <definedName name="_148" localSheetId="1">#REF!</definedName>
    <definedName name="_148" localSheetId="5">#REF!</definedName>
    <definedName name="_148" localSheetId="3">#REF!</definedName>
    <definedName name="_148">#REF!</definedName>
    <definedName name="_2762" localSheetId="1">#REF!</definedName>
    <definedName name="_2762" localSheetId="5">#REF!</definedName>
    <definedName name="_2762" localSheetId="3">#REF!</definedName>
    <definedName name="_2762">#REF!</definedName>
    <definedName name="_acess1" localSheetId="0">#REF!</definedName>
    <definedName name="_acess1" localSheetId="1">#REF!</definedName>
    <definedName name="_acess1" localSheetId="3">#REF!</definedName>
    <definedName name="_acess1">#REF!</definedName>
    <definedName name="_acess2" localSheetId="0">#REF!</definedName>
    <definedName name="_acess2" localSheetId="1">#REF!</definedName>
    <definedName name="_acess2" localSheetId="3">#REF!</definedName>
    <definedName name="_acess2">#REF!</definedName>
    <definedName name="_acess3" localSheetId="0">#REF!</definedName>
    <definedName name="_acess3" localSheetId="4">#REF!</definedName>
    <definedName name="_acess3" localSheetId="1">#REF!</definedName>
    <definedName name="_acess3" localSheetId="5">#REF!</definedName>
    <definedName name="_acess3" localSheetId="3">#REF!</definedName>
    <definedName name="_acess3">#REF!</definedName>
    <definedName name="_acess4" localSheetId="0">#REF!</definedName>
    <definedName name="_acess4" localSheetId="1">#REF!</definedName>
    <definedName name="_acess4" localSheetId="5">#REF!</definedName>
    <definedName name="_acess4" localSheetId="3">#REF!</definedName>
    <definedName name="_acess4">#REF!</definedName>
    <definedName name="_acess5" localSheetId="0">#REF!</definedName>
    <definedName name="_acess5" localSheetId="1">#REF!</definedName>
    <definedName name="_acess5" localSheetId="5">#REF!</definedName>
    <definedName name="_acess5" localSheetId="3">#REF!</definedName>
    <definedName name="_acess5">#REF!</definedName>
    <definedName name="_acess6" localSheetId="0">#REF!</definedName>
    <definedName name="_acess6" localSheetId="4">#REF!</definedName>
    <definedName name="_acess6" localSheetId="1">#REF!</definedName>
    <definedName name="_acess6" localSheetId="5">#REF!</definedName>
    <definedName name="_acess6" localSheetId="3">#REF!</definedName>
    <definedName name="_acess6">#REF!</definedName>
    <definedName name="_acess7" localSheetId="0">#REF!</definedName>
    <definedName name="_acess7" localSheetId="1">#REF!</definedName>
    <definedName name="_acess7" localSheetId="5">#REF!</definedName>
    <definedName name="_acess7">#REF!</definedName>
    <definedName name="_acess8" localSheetId="1">#REF!</definedName>
    <definedName name="_acess8" localSheetId="5">#REF!</definedName>
    <definedName name="_acess8">#REF!</definedName>
    <definedName name="_acess9" localSheetId="0">#REF!</definedName>
    <definedName name="_acess9" localSheetId="4">#REF!</definedName>
    <definedName name="_acess9" localSheetId="1">#REF!</definedName>
    <definedName name="_acess9" localSheetId="5">#REF!</definedName>
    <definedName name="_acess9" localSheetId="3">#REF!</definedName>
    <definedName name="_acess9">#REF!</definedName>
    <definedName name="_ade1" localSheetId="1">#REF!</definedName>
    <definedName name="_ade1" localSheetId="5">#REF!</definedName>
    <definedName name="_ade1" localSheetId="3">#REF!</definedName>
    <definedName name="_ade1">#REF!</definedName>
    <definedName name="_ade2" localSheetId="1">#REF!</definedName>
    <definedName name="_ade2" localSheetId="5">#REF!</definedName>
    <definedName name="_ade2" localSheetId="3">#REF!</definedName>
    <definedName name="_ade2">#REF!</definedName>
    <definedName name="_ade3" localSheetId="1">#REF!</definedName>
    <definedName name="_ade3" localSheetId="5">#REF!</definedName>
    <definedName name="_ade3" localSheetId="3">#REF!</definedName>
    <definedName name="_ade3">#REF!</definedName>
    <definedName name="_ade4" localSheetId="1">#REF!</definedName>
    <definedName name="_ade4" localSheetId="5">#REF!</definedName>
    <definedName name="_ade4" localSheetId="3">#REF!</definedName>
    <definedName name="_ade4">#REF!</definedName>
    <definedName name="_ade5" localSheetId="1">#REF!</definedName>
    <definedName name="_ade5" localSheetId="5">#REF!</definedName>
    <definedName name="_ade5" localSheetId="3">#REF!</definedName>
    <definedName name="_ade5">#REF!</definedName>
    <definedName name="_aer1" localSheetId="1">#REF!</definedName>
    <definedName name="_aer1">#REF!</definedName>
    <definedName name="_aer10" localSheetId="0">#REF!</definedName>
    <definedName name="_aer10" localSheetId="4">#REF!</definedName>
    <definedName name="_aer10" localSheetId="1">#REF!</definedName>
    <definedName name="_aer10" localSheetId="5">#REF!</definedName>
    <definedName name="_aer10" localSheetId="3">#REF!</definedName>
    <definedName name="_aer10">#REF!</definedName>
    <definedName name="_aer11" localSheetId="0">#REF!</definedName>
    <definedName name="_aer11" localSheetId="4">#REF!</definedName>
    <definedName name="_aer11" localSheetId="1">#REF!</definedName>
    <definedName name="_aer11" localSheetId="5">#REF!</definedName>
    <definedName name="_aer11" localSheetId="3">#REF!</definedName>
    <definedName name="_aer11">#REF!</definedName>
    <definedName name="_aer12" localSheetId="0">#REF!</definedName>
    <definedName name="_aer12" localSheetId="4">#REF!</definedName>
    <definedName name="_aer12" localSheetId="1">#REF!</definedName>
    <definedName name="_aer12" localSheetId="5">#REF!</definedName>
    <definedName name="_aer12" localSheetId="3">#REF!</definedName>
    <definedName name="_aer12">#REF!</definedName>
    <definedName name="_aer13" localSheetId="0">#REF!</definedName>
    <definedName name="_aer13" localSheetId="4">#REF!</definedName>
    <definedName name="_aer13" localSheetId="1">#REF!</definedName>
    <definedName name="_aer13" localSheetId="5">#REF!</definedName>
    <definedName name="_aer13" localSheetId="3">#REF!</definedName>
    <definedName name="_aer13">#REF!</definedName>
    <definedName name="_aer14" localSheetId="0">#REF!</definedName>
    <definedName name="_aer14" localSheetId="4">#REF!</definedName>
    <definedName name="_aer14" localSheetId="1">#REF!</definedName>
    <definedName name="_aer14" localSheetId="5">#REF!</definedName>
    <definedName name="_aer14" localSheetId="3">#REF!</definedName>
    <definedName name="_aer14">#REF!</definedName>
    <definedName name="_aer15" localSheetId="0">#REF!</definedName>
    <definedName name="_aer15" localSheetId="4">#REF!</definedName>
    <definedName name="_aer15" localSheetId="1">#REF!</definedName>
    <definedName name="_aer15" localSheetId="5">#REF!</definedName>
    <definedName name="_aer15" localSheetId="3">#REF!</definedName>
    <definedName name="_aer15">#REF!</definedName>
    <definedName name="_aer16" localSheetId="0">#REF!</definedName>
    <definedName name="_aer16" localSheetId="4">#REF!</definedName>
    <definedName name="_aer16" localSheetId="1">#REF!</definedName>
    <definedName name="_aer16" localSheetId="5">#REF!</definedName>
    <definedName name="_aer16" localSheetId="3">#REF!</definedName>
    <definedName name="_aer16">#REF!</definedName>
    <definedName name="_aer17" localSheetId="0">#REF!</definedName>
    <definedName name="_aer17" localSheetId="4">#REF!</definedName>
    <definedName name="_aer17" localSheetId="1">#REF!</definedName>
    <definedName name="_aer17" localSheetId="5">#REF!</definedName>
    <definedName name="_aer17" localSheetId="3">#REF!</definedName>
    <definedName name="_aer17">#REF!</definedName>
    <definedName name="_aer18" localSheetId="0">#REF!</definedName>
    <definedName name="_aer18" localSheetId="4">#REF!</definedName>
    <definedName name="_aer18" localSheetId="1">#REF!</definedName>
    <definedName name="_aer18" localSheetId="5">#REF!</definedName>
    <definedName name="_aer18" localSheetId="3">#REF!</definedName>
    <definedName name="_aer18">#REF!</definedName>
    <definedName name="_aer19" localSheetId="0">#REF!</definedName>
    <definedName name="_aer19" localSheetId="4">#REF!</definedName>
    <definedName name="_aer19" localSheetId="1">#REF!</definedName>
    <definedName name="_aer19" localSheetId="5">#REF!</definedName>
    <definedName name="_aer19" localSheetId="3">#REF!</definedName>
    <definedName name="_aer19">#REF!</definedName>
    <definedName name="_aer2" localSheetId="4">#REF!</definedName>
    <definedName name="_aer2" localSheetId="1">#REF!</definedName>
    <definedName name="_aer2" localSheetId="5">#REF!</definedName>
    <definedName name="_aer2" localSheetId="3">#REF!</definedName>
    <definedName name="_aer2">#REF!</definedName>
    <definedName name="_aer20" localSheetId="0">#REF!</definedName>
    <definedName name="_aer20" localSheetId="4">#REF!</definedName>
    <definedName name="_aer20" localSheetId="1">#REF!</definedName>
    <definedName name="_aer20" localSheetId="5">#REF!</definedName>
    <definedName name="_aer20" localSheetId="3">#REF!</definedName>
    <definedName name="_aer20">#REF!</definedName>
    <definedName name="_aer21" localSheetId="0">#REF!</definedName>
    <definedName name="_aer21" localSheetId="4">#REF!</definedName>
    <definedName name="_aer21" localSheetId="1">#REF!</definedName>
    <definedName name="_aer21" localSheetId="5">#REF!</definedName>
    <definedName name="_aer21" localSheetId="3">#REF!</definedName>
    <definedName name="_aer21">#REF!</definedName>
    <definedName name="_aer22" localSheetId="0">#REF!</definedName>
    <definedName name="_aer22" localSheetId="4">#REF!</definedName>
    <definedName name="_aer22" localSheetId="1">#REF!</definedName>
    <definedName name="_aer22" localSheetId="5">#REF!</definedName>
    <definedName name="_aer22" localSheetId="3">#REF!</definedName>
    <definedName name="_aer22">#REF!</definedName>
    <definedName name="_aer23" localSheetId="0">#REF!</definedName>
    <definedName name="_aer23" localSheetId="4">#REF!</definedName>
    <definedName name="_aer23" localSheetId="1">#REF!</definedName>
    <definedName name="_aer23" localSheetId="5">#REF!</definedName>
    <definedName name="_aer23" localSheetId="3">#REF!</definedName>
    <definedName name="_aer23">#REF!</definedName>
    <definedName name="_aer24" localSheetId="0">#REF!</definedName>
    <definedName name="_aer24" localSheetId="4">#REF!</definedName>
    <definedName name="_aer24" localSheetId="1">#REF!</definedName>
    <definedName name="_aer24" localSheetId="5">#REF!</definedName>
    <definedName name="_aer24" localSheetId="3">#REF!</definedName>
    <definedName name="_aer24">#REF!</definedName>
    <definedName name="_aer25" localSheetId="0">#REF!</definedName>
    <definedName name="_aer25" localSheetId="4">#REF!</definedName>
    <definedName name="_aer25" localSheetId="1">#REF!</definedName>
    <definedName name="_aer25" localSheetId="5">#REF!</definedName>
    <definedName name="_aer25" localSheetId="3">#REF!</definedName>
    <definedName name="_aer25">#REF!</definedName>
    <definedName name="_aer26" localSheetId="0">#REF!</definedName>
    <definedName name="_aer26" localSheetId="4">#REF!</definedName>
    <definedName name="_aer26" localSheetId="1">#REF!</definedName>
    <definedName name="_aer26" localSheetId="5">#REF!</definedName>
    <definedName name="_aer26" localSheetId="3">#REF!</definedName>
    <definedName name="_aer26">#REF!</definedName>
    <definedName name="_aer27" localSheetId="0">#REF!</definedName>
    <definedName name="_aer27" localSheetId="4">#REF!</definedName>
    <definedName name="_aer27" localSheetId="1">#REF!</definedName>
    <definedName name="_aer27" localSheetId="5">#REF!</definedName>
    <definedName name="_aer27" localSheetId="3">#REF!</definedName>
    <definedName name="_aer27">#REF!</definedName>
    <definedName name="_aer28" localSheetId="0">#REF!</definedName>
    <definedName name="_aer28" localSheetId="4">#REF!</definedName>
    <definedName name="_aer28" localSheetId="1">#REF!</definedName>
    <definedName name="_aer28" localSheetId="5">#REF!</definedName>
    <definedName name="_aer28" localSheetId="3">#REF!</definedName>
    <definedName name="_aer28">#REF!</definedName>
    <definedName name="_aer29" localSheetId="0">#REF!</definedName>
    <definedName name="_aer29" localSheetId="4">#REF!</definedName>
    <definedName name="_aer29" localSheetId="1">#REF!</definedName>
    <definedName name="_aer29" localSheetId="5">#REF!</definedName>
    <definedName name="_aer29" localSheetId="3">#REF!</definedName>
    <definedName name="_aer29">#REF!</definedName>
    <definedName name="_aer3" localSheetId="4">#REF!</definedName>
    <definedName name="_aer3" localSheetId="1">#REF!</definedName>
    <definedName name="_aer3" localSheetId="5">#REF!</definedName>
    <definedName name="_aer3" localSheetId="3">#REF!</definedName>
    <definedName name="_aer3">#REF!</definedName>
    <definedName name="_aer30" localSheetId="0">#REF!</definedName>
    <definedName name="_aer30" localSheetId="4">#REF!</definedName>
    <definedName name="_aer30" localSheetId="1">#REF!</definedName>
    <definedName name="_aer30" localSheetId="5">#REF!</definedName>
    <definedName name="_aer30" localSheetId="3">#REF!</definedName>
    <definedName name="_aer30">#REF!</definedName>
    <definedName name="_aer31" localSheetId="0">#REF!</definedName>
    <definedName name="_aer31" localSheetId="4">#REF!</definedName>
    <definedName name="_aer31" localSheetId="1">#REF!</definedName>
    <definedName name="_aer31" localSheetId="5">#REF!</definedName>
    <definedName name="_aer31" localSheetId="3">#REF!</definedName>
    <definedName name="_aer31">#REF!</definedName>
    <definedName name="_aer32" localSheetId="4">#REF!</definedName>
    <definedName name="_aer32" localSheetId="1">#REF!</definedName>
    <definedName name="_aer32" localSheetId="5">#REF!</definedName>
    <definedName name="_aer32" localSheetId="3">#REF!</definedName>
    <definedName name="_aer32">#REF!</definedName>
    <definedName name="_aer33" localSheetId="1">#REF!</definedName>
    <definedName name="_aer33">#REF!</definedName>
    <definedName name="_aer34" localSheetId="1">#REF!</definedName>
    <definedName name="_aer34">#REF!</definedName>
    <definedName name="_aer35" localSheetId="1">#REF!</definedName>
    <definedName name="_aer35">#REF!</definedName>
    <definedName name="_aer36" localSheetId="1">#REF!</definedName>
    <definedName name="_aer36">#REF!</definedName>
    <definedName name="_aer37" localSheetId="0">#REF!</definedName>
    <definedName name="_aer37" localSheetId="4">#REF!</definedName>
    <definedName name="_aer37" localSheetId="1">#REF!</definedName>
    <definedName name="_aer37" localSheetId="5">#REF!</definedName>
    <definedName name="_aer37" localSheetId="3">#REF!</definedName>
    <definedName name="_aer37">#REF!</definedName>
    <definedName name="_aer38" localSheetId="0">#REF!</definedName>
    <definedName name="_aer38" localSheetId="4">#REF!</definedName>
    <definedName name="_aer38" localSheetId="1">#REF!</definedName>
    <definedName name="_aer38" localSheetId="5">#REF!</definedName>
    <definedName name="_aer38" localSheetId="3">#REF!</definedName>
    <definedName name="_aer38">#REF!</definedName>
    <definedName name="_aer39" localSheetId="4">#REF!</definedName>
    <definedName name="_aer39" localSheetId="1">#REF!</definedName>
    <definedName name="_aer39" localSheetId="5">#REF!</definedName>
    <definedName name="_aer39" localSheetId="3">#REF!</definedName>
    <definedName name="_aer39">#REF!</definedName>
    <definedName name="_aer4" localSheetId="1">#REF!</definedName>
    <definedName name="_aer4">#REF!</definedName>
    <definedName name="_aer5" localSheetId="1">#REF!</definedName>
    <definedName name="_aer5">#REF!</definedName>
    <definedName name="_aer6" localSheetId="1">#REF!</definedName>
    <definedName name="_aer6">#REF!</definedName>
    <definedName name="_aer7" localSheetId="1">#REF!</definedName>
    <definedName name="_aer7">#REF!</definedName>
    <definedName name="_aer8" localSheetId="1">#REF!</definedName>
    <definedName name="_aer8">#REF!</definedName>
    <definedName name="_aer9" localSheetId="0">#REF!</definedName>
    <definedName name="_aer9" localSheetId="4">#REF!</definedName>
    <definedName name="_aer9" localSheetId="1">#REF!</definedName>
    <definedName name="_aer9" localSheetId="5">#REF!</definedName>
    <definedName name="_aer9" localSheetId="3">#REF!</definedName>
    <definedName name="_aer9">#REF!</definedName>
    <definedName name="_ap1" localSheetId="4">#REF!</definedName>
    <definedName name="_ap1" localSheetId="1">#REF!</definedName>
    <definedName name="_ap1" localSheetId="5">#REF!</definedName>
    <definedName name="_ap1" localSheetId="3">#REF!</definedName>
    <definedName name="_ap1">#REF!</definedName>
    <definedName name="_ap10" localSheetId="1">#REF!</definedName>
    <definedName name="_ap10">#REF!</definedName>
    <definedName name="_ap11" localSheetId="1">#REF!</definedName>
    <definedName name="_ap11">#REF!</definedName>
    <definedName name="_ap2" localSheetId="1">#REF!</definedName>
    <definedName name="_ap2">#REF!</definedName>
    <definedName name="_ap3" localSheetId="1">#REF!</definedName>
    <definedName name="_ap3">#REF!</definedName>
    <definedName name="_ap4" localSheetId="0">#REF!</definedName>
    <definedName name="_ap4" localSheetId="4">#REF!</definedName>
    <definedName name="_ap4" localSheetId="1">#REF!</definedName>
    <definedName name="_ap4" localSheetId="5">#REF!</definedName>
    <definedName name="_ap4" localSheetId="3">#REF!</definedName>
    <definedName name="_ap4">#REF!</definedName>
    <definedName name="_ap5" localSheetId="0">#REF!</definedName>
    <definedName name="_ap5" localSheetId="1">#REF!</definedName>
    <definedName name="_ap5" localSheetId="5">#REF!</definedName>
    <definedName name="_ap5">#REF!</definedName>
    <definedName name="_ap6" localSheetId="1">#REF!</definedName>
    <definedName name="_ap6" localSheetId="5">#REF!</definedName>
    <definedName name="_ap6">#REF!</definedName>
    <definedName name="_ap7" localSheetId="1">#REF!</definedName>
    <definedName name="_ap7" localSheetId="5">#REF!</definedName>
    <definedName name="_ap7">#REF!</definedName>
    <definedName name="_ap8" localSheetId="1">#REF!</definedName>
    <definedName name="_ap8">#REF!</definedName>
    <definedName name="_ap9" localSheetId="1">#REF!</definedName>
    <definedName name="_ap9">#REF!</definedName>
    <definedName name="_b2761" localSheetId="1">#REF!</definedName>
    <definedName name="_b2761" localSheetId="5">#REF!</definedName>
    <definedName name="_b2761" localSheetId="3">#REF!</definedName>
    <definedName name="_b2761">#REF!</definedName>
    <definedName name="_bank1" localSheetId="1">#REF!</definedName>
    <definedName name="_bank1" localSheetId="5">#REF!</definedName>
    <definedName name="_bank1" localSheetId="3">#REF!</definedName>
    <definedName name="_bank1">#REF!</definedName>
    <definedName name="_bank10" localSheetId="0">#REF!</definedName>
    <definedName name="_bank10" localSheetId="4">#REF!</definedName>
    <definedName name="_bank10" localSheetId="1">#REF!</definedName>
    <definedName name="_bank10" localSheetId="5">#REF!</definedName>
    <definedName name="_bank10" localSheetId="3">#REF!</definedName>
    <definedName name="_bank10">#REF!</definedName>
    <definedName name="_bank11" localSheetId="0">#REF!</definedName>
    <definedName name="_bank11" localSheetId="4">#REF!</definedName>
    <definedName name="_bank11" localSheetId="1">#REF!</definedName>
    <definedName name="_bank11" localSheetId="5">#REF!</definedName>
    <definedName name="_bank11" localSheetId="3">#REF!</definedName>
    <definedName name="_bank11">#REF!</definedName>
    <definedName name="_bank12" localSheetId="0">#REF!</definedName>
    <definedName name="_bank12" localSheetId="4">#REF!</definedName>
    <definedName name="_bank12" localSheetId="1">#REF!</definedName>
    <definedName name="_bank12" localSheetId="5">#REF!</definedName>
    <definedName name="_bank12" localSheetId="3">#REF!</definedName>
    <definedName name="_bank12">#REF!</definedName>
    <definedName name="_bank13" localSheetId="1">#REF!</definedName>
    <definedName name="_bank13" localSheetId="5">#REF!</definedName>
    <definedName name="_bank13" localSheetId="3">#REF!</definedName>
    <definedName name="_bank13">#REF!</definedName>
    <definedName name="_bank14" localSheetId="1">#REF!</definedName>
    <definedName name="_bank14" localSheetId="5">#REF!</definedName>
    <definedName name="_bank14" localSheetId="3">#REF!</definedName>
    <definedName name="_bank14">#REF!</definedName>
    <definedName name="_bank15" localSheetId="1">#REF!</definedName>
    <definedName name="_bank15" localSheetId="5">#REF!</definedName>
    <definedName name="_bank15" localSheetId="3">#REF!</definedName>
    <definedName name="_bank15">#REF!</definedName>
    <definedName name="_bank16" localSheetId="1">#REF!</definedName>
    <definedName name="_bank16" localSheetId="5">#REF!</definedName>
    <definedName name="_bank16" localSheetId="3">#REF!</definedName>
    <definedName name="_bank16">#REF!</definedName>
    <definedName name="_bank17" localSheetId="0">#REF!</definedName>
    <definedName name="_bank17" localSheetId="4">#REF!</definedName>
    <definedName name="_bank17" localSheetId="1">#REF!</definedName>
    <definedName name="_bank17" localSheetId="5">#REF!</definedName>
    <definedName name="_bank17" localSheetId="3">#REF!</definedName>
    <definedName name="_bank17">#REF!</definedName>
    <definedName name="_bank18" localSheetId="0">#REF!</definedName>
    <definedName name="_bank18" localSheetId="4">#REF!</definedName>
    <definedName name="_bank18" localSheetId="1">#REF!</definedName>
    <definedName name="_bank18" localSheetId="5">#REF!</definedName>
    <definedName name="_bank18" localSheetId="3">#REF!</definedName>
    <definedName name="_bank18">#REF!</definedName>
    <definedName name="_bank19" localSheetId="0">#REF!</definedName>
    <definedName name="_bank19" localSheetId="4">#REF!</definedName>
    <definedName name="_bank19" localSheetId="1">#REF!</definedName>
    <definedName name="_bank19" localSheetId="5">#REF!</definedName>
    <definedName name="_bank19" localSheetId="3">#REF!</definedName>
    <definedName name="_bank19">#REF!</definedName>
    <definedName name="_bank2" localSheetId="1">#REF!</definedName>
    <definedName name="_bank2" localSheetId="5">#REF!</definedName>
    <definedName name="_bank2" localSheetId="3">#REF!</definedName>
    <definedName name="_bank2">#REF!</definedName>
    <definedName name="_bank20" localSheetId="1">#REF!</definedName>
    <definedName name="_bank20" localSheetId="5">#REF!</definedName>
    <definedName name="_bank20" localSheetId="3">#REF!</definedName>
    <definedName name="_bank20">#REF!</definedName>
    <definedName name="_bank21" localSheetId="0">#REF!</definedName>
    <definedName name="_bank21" localSheetId="4">#REF!</definedName>
    <definedName name="_bank21" localSheetId="1">#REF!</definedName>
    <definedName name="_bank21" localSheetId="5">#REF!</definedName>
    <definedName name="_bank21" localSheetId="3">#REF!</definedName>
    <definedName name="_bank21">#REF!</definedName>
    <definedName name="_bank3" localSheetId="1">#REF!</definedName>
    <definedName name="_bank3" localSheetId="5">#REF!</definedName>
    <definedName name="_bank3" localSheetId="3">#REF!</definedName>
    <definedName name="_bank3">#REF!</definedName>
    <definedName name="_bank4" localSheetId="1">#REF!</definedName>
    <definedName name="_bank4" localSheetId="5">#REF!</definedName>
    <definedName name="_bank4" localSheetId="3">#REF!</definedName>
    <definedName name="_bank4">#REF!</definedName>
    <definedName name="_bank5" localSheetId="1">#REF!</definedName>
    <definedName name="_bank5" localSheetId="5">#REF!</definedName>
    <definedName name="_bank5" localSheetId="3">#REF!</definedName>
    <definedName name="_bank5">#REF!</definedName>
    <definedName name="_bank6" localSheetId="1">#REF!</definedName>
    <definedName name="_bank6" localSheetId="5">#REF!</definedName>
    <definedName name="_bank6" localSheetId="3">#REF!</definedName>
    <definedName name="_bank6">#REF!</definedName>
    <definedName name="_bank7" localSheetId="1">#REF!</definedName>
    <definedName name="_bank7" localSheetId="5">#REF!</definedName>
    <definedName name="_bank7" localSheetId="3">#REF!</definedName>
    <definedName name="_bank7">#REF!</definedName>
    <definedName name="_bank8" localSheetId="1">#REF!</definedName>
    <definedName name="_bank8" localSheetId="5">#REF!</definedName>
    <definedName name="_bank8" localSheetId="3">#REF!</definedName>
    <definedName name="_bank8">#REF!</definedName>
    <definedName name="_bank9" localSheetId="0">#REF!</definedName>
    <definedName name="_bank9" localSheetId="4">#REF!</definedName>
    <definedName name="_bank9" localSheetId="1">#REF!</definedName>
    <definedName name="_bank9" localSheetId="5">#REF!</definedName>
    <definedName name="_bank9" localSheetId="3">#REF!</definedName>
    <definedName name="_bank9">#REF!</definedName>
    <definedName name="_bco1" localSheetId="1">#REF!</definedName>
    <definedName name="_bco1" localSheetId="5">#REF!</definedName>
    <definedName name="_bco1" localSheetId="3">#REF!</definedName>
    <definedName name="_bco1">#REF!</definedName>
    <definedName name="_bco10" localSheetId="1">#REF!</definedName>
    <definedName name="_bco10" localSheetId="5">#REF!</definedName>
    <definedName name="_bco10" localSheetId="3">#REF!</definedName>
    <definedName name="_bco10">#REF!</definedName>
    <definedName name="_bco11" localSheetId="1">#REF!</definedName>
    <definedName name="_bco11" localSheetId="5">#REF!</definedName>
    <definedName name="_bco11" localSheetId="3">#REF!</definedName>
    <definedName name="_bco11">#REF!</definedName>
    <definedName name="_bco12" localSheetId="1">#REF!</definedName>
    <definedName name="_bco12" localSheetId="5">#REF!</definedName>
    <definedName name="_bco12" localSheetId="3">#REF!</definedName>
    <definedName name="_bco12">#REF!</definedName>
    <definedName name="_bco13" localSheetId="1">#REF!</definedName>
    <definedName name="_bco13" localSheetId="5">#REF!</definedName>
    <definedName name="_bco13" localSheetId="3">#REF!</definedName>
    <definedName name="_bco13">#REF!</definedName>
    <definedName name="_bco14" localSheetId="1">#REF!</definedName>
    <definedName name="_bco14" localSheetId="5">#REF!</definedName>
    <definedName name="_bco14" localSheetId="3">#REF!</definedName>
    <definedName name="_bco14">#REF!</definedName>
    <definedName name="_bco15" localSheetId="1">#REF!</definedName>
    <definedName name="_bco15" localSheetId="5">#REF!</definedName>
    <definedName name="_bco15" localSheetId="3">#REF!</definedName>
    <definedName name="_bco15">#REF!</definedName>
    <definedName name="_bco16" localSheetId="1">#REF!</definedName>
    <definedName name="_bco16" localSheetId="5">#REF!</definedName>
    <definedName name="_bco16" localSheetId="3">#REF!</definedName>
    <definedName name="_bco16">#REF!</definedName>
    <definedName name="_bco17" localSheetId="1">#REF!</definedName>
    <definedName name="_bco17" localSheetId="5">#REF!</definedName>
    <definedName name="_bco17" localSheetId="3">#REF!</definedName>
    <definedName name="_bco17">#REF!</definedName>
    <definedName name="_bco2" localSheetId="1">#REF!</definedName>
    <definedName name="_bco2" localSheetId="5">#REF!</definedName>
    <definedName name="_bco2" localSheetId="3">#REF!</definedName>
    <definedName name="_bco2">#REF!</definedName>
    <definedName name="_bco3" localSheetId="1">#REF!</definedName>
    <definedName name="_bco3" localSheetId="5">#REF!</definedName>
    <definedName name="_bco3" localSheetId="3">#REF!</definedName>
    <definedName name="_bco3">#REF!</definedName>
    <definedName name="_bco5" localSheetId="1">#REF!</definedName>
    <definedName name="_bco5" localSheetId="5">#REF!</definedName>
    <definedName name="_bco5" localSheetId="3">#REF!</definedName>
    <definedName name="_bco5">#REF!</definedName>
    <definedName name="_bco6" localSheetId="1">#REF!</definedName>
    <definedName name="_bco6" localSheetId="5">#REF!</definedName>
    <definedName name="_bco6" localSheetId="3">#REF!</definedName>
    <definedName name="_bco6">#REF!</definedName>
    <definedName name="_bco7" localSheetId="1">#REF!</definedName>
    <definedName name="_bco7" localSheetId="5">#REF!</definedName>
    <definedName name="_bco7" localSheetId="3">#REF!</definedName>
    <definedName name="_bco7">#REF!</definedName>
    <definedName name="_bco8" localSheetId="1">#REF!</definedName>
    <definedName name="_bco8" localSheetId="5">#REF!</definedName>
    <definedName name="_bco8" localSheetId="3">#REF!</definedName>
    <definedName name="_bco8">#REF!</definedName>
    <definedName name="_bco9" localSheetId="1">#REF!</definedName>
    <definedName name="_bco9" localSheetId="5">#REF!</definedName>
    <definedName name="_bco9" localSheetId="3">#REF!</definedName>
    <definedName name="_bco9">#REF!</definedName>
    <definedName name="_boc4" localSheetId="1">#REF!</definedName>
    <definedName name="_boc4" localSheetId="5">#REF!</definedName>
    <definedName name="_boc4" localSheetId="3">#REF!</definedName>
    <definedName name="_boc4">#REF!</definedName>
    <definedName name="_buff1" localSheetId="0">#REF!</definedName>
    <definedName name="_buff1" localSheetId="4">#REF!</definedName>
    <definedName name="_buff1" localSheetId="1">#REF!</definedName>
    <definedName name="_buff1" localSheetId="5">#REF!</definedName>
    <definedName name="_buff1" localSheetId="3">#REF!</definedName>
    <definedName name="_buff1">#REF!</definedName>
    <definedName name="_buff2" localSheetId="0">#REF!</definedName>
    <definedName name="_buff2" localSheetId="1">#REF!</definedName>
    <definedName name="_buff2" localSheetId="5">#REF!</definedName>
    <definedName name="_buff2">#REF!</definedName>
    <definedName name="_buff3" localSheetId="1">#REF!</definedName>
    <definedName name="_buff3" localSheetId="5">#REF!</definedName>
    <definedName name="_buff3">#REF!</definedName>
    <definedName name="_cad1" localSheetId="1">#REF!</definedName>
    <definedName name="_cad1" localSheetId="5">#REF!</definedName>
    <definedName name="_cad1" localSheetId="3">#REF!</definedName>
    <definedName name="_cad1">#REF!</definedName>
    <definedName name="_cad10" localSheetId="1">#REF!</definedName>
    <definedName name="_cad10" localSheetId="5">#REF!</definedName>
    <definedName name="_cad10" localSheetId="3">#REF!</definedName>
    <definedName name="_cad10">#REF!</definedName>
    <definedName name="_cad11" localSheetId="1">#REF!</definedName>
    <definedName name="_cad11" localSheetId="5">#REF!</definedName>
    <definedName name="_cad11" localSheetId="3">#REF!</definedName>
    <definedName name="_cad11">#REF!</definedName>
    <definedName name="_cad12" localSheetId="1">#REF!</definedName>
    <definedName name="_cad12" localSheetId="5">#REF!</definedName>
    <definedName name="_cad12" localSheetId="3">#REF!</definedName>
    <definedName name="_cad12">#REF!</definedName>
    <definedName name="_cad13" localSheetId="1">#REF!</definedName>
    <definedName name="_cad13" localSheetId="5">#REF!</definedName>
    <definedName name="_cad13" localSheetId="3">#REF!</definedName>
    <definedName name="_cad13">#REF!</definedName>
    <definedName name="_cad14" localSheetId="1">#REF!</definedName>
    <definedName name="_cad14" localSheetId="5">#REF!</definedName>
    <definedName name="_cad14" localSheetId="3">#REF!</definedName>
    <definedName name="_cad14">#REF!</definedName>
    <definedName name="_cad15" localSheetId="1">#REF!</definedName>
    <definedName name="_cad15" localSheetId="5">#REF!</definedName>
    <definedName name="_cad15" localSheetId="3">#REF!</definedName>
    <definedName name="_cad15">#REF!</definedName>
    <definedName name="_cad16" localSheetId="1">#REF!</definedName>
    <definedName name="_cad16" localSheetId="5">#REF!</definedName>
    <definedName name="_cad16" localSheetId="3">#REF!</definedName>
    <definedName name="_cad16">#REF!</definedName>
    <definedName name="_cad17" localSheetId="1">#REF!</definedName>
    <definedName name="_cad17" localSheetId="5">#REF!</definedName>
    <definedName name="_cad17" localSheetId="3">#REF!</definedName>
    <definedName name="_cad17">#REF!</definedName>
    <definedName name="_cad18" localSheetId="1">#REF!</definedName>
    <definedName name="_cad18" localSheetId="5">#REF!</definedName>
    <definedName name="_cad18" localSheetId="3">#REF!</definedName>
    <definedName name="_cad18">#REF!</definedName>
    <definedName name="_cad19" localSheetId="1">#REF!</definedName>
    <definedName name="_cad19" localSheetId="5">#REF!</definedName>
    <definedName name="_cad19" localSheetId="3">#REF!</definedName>
    <definedName name="_cad19">#REF!</definedName>
    <definedName name="_cad2" localSheetId="1">#REF!</definedName>
    <definedName name="_cad2" localSheetId="5">#REF!</definedName>
    <definedName name="_cad2" localSheetId="3">#REF!</definedName>
    <definedName name="_cad2">#REF!</definedName>
    <definedName name="_cad20" localSheetId="1">#REF!</definedName>
    <definedName name="_cad20" localSheetId="5">#REF!</definedName>
    <definedName name="_cad20" localSheetId="3">#REF!</definedName>
    <definedName name="_cad20">#REF!</definedName>
    <definedName name="_cad21" localSheetId="1">#REF!</definedName>
    <definedName name="_cad21" localSheetId="5">#REF!</definedName>
    <definedName name="_cad21" localSheetId="3">#REF!</definedName>
    <definedName name="_cad21">#REF!</definedName>
    <definedName name="_cad22" localSheetId="1">#REF!</definedName>
    <definedName name="_cad22" localSheetId="5">#REF!</definedName>
    <definedName name="_cad22" localSheetId="3">#REF!</definedName>
    <definedName name="_cad22">#REF!</definedName>
    <definedName name="_cad23" localSheetId="1">#REF!</definedName>
    <definedName name="_cad23" localSheetId="5">#REF!</definedName>
    <definedName name="_cad23" localSheetId="3">#REF!</definedName>
    <definedName name="_cad23">#REF!</definedName>
    <definedName name="_cad24" localSheetId="1">#REF!</definedName>
    <definedName name="_cad24" localSheetId="5">#REF!</definedName>
    <definedName name="_cad24" localSheetId="3">#REF!</definedName>
    <definedName name="_cad24">#REF!</definedName>
    <definedName name="_cad25" localSheetId="1">#REF!</definedName>
    <definedName name="_cad25" localSheetId="5">#REF!</definedName>
    <definedName name="_cad25" localSheetId="3">#REF!</definedName>
    <definedName name="_cad25">#REF!</definedName>
    <definedName name="_cad26" localSheetId="1">#REF!</definedName>
    <definedName name="_cad26" localSheetId="5">#REF!</definedName>
    <definedName name="_cad26" localSheetId="3">#REF!</definedName>
    <definedName name="_cad26">#REF!</definedName>
    <definedName name="_cad27" localSheetId="1">#REF!</definedName>
    <definedName name="_cad27" localSheetId="5">#REF!</definedName>
    <definedName name="_cad27" localSheetId="3">#REF!</definedName>
    <definedName name="_cad27">#REF!</definedName>
    <definedName name="_cad28" localSheetId="1">#REF!</definedName>
    <definedName name="_cad28" localSheetId="5">#REF!</definedName>
    <definedName name="_cad28" localSheetId="3">#REF!</definedName>
    <definedName name="_cad28">#REF!</definedName>
    <definedName name="_cad29" localSheetId="1">#REF!</definedName>
    <definedName name="_cad29" localSheetId="5">#REF!</definedName>
    <definedName name="_cad29" localSheetId="3">#REF!</definedName>
    <definedName name="_cad29">#REF!</definedName>
    <definedName name="_cad3" localSheetId="1">#REF!</definedName>
    <definedName name="_cad3" localSheetId="5">#REF!</definedName>
    <definedName name="_cad3" localSheetId="3">#REF!</definedName>
    <definedName name="_cad3">#REF!</definedName>
    <definedName name="_cad30" localSheetId="1">#REF!</definedName>
    <definedName name="_cad30" localSheetId="5">#REF!</definedName>
    <definedName name="_cad30" localSheetId="3">#REF!</definedName>
    <definedName name="_cad30">#REF!</definedName>
    <definedName name="_cad31" localSheetId="1">#REF!</definedName>
    <definedName name="_cad31" localSheetId="5">#REF!</definedName>
    <definedName name="_cad31" localSheetId="3">#REF!</definedName>
    <definedName name="_cad31">#REF!</definedName>
    <definedName name="_cad32" localSheetId="1">#REF!</definedName>
    <definedName name="_cad32" localSheetId="5">#REF!</definedName>
    <definedName name="_cad32" localSheetId="3">#REF!</definedName>
    <definedName name="_cad32">#REF!</definedName>
    <definedName name="_cad33" localSheetId="1">#REF!</definedName>
    <definedName name="_cad33" localSheetId="5">#REF!</definedName>
    <definedName name="_cad33" localSheetId="3">#REF!</definedName>
    <definedName name="_cad33">#REF!</definedName>
    <definedName name="_cad34" localSheetId="1">#REF!</definedName>
    <definedName name="_cad34" localSheetId="5">#REF!</definedName>
    <definedName name="_cad34" localSheetId="3">#REF!</definedName>
    <definedName name="_cad34">#REF!</definedName>
    <definedName name="_cad35" localSheetId="1">#REF!</definedName>
    <definedName name="_cad35" localSheetId="5">#REF!</definedName>
    <definedName name="_cad35" localSheetId="3">#REF!</definedName>
    <definedName name="_cad35">#REF!</definedName>
    <definedName name="_cad36" localSheetId="0">#REF!</definedName>
    <definedName name="_cad36" localSheetId="4">#REF!</definedName>
    <definedName name="_cad36" localSheetId="1">#REF!</definedName>
    <definedName name="_cad36" localSheetId="5">#REF!</definedName>
    <definedName name="_cad36" localSheetId="3">#REF!</definedName>
    <definedName name="_cad36">#REF!</definedName>
    <definedName name="_cad37" localSheetId="1">#REF!</definedName>
    <definedName name="_cad37" localSheetId="5">#REF!</definedName>
    <definedName name="_cad37" localSheetId="3">#REF!</definedName>
    <definedName name="_cad37">#REF!</definedName>
    <definedName name="_cad38" localSheetId="1">#REF!</definedName>
    <definedName name="_cad38" localSheetId="5">#REF!</definedName>
    <definedName name="_cad38" localSheetId="3">#REF!</definedName>
    <definedName name="_cad38">#REF!</definedName>
    <definedName name="_cad39" localSheetId="1">#REF!</definedName>
    <definedName name="_cad39" localSheetId="5">#REF!</definedName>
    <definedName name="_cad39" localSheetId="3">#REF!</definedName>
    <definedName name="_cad39">#REF!</definedName>
    <definedName name="_cad4" localSheetId="1">#REF!</definedName>
    <definedName name="_cad4" localSheetId="5">#REF!</definedName>
    <definedName name="_cad4" localSheetId="3">#REF!</definedName>
    <definedName name="_cad4">#REF!</definedName>
    <definedName name="_cad5" localSheetId="1">#REF!</definedName>
    <definedName name="_cad5" localSheetId="5">#REF!</definedName>
    <definedName name="_cad5" localSheetId="3">#REF!</definedName>
    <definedName name="_cad5">#REF!</definedName>
    <definedName name="_cad6" localSheetId="1">#REF!</definedName>
    <definedName name="_cad6" localSheetId="5">#REF!</definedName>
    <definedName name="_cad6" localSheetId="3">#REF!</definedName>
    <definedName name="_cad6">#REF!</definedName>
    <definedName name="_cad7" localSheetId="1">#REF!</definedName>
    <definedName name="_cad7" localSheetId="5">#REF!</definedName>
    <definedName name="_cad7" localSheetId="3">#REF!</definedName>
    <definedName name="_cad7">#REF!</definedName>
    <definedName name="_cad8" localSheetId="1">#REF!</definedName>
    <definedName name="_cad8" localSheetId="5">#REF!</definedName>
    <definedName name="_cad8" localSheetId="3">#REF!</definedName>
    <definedName name="_cad8">#REF!</definedName>
    <definedName name="_cad9" localSheetId="1">#REF!</definedName>
    <definedName name="_cad9" localSheetId="5">#REF!</definedName>
    <definedName name="_cad9" localSheetId="3">#REF!</definedName>
    <definedName name="_cad9">#REF!</definedName>
    <definedName name="_cheig" localSheetId="1">#REF!</definedName>
    <definedName name="_cheig" localSheetId="5">#REF!</definedName>
    <definedName name="_cheig" localSheetId="3">#REF!</definedName>
    <definedName name="_cheig">#REF!</definedName>
    <definedName name="_dia" localSheetId="1">#REF!</definedName>
    <definedName name="_dia" localSheetId="5">#REF!</definedName>
    <definedName name="_dia" localSheetId="3">#REF!</definedName>
    <definedName name="_dia">#REF!</definedName>
    <definedName name="_diaest" localSheetId="1">#REF!</definedName>
    <definedName name="_diaest" localSheetId="5">#REF!</definedName>
    <definedName name="_diaest" localSheetId="3">#REF!</definedName>
    <definedName name="_diaest">#REF!</definedName>
    <definedName name="_esc1" localSheetId="0">#REF!</definedName>
    <definedName name="_esc1" localSheetId="1">#REF!</definedName>
    <definedName name="_esc1" localSheetId="5">#REF!</definedName>
    <definedName name="_esc1" localSheetId="3">#REF!</definedName>
    <definedName name="_esc1">#REF!</definedName>
    <definedName name="_esc2" localSheetId="0">#REF!</definedName>
    <definedName name="_esc2" localSheetId="1">#REF!</definedName>
    <definedName name="_esc2" localSheetId="5">#REF!</definedName>
    <definedName name="_esc2" localSheetId="3">#REF!</definedName>
    <definedName name="_esc2">#REF!</definedName>
    <definedName name="_esc3" localSheetId="0">#REF!</definedName>
    <definedName name="_esc3" localSheetId="1">#REF!</definedName>
    <definedName name="_esc3" localSheetId="5">#REF!</definedName>
    <definedName name="_esc3" localSheetId="3">#REF!</definedName>
    <definedName name="_esc3">#REF!</definedName>
    <definedName name="_funni" localSheetId="1">#REF!</definedName>
    <definedName name="_funni" localSheetId="5">#REF!</definedName>
    <definedName name="_funni" localSheetId="3">#REF!</definedName>
    <definedName name="_funni">#REF!</definedName>
    <definedName name="_funnibr" localSheetId="1">#REF!</definedName>
    <definedName name="_funnibr" localSheetId="5">#REF!</definedName>
    <definedName name="_funnibr" localSheetId="3">#REF!</definedName>
    <definedName name="_funnibr">#REF!</definedName>
    <definedName name="_gar1" localSheetId="0">#REF!</definedName>
    <definedName name="_gar1" localSheetId="4">#REF!</definedName>
    <definedName name="_gar1" localSheetId="1">#REF!</definedName>
    <definedName name="_gar1" localSheetId="5">#REF!</definedName>
    <definedName name="_gar1" localSheetId="3">#REF!</definedName>
    <definedName name="_gar1">#REF!</definedName>
    <definedName name="_gar2" localSheetId="0">#REF!</definedName>
    <definedName name="_gar2" localSheetId="4">#REF!</definedName>
    <definedName name="_gar2" localSheetId="1">#REF!</definedName>
    <definedName name="_gar2" localSheetId="5">#REF!</definedName>
    <definedName name="_gar2" localSheetId="3">#REF!</definedName>
    <definedName name="_gar2">#REF!</definedName>
    <definedName name="_gar3" localSheetId="0">#REF!</definedName>
    <definedName name="_gar3" localSheetId="4">#REF!</definedName>
    <definedName name="_gar3" localSheetId="1">#REF!</definedName>
    <definedName name="_gar3" localSheetId="5">#REF!</definedName>
    <definedName name="_gar3" localSheetId="3">#REF!</definedName>
    <definedName name="_gar3">#REF!</definedName>
    <definedName name="_gar4" localSheetId="0">#REF!</definedName>
    <definedName name="_gar4" localSheetId="1">#REF!</definedName>
    <definedName name="_gar4" localSheetId="5">#REF!</definedName>
    <definedName name="_gar4">#REF!</definedName>
    <definedName name="_gar5" localSheetId="1">#REF!</definedName>
    <definedName name="_gar5" localSheetId="5">#REF!</definedName>
    <definedName name="_gar5">#REF!</definedName>
    <definedName name="_gar6" localSheetId="1">#REF!</definedName>
    <definedName name="_gar6" localSheetId="5">#REF!</definedName>
    <definedName name="_gar6">#REF!</definedName>
    <definedName name="_gar7" localSheetId="1">#REF!</definedName>
    <definedName name="_gar7">#REF!</definedName>
    <definedName name="_gar8" localSheetId="1">#REF!</definedName>
    <definedName name="_gar8">#REF!</definedName>
    <definedName name="_ipanema" localSheetId="1">#REF!</definedName>
    <definedName name="_ipanema" localSheetId="5">#REF!</definedName>
    <definedName name="_ipanema" localSheetId="3">#REF!</definedName>
    <definedName name="_ipanema">#REF!</definedName>
    <definedName name="_jobfixo" localSheetId="1">#REF!</definedName>
    <definedName name="_jobfixo" localSheetId="5">#REF!</definedName>
    <definedName name="_jobfixo" localSheetId="3">#REF!</definedName>
    <definedName name="_jobfixo">#REF!</definedName>
    <definedName name="_jobsolto" localSheetId="1">#REF!</definedName>
    <definedName name="_jobsolto" localSheetId="5">#REF!</definedName>
    <definedName name="_jobsolto" localSheetId="3">#REF!</definedName>
    <definedName name="_jobsolto">#REF!</definedName>
    <definedName name="_joy" localSheetId="1">#REF!</definedName>
    <definedName name="_joy" localSheetId="5">#REF!</definedName>
    <definedName name="_joy" localSheetId="3">#REF!</definedName>
    <definedName name="_joy">#REF!</definedName>
    <definedName name="_joybr" localSheetId="1">#REF!</definedName>
    <definedName name="_joybr" localSheetId="5">#REF!</definedName>
    <definedName name="_joybr" localSheetId="3">#REF!</definedName>
    <definedName name="_joybr">#REF!</definedName>
    <definedName name="_leve" localSheetId="1">#REF!</definedName>
    <definedName name="_leve" localSheetId="5">#REF!</definedName>
    <definedName name="_leve" localSheetId="3">#REF!</definedName>
    <definedName name="_leve">#REF!</definedName>
    <definedName name="_leveep" localSheetId="1">#REF!</definedName>
    <definedName name="_leveep" localSheetId="5">#REF!</definedName>
    <definedName name="_leveep" localSheetId="3">#REF!</definedName>
    <definedName name="_leveep">#REF!</definedName>
    <definedName name="_lum1" localSheetId="1">#REF!</definedName>
    <definedName name="_lum1" localSheetId="5">#REF!</definedName>
    <definedName name="_lum1" localSheetId="3">#REF!</definedName>
    <definedName name="_lum1">#REF!</definedName>
    <definedName name="_lum2" localSheetId="1">#REF!</definedName>
    <definedName name="_lum2" localSheetId="5">#REF!</definedName>
    <definedName name="_lum2" localSheetId="3">#REF!</definedName>
    <definedName name="_lum2">#REF!</definedName>
    <definedName name="_lum3" localSheetId="1">#REF!</definedName>
    <definedName name="_lum3" localSheetId="5">#REF!</definedName>
    <definedName name="_lum3" localSheetId="3">#REF!</definedName>
    <definedName name="_lum3">#REF!</definedName>
    <definedName name="_lum4" localSheetId="1">#REF!</definedName>
    <definedName name="_lum4" localSheetId="5">#REF!</definedName>
    <definedName name="_lum4" localSheetId="3">#REF!</definedName>
    <definedName name="_lum4">#REF!</definedName>
    <definedName name="_lum5" localSheetId="1">#REF!</definedName>
    <definedName name="_lum5" localSheetId="5">#REF!</definedName>
    <definedName name="_lum5" localSheetId="3">#REF!</definedName>
    <definedName name="_lum5">#REF!</definedName>
    <definedName name="_lum6" localSheetId="1">#REF!</definedName>
    <definedName name="_lum6" localSheetId="5">#REF!</definedName>
    <definedName name="_lum6" localSheetId="3">#REF!</definedName>
    <definedName name="_lum6">#REF!</definedName>
    <definedName name="_mc1" localSheetId="1">#REF!</definedName>
    <definedName name="_mc1">#REF!</definedName>
    <definedName name="_mc10" localSheetId="0">#REF!</definedName>
    <definedName name="_mc10" localSheetId="4">#REF!</definedName>
    <definedName name="_mc10" localSheetId="1">#REF!</definedName>
    <definedName name="_mc10" localSheetId="5">#REF!</definedName>
    <definedName name="_mc10" localSheetId="3">#REF!</definedName>
    <definedName name="_mc10">#REF!</definedName>
    <definedName name="_mc11" localSheetId="0">#REF!</definedName>
    <definedName name="_mc11" localSheetId="1">#REF!</definedName>
    <definedName name="_mc11" localSheetId="5">#REF!</definedName>
    <definedName name="_mc11">#REF!</definedName>
    <definedName name="_mc12" localSheetId="1">#REF!</definedName>
    <definedName name="_mc12" localSheetId="5">#REF!</definedName>
    <definedName name="_mc12">#REF!</definedName>
    <definedName name="_mc13" localSheetId="1">#REF!</definedName>
    <definedName name="_mc13" localSheetId="5">#REF!</definedName>
    <definedName name="_mc13">#REF!</definedName>
    <definedName name="_mc14" localSheetId="1">#REF!</definedName>
    <definedName name="_mc14">#REF!</definedName>
    <definedName name="_mc15" localSheetId="1">#REF!</definedName>
    <definedName name="_mc15">#REF!</definedName>
    <definedName name="_mc16" localSheetId="1">#REF!</definedName>
    <definedName name="_mc16">#REF!</definedName>
    <definedName name="_mc17" localSheetId="0">#REF!</definedName>
    <definedName name="_mc17" localSheetId="4">#REF!</definedName>
    <definedName name="_mc17" localSheetId="1">#REF!</definedName>
    <definedName name="_mc17" localSheetId="5">#REF!</definedName>
    <definedName name="_mc17" localSheetId="3">#REF!</definedName>
    <definedName name="_mc17">#REF!</definedName>
    <definedName name="_mc18" localSheetId="0">#REF!</definedName>
    <definedName name="_mc18" localSheetId="4">#REF!</definedName>
    <definedName name="_mc18" localSheetId="1">#REF!</definedName>
    <definedName name="_mc18" localSheetId="5">#REF!</definedName>
    <definedName name="_mc18" localSheetId="3">#REF!</definedName>
    <definedName name="_mc18">#REF!</definedName>
    <definedName name="_mc19" localSheetId="0">#REF!</definedName>
    <definedName name="_mc19" localSheetId="1">#REF!</definedName>
    <definedName name="_mc19" localSheetId="5">#REF!</definedName>
    <definedName name="_mc19">#REF!</definedName>
    <definedName name="_mc2" localSheetId="1">#REF!</definedName>
    <definedName name="_mc2" localSheetId="5">#REF!</definedName>
    <definedName name="_mc2">#REF!</definedName>
    <definedName name="_mc20" localSheetId="1">#REF!</definedName>
    <definedName name="_mc20" localSheetId="5">#REF!</definedName>
    <definedName name="_mc20">#REF!</definedName>
    <definedName name="_mc21" localSheetId="1">#REF!</definedName>
    <definedName name="_mc21">#REF!</definedName>
    <definedName name="_mc22" localSheetId="0">#REF!</definedName>
    <definedName name="_mc22" localSheetId="4">#REF!</definedName>
    <definedName name="_mc22" localSheetId="1">#REF!</definedName>
    <definedName name="_mc22" localSheetId="5">#REF!</definedName>
    <definedName name="_mc22" localSheetId="3">#REF!</definedName>
    <definedName name="_mc22">#REF!</definedName>
    <definedName name="_mc23" localSheetId="0">#REF!</definedName>
    <definedName name="_mc23" localSheetId="4">#REF!</definedName>
    <definedName name="_mc23" localSheetId="1">#REF!</definedName>
    <definedName name="_mc23" localSheetId="5">#REF!</definedName>
    <definedName name="_mc23" localSheetId="3">#REF!</definedName>
    <definedName name="_mc23">#REF!</definedName>
    <definedName name="_mc24" localSheetId="0">#REF!</definedName>
    <definedName name="_mc24" localSheetId="4">#REF!</definedName>
    <definedName name="_mc24" localSheetId="1">#REF!</definedName>
    <definedName name="_mc24" localSheetId="5">#REF!</definedName>
    <definedName name="_mc24" localSheetId="3">#REF!</definedName>
    <definedName name="_mc24">#REF!</definedName>
    <definedName name="_mc25" localSheetId="0">#REF!</definedName>
    <definedName name="_mc25" localSheetId="1">#REF!</definedName>
    <definedName name="_mc25" localSheetId="5">#REF!</definedName>
    <definedName name="_mc25">#REF!</definedName>
    <definedName name="_mc26" localSheetId="0">#REF!</definedName>
    <definedName name="_mc26" localSheetId="4">#REF!</definedName>
    <definedName name="_mc26" localSheetId="1">#REF!</definedName>
    <definedName name="_mc26" localSheetId="5">#REF!</definedName>
    <definedName name="_mc26" localSheetId="3">#REF!</definedName>
    <definedName name="_mc26">#REF!</definedName>
    <definedName name="_mc27" localSheetId="0">#REF!</definedName>
    <definedName name="_mc27" localSheetId="4">#REF!</definedName>
    <definedName name="_mc27" localSheetId="1">#REF!</definedName>
    <definedName name="_mc27" localSheetId="5">#REF!</definedName>
    <definedName name="_mc27" localSheetId="3">#REF!</definedName>
    <definedName name="_mc27">#REF!</definedName>
    <definedName name="_mc28" localSheetId="0">#REF!</definedName>
    <definedName name="_mc28" localSheetId="4">#REF!</definedName>
    <definedName name="_mc28" localSheetId="1">#REF!</definedName>
    <definedName name="_mc28" localSheetId="5">#REF!</definedName>
    <definedName name="_mc28" localSheetId="3">#REF!</definedName>
    <definedName name="_mc28">#REF!</definedName>
    <definedName name="_mc29" localSheetId="0">#REF!</definedName>
    <definedName name="_mc29" localSheetId="4">#REF!</definedName>
    <definedName name="_mc29" localSheetId="1">#REF!</definedName>
    <definedName name="_mc29" localSheetId="5">#REF!</definedName>
    <definedName name="_mc29" localSheetId="3">#REF!</definedName>
    <definedName name="_mc29">#REF!</definedName>
    <definedName name="_mc3" localSheetId="0">#REF!</definedName>
    <definedName name="_mc3" localSheetId="1">#REF!</definedName>
    <definedName name="_mc3" localSheetId="5">#REF!</definedName>
    <definedName name="_mc3">#REF!</definedName>
    <definedName name="_mc4" localSheetId="1">#REF!</definedName>
    <definedName name="_mc4" localSheetId="5">#REF!</definedName>
    <definedName name="_mc4">#REF!</definedName>
    <definedName name="_mc5" localSheetId="1">#REF!</definedName>
    <definedName name="_mc5" localSheetId="5">#REF!</definedName>
    <definedName name="_mc5">#REF!</definedName>
    <definedName name="_mc6" localSheetId="1">#REF!</definedName>
    <definedName name="_mc6">#REF!</definedName>
    <definedName name="_mc7" localSheetId="1">#REF!</definedName>
    <definedName name="_mc7">#REF!</definedName>
    <definedName name="_mc8" localSheetId="1">#REF!</definedName>
    <definedName name="_mc8">#REF!</definedName>
    <definedName name="_mc9" localSheetId="1">#REF!</definedName>
    <definedName name="_mc9">#REF!</definedName>
    <definedName name="_mj_t01m" localSheetId="1">#REF!</definedName>
    <definedName name="_mj_t01m">#REF!</definedName>
    <definedName name="_mj_t01sm" localSheetId="1">#REF!</definedName>
    <definedName name="_mj_t01sm">#REF!</definedName>
    <definedName name="_mj_t02" localSheetId="1">#REF!</definedName>
    <definedName name="_mj_t02">#REF!</definedName>
    <definedName name="_mj_t02m" localSheetId="1">#REF!</definedName>
    <definedName name="_mj_t02m">#REF!</definedName>
    <definedName name="_mj_t02sm" localSheetId="1">#REF!</definedName>
    <definedName name="_mj_t02sm">#REF!</definedName>
    <definedName name="_mj_t03" localSheetId="1">#REF!</definedName>
    <definedName name="_mj_t03">#REF!</definedName>
    <definedName name="_mj_t03m" localSheetId="1">#REF!</definedName>
    <definedName name="_mj_t03m">#REF!</definedName>
    <definedName name="_mj_t03sm" localSheetId="1">#REF!</definedName>
    <definedName name="_mj_t03sm">#REF!</definedName>
    <definedName name="_mj_t04" localSheetId="1">#REF!</definedName>
    <definedName name="_mj_t04">#REF!</definedName>
    <definedName name="_mj_t04m" localSheetId="1">#REF!</definedName>
    <definedName name="_mj_t04m">#REF!</definedName>
    <definedName name="_mj_t04sm" localSheetId="1">#REF!</definedName>
    <definedName name="_mj_t04sm">#REF!</definedName>
    <definedName name="_mj_tv" localSheetId="0">#REF!</definedName>
    <definedName name="_mj_tv" localSheetId="4">#REF!</definedName>
    <definedName name="_mj_tv" localSheetId="1">#REF!</definedName>
    <definedName name="_mj_tv" localSheetId="5">#REF!</definedName>
    <definedName name="_mj_tv" localSheetId="3">#REF!</definedName>
    <definedName name="_mj_tv">#REF!</definedName>
    <definedName name="_mj_tvsm" localSheetId="0">#REF!</definedName>
    <definedName name="_mj_tvsm" localSheetId="4">#REF!</definedName>
    <definedName name="_mj_tvsm" localSheetId="1">#REF!</definedName>
    <definedName name="_mj_tvsm" localSheetId="5">#REF!</definedName>
    <definedName name="_mj_tvsm" localSheetId="3">#REF!</definedName>
    <definedName name="_mj_tvsm">#REF!</definedName>
    <definedName name="_mj1" localSheetId="1">#REF!</definedName>
    <definedName name="_mj1" localSheetId="5">#REF!</definedName>
    <definedName name="_mj1" localSheetId="3">#REF!</definedName>
    <definedName name="_mj1">#REF!</definedName>
    <definedName name="_mj10" localSheetId="1">#REF!</definedName>
    <definedName name="_mj10" localSheetId="5">#REF!</definedName>
    <definedName name="_mj10" localSheetId="3">#REF!</definedName>
    <definedName name="_mj10">#REF!</definedName>
    <definedName name="_mj11" localSheetId="1">#REF!</definedName>
    <definedName name="_mj11" localSheetId="5">#REF!</definedName>
    <definedName name="_mj11" localSheetId="3">#REF!</definedName>
    <definedName name="_mj11">#REF!</definedName>
    <definedName name="_mj12" localSheetId="1">#REF!</definedName>
    <definedName name="_mj12" localSheetId="5">#REF!</definedName>
    <definedName name="_mj12" localSheetId="3">#REF!</definedName>
    <definedName name="_mj12">#REF!</definedName>
    <definedName name="_mj13" localSheetId="1">#REF!</definedName>
    <definedName name="_mj13" localSheetId="5">#REF!</definedName>
    <definedName name="_mj13" localSheetId="3">#REF!</definedName>
    <definedName name="_mj13">#REF!</definedName>
    <definedName name="_mj14" localSheetId="1">#REF!</definedName>
    <definedName name="_mj14" localSheetId="5">#REF!</definedName>
    <definedName name="_mj14" localSheetId="3">#REF!</definedName>
    <definedName name="_mj14">#REF!</definedName>
    <definedName name="_mj15" localSheetId="1">#REF!</definedName>
    <definedName name="_mj15" localSheetId="5">#REF!</definedName>
    <definedName name="_mj15" localSheetId="3">#REF!</definedName>
    <definedName name="_mj15">#REF!</definedName>
    <definedName name="_mj16" localSheetId="1">#REF!</definedName>
    <definedName name="_mj16" localSheetId="5">#REF!</definedName>
    <definedName name="_mj16" localSheetId="3">#REF!</definedName>
    <definedName name="_mj16">#REF!</definedName>
    <definedName name="_mj17" localSheetId="1">#REF!</definedName>
    <definedName name="_mj17" localSheetId="5">#REF!</definedName>
    <definedName name="_mj17" localSheetId="3">#REF!</definedName>
    <definedName name="_mj17">#REF!</definedName>
    <definedName name="_mj18" localSheetId="1">#REF!</definedName>
    <definedName name="_mj18" localSheetId="5">#REF!</definedName>
    <definedName name="_mj18" localSheetId="3">#REF!</definedName>
    <definedName name="_mj18">#REF!</definedName>
    <definedName name="_mj19" localSheetId="1">#REF!</definedName>
    <definedName name="_mj19" localSheetId="5">#REF!</definedName>
    <definedName name="_mj19" localSheetId="3">#REF!</definedName>
    <definedName name="_mj19">#REF!</definedName>
    <definedName name="_mj2" localSheetId="1">#REF!</definedName>
    <definedName name="_mj2" localSheetId="5">#REF!</definedName>
    <definedName name="_mj2" localSheetId="3">#REF!</definedName>
    <definedName name="_mj2">#REF!</definedName>
    <definedName name="_mj20" localSheetId="1">#REF!</definedName>
    <definedName name="_mj20" localSheetId="5">#REF!</definedName>
    <definedName name="_mj20" localSheetId="3">#REF!</definedName>
    <definedName name="_mj20">#REF!</definedName>
    <definedName name="_mj21" localSheetId="1">#REF!</definedName>
    <definedName name="_mj21" localSheetId="5">#REF!</definedName>
    <definedName name="_mj21" localSheetId="3">#REF!</definedName>
    <definedName name="_mj21">#REF!</definedName>
    <definedName name="_mj22" localSheetId="1">#REF!</definedName>
    <definedName name="_mj22" localSheetId="5">#REF!</definedName>
    <definedName name="_mj22" localSheetId="3">#REF!</definedName>
    <definedName name="_mj22">#REF!</definedName>
    <definedName name="_mj225" localSheetId="1">#REF!</definedName>
    <definedName name="_mj225" localSheetId="5">#REF!</definedName>
    <definedName name="_mj225" localSheetId="3">#REF!</definedName>
    <definedName name="_mj225">#REF!</definedName>
    <definedName name="_mj23" localSheetId="1">#REF!</definedName>
    <definedName name="_mj23" localSheetId="5">#REF!</definedName>
    <definedName name="_mj23" localSheetId="3">#REF!</definedName>
    <definedName name="_mj23">#REF!</definedName>
    <definedName name="_mj24" localSheetId="1">#REF!</definedName>
    <definedName name="_mj24" localSheetId="5">#REF!</definedName>
    <definedName name="_mj24" localSheetId="3">#REF!</definedName>
    <definedName name="_mj24">#REF!</definedName>
    <definedName name="_mj25" localSheetId="1">#REF!</definedName>
    <definedName name="_mj25" localSheetId="5">#REF!</definedName>
    <definedName name="_mj25" localSheetId="3">#REF!</definedName>
    <definedName name="_mj25">#REF!</definedName>
    <definedName name="_mj26" localSheetId="1">#REF!</definedName>
    <definedName name="_mj26" localSheetId="5">#REF!</definedName>
    <definedName name="_mj26" localSheetId="3">#REF!</definedName>
    <definedName name="_mj26">#REF!</definedName>
    <definedName name="_mj27" localSheetId="1">#REF!</definedName>
    <definedName name="_mj27" localSheetId="5">#REF!</definedName>
    <definedName name="_mj27" localSheetId="3">#REF!</definedName>
    <definedName name="_mj27">#REF!</definedName>
    <definedName name="_mj276" localSheetId="1">#REF!</definedName>
    <definedName name="_mj276" localSheetId="5">#REF!</definedName>
    <definedName name="_mj276" localSheetId="3">#REF!</definedName>
    <definedName name="_mj276">#REF!</definedName>
    <definedName name="_mj2762" localSheetId="1">#REF!</definedName>
    <definedName name="_mj2762" localSheetId="5">#REF!</definedName>
    <definedName name="_mj2762" localSheetId="3">#REF!</definedName>
    <definedName name="_mj2762">#REF!</definedName>
    <definedName name="_mj276mar" localSheetId="1">#REF!</definedName>
    <definedName name="_mj276mar" localSheetId="5">#REF!</definedName>
    <definedName name="_mj276mar" localSheetId="3">#REF!</definedName>
    <definedName name="_mj276mar">#REF!</definedName>
    <definedName name="_mj276marm2" localSheetId="1">#REF!</definedName>
    <definedName name="_mj276marm2" localSheetId="5">#REF!</definedName>
    <definedName name="_mj276marm2" localSheetId="3">#REF!</definedName>
    <definedName name="_mj276marm2">#REF!</definedName>
    <definedName name="_mj28" localSheetId="1">#REF!</definedName>
    <definedName name="_mj28" localSheetId="5">#REF!</definedName>
    <definedName name="_mj28" localSheetId="3">#REF!</definedName>
    <definedName name="_mj28">#REF!</definedName>
    <definedName name="_mj29" localSheetId="1">#REF!</definedName>
    <definedName name="_mj29" localSheetId="5">#REF!</definedName>
    <definedName name="_mj29" localSheetId="3">#REF!</definedName>
    <definedName name="_mj29">#REF!</definedName>
    <definedName name="_mj3" localSheetId="1">#REF!</definedName>
    <definedName name="_mj3" localSheetId="5">#REF!</definedName>
    <definedName name="_mj3" localSheetId="3">#REF!</definedName>
    <definedName name="_mj3">#REF!</definedName>
    <definedName name="_mj30" localSheetId="1">#REF!</definedName>
    <definedName name="_mj30" localSheetId="5">#REF!</definedName>
    <definedName name="_mj30" localSheetId="3">#REF!</definedName>
    <definedName name="_mj30">#REF!</definedName>
    <definedName name="_mj4" localSheetId="1">#REF!</definedName>
    <definedName name="_mj4" localSheetId="5">#REF!</definedName>
    <definedName name="_mj4" localSheetId="3">#REF!</definedName>
    <definedName name="_mj4">#REF!</definedName>
    <definedName name="_mj5" localSheetId="1">#REF!</definedName>
    <definedName name="_mj5" localSheetId="5">#REF!</definedName>
    <definedName name="_mj5" localSheetId="3">#REF!</definedName>
    <definedName name="_mj5">#REF!</definedName>
    <definedName name="_mj6" localSheetId="1">#REF!</definedName>
    <definedName name="_mj6" localSheetId="5">#REF!</definedName>
    <definedName name="_mj6" localSheetId="3">#REF!</definedName>
    <definedName name="_mj6">#REF!</definedName>
    <definedName name="_mj7" localSheetId="1">#REF!</definedName>
    <definedName name="_mj7" localSheetId="5">#REF!</definedName>
    <definedName name="_mj7" localSheetId="3">#REF!</definedName>
    <definedName name="_mj7">#REF!</definedName>
    <definedName name="_mj8" localSheetId="1">#REF!</definedName>
    <definedName name="_mj8" localSheetId="5">#REF!</definedName>
    <definedName name="_mj8" localSheetId="3">#REF!</definedName>
    <definedName name="_mj8">#REF!</definedName>
    <definedName name="_mj9" localSheetId="1">#REF!</definedName>
    <definedName name="_mj9" localSheetId="5">#REF!</definedName>
    <definedName name="_mj9" localSheetId="3">#REF!</definedName>
    <definedName name="_mj9">#REF!</definedName>
    <definedName name="_ml1" localSheetId="0">#REF!</definedName>
    <definedName name="_ml1" localSheetId="4">#REF!</definedName>
    <definedName name="_ml1" localSheetId="1">#REF!</definedName>
    <definedName name="_ml1" localSheetId="5">#REF!</definedName>
    <definedName name="_ml1" localSheetId="3">#REF!</definedName>
    <definedName name="_ml1">#REF!</definedName>
    <definedName name="_ml10" localSheetId="0">#REF!</definedName>
    <definedName name="_ml10" localSheetId="1">#REF!</definedName>
    <definedName name="_ml10" localSheetId="5">#REF!</definedName>
    <definedName name="_ml10">#REF!</definedName>
    <definedName name="_ml11" localSheetId="1">#REF!</definedName>
    <definedName name="_ml11" localSheetId="5">#REF!</definedName>
    <definedName name="_ml11">#REF!</definedName>
    <definedName name="_ml12" localSheetId="0">#REF!</definedName>
    <definedName name="_ml12" localSheetId="4">#REF!</definedName>
    <definedName name="_ml12" localSheetId="1">#REF!</definedName>
    <definedName name="_ml12" localSheetId="5">#REF!</definedName>
    <definedName name="_ml12" localSheetId="3">#REF!</definedName>
    <definedName name="_ml12">#REF!</definedName>
    <definedName name="_ml13" localSheetId="0">#REF!</definedName>
    <definedName name="_ml13" localSheetId="1">#REF!</definedName>
    <definedName name="_ml13" localSheetId="5">#REF!</definedName>
    <definedName name="_ml13">#REF!</definedName>
    <definedName name="_ml14" localSheetId="1">#REF!</definedName>
    <definedName name="_ml14" localSheetId="5">#REF!</definedName>
    <definedName name="_ml14">#REF!</definedName>
    <definedName name="_ml15" localSheetId="1">#REF!</definedName>
    <definedName name="_ml15" localSheetId="5">#REF!</definedName>
    <definedName name="_ml15">#REF!</definedName>
    <definedName name="_ml16" localSheetId="1">#REF!</definedName>
    <definedName name="_ml16">#REF!</definedName>
    <definedName name="_ml17" localSheetId="1">#REF!</definedName>
    <definedName name="_ml17">#REF!</definedName>
    <definedName name="_ml18" localSheetId="1">#REF!</definedName>
    <definedName name="_ml18">#REF!</definedName>
    <definedName name="_ml19" localSheetId="1">#REF!</definedName>
    <definedName name="_ml19">#REF!</definedName>
    <definedName name="_ml2" localSheetId="1">#REF!</definedName>
    <definedName name="_ml2">#REF!</definedName>
    <definedName name="_ml20" localSheetId="1">#REF!</definedName>
    <definedName name="_ml20">#REF!</definedName>
    <definedName name="_ml21" localSheetId="0">#REF!</definedName>
    <definedName name="_ml21" localSheetId="4">#REF!</definedName>
    <definedName name="_ml21" localSheetId="1">#REF!</definedName>
    <definedName name="_ml21" localSheetId="5">#REF!</definedName>
    <definedName name="_ml21" localSheetId="3">#REF!</definedName>
    <definedName name="_ml21">#REF!</definedName>
    <definedName name="_ml22" localSheetId="0">#REF!</definedName>
    <definedName name="_ml22" localSheetId="1">#REF!</definedName>
    <definedName name="_ml22" localSheetId="5">#REF!</definedName>
    <definedName name="_ml22">#REF!</definedName>
    <definedName name="_ml23" localSheetId="1">#REF!</definedName>
    <definedName name="_ml23" localSheetId="5">#REF!</definedName>
    <definedName name="_ml23">#REF!</definedName>
    <definedName name="_ml24" localSheetId="1">#REF!</definedName>
    <definedName name="_ml24" localSheetId="5">#REF!</definedName>
    <definedName name="_ml24">#REF!</definedName>
    <definedName name="_ml25" localSheetId="1">#REF!</definedName>
    <definedName name="_ml25">#REF!</definedName>
    <definedName name="_ml26" localSheetId="0">#REF!</definedName>
    <definedName name="_ml26" localSheetId="4">#REF!</definedName>
    <definedName name="_ml26" localSheetId="1">#REF!</definedName>
    <definedName name="_ml26" localSheetId="5">#REF!</definedName>
    <definedName name="_ml26" localSheetId="3">#REF!</definedName>
    <definedName name="_ml26">#REF!</definedName>
    <definedName name="_ml27" localSheetId="0">#REF!</definedName>
    <definedName name="_ml27" localSheetId="4">#REF!</definedName>
    <definedName name="_ml27" localSheetId="1">#REF!</definedName>
    <definedName name="_ml27" localSheetId="5">#REF!</definedName>
    <definedName name="_ml27" localSheetId="3">#REF!</definedName>
    <definedName name="_ml27">#REF!</definedName>
    <definedName name="_ml28" localSheetId="0">#REF!</definedName>
    <definedName name="_ml28" localSheetId="4">#REF!</definedName>
    <definedName name="_ml28" localSheetId="1">#REF!</definedName>
    <definedName name="_ml28" localSheetId="5">#REF!</definedName>
    <definedName name="_ml28" localSheetId="3">#REF!</definedName>
    <definedName name="_ml28">#REF!</definedName>
    <definedName name="_ml29" localSheetId="0">#REF!</definedName>
    <definedName name="_ml29" localSheetId="1">#REF!</definedName>
    <definedName name="_ml29" localSheetId="5">#REF!</definedName>
    <definedName name="_ml29">#REF!</definedName>
    <definedName name="_ml3" localSheetId="1">#REF!</definedName>
    <definedName name="_ml3" localSheetId="5">#REF!</definedName>
    <definedName name="_ml3">#REF!</definedName>
    <definedName name="_ml30" localSheetId="1">#REF!</definedName>
    <definedName name="_ml30" localSheetId="5">#REF!</definedName>
    <definedName name="_ml30">#REF!</definedName>
    <definedName name="_ml31" localSheetId="0">#REF!</definedName>
    <definedName name="_ml31" localSheetId="4">#REF!</definedName>
    <definedName name="_ml31" localSheetId="1">#REF!</definedName>
    <definedName name="_ml31" localSheetId="5">#REF!</definedName>
    <definedName name="_ml31" localSheetId="3">#REF!</definedName>
    <definedName name="_ml31">#REF!</definedName>
    <definedName name="_ml32" localSheetId="0">#REF!</definedName>
    <definedName name="_ml32" localSheetId="4">#REF!</definedName>
    <definedName name="_ml32" localSheetId="1">#REF!</definedName>
    <definedName name="_ml32" localSheetId="5">#REF!</definedName>
    <definedName name="_ml32" localSheetId="3">#REF!</definedName>
    <definedName name="_ml32">#REF!</definedName>
    <definedName name="_ml33" localSheetId="0">#REF!</definedName>
    <definedName name="_ml33" localSheetId="1">#REF!</definedName>
    <definedName name="_ml33" localSheetId="5">#REF!</definedName>
    <definedName name="_ml33">#REF!</definedName>
    <definedName name="_ml34" localSheetId="1">#REF!</definedName>
    <definedName name="_ml34" localSheetId="5">#REF!</definedName>
    <definedName name="_ml34">#REF!</definedName>
    <definedName name="_ml35" localSheetId="0">#REF!</definedName>
    <definedName name="_ml35" localSheetId="4">#REF!</definedName>
    <definedName name="_ml35" localSheetId="1">#REF!</definedName>
    <definedName name="_ml35" localSheetId="5">#REF!</definedName>
    <definedName name="_ml35" localSheetId="3">#REF!</definedName>
    <definedName name="_ml35">#REF!</definedName>
    <definedName name="_ml36" localSheetId="0">#REF!</definedName>
    <definedName name="_ml36" localSheetId="4">#REF!</definedName>
    <definedName name="_ml36" localSheetId="1">#REF!</definedName>
    <definedName name="_ml36" localSheetId="5">#REF!</definedName>
    <definedName name="_ml36" localSheetId="3">#REF!</definedName>
    <definedName name="_ml36">#REF!</definedName>
    <definedName name="_ml37" localSheetId="0">#REF!</definedName>
    <definedName name="_ml37" localSheetId="1">#REF!</definedName>
    <definedName name="_ml37" localSheetId="5">#REF!</definedName>
    <definedName name="_ml37">#REF!</definedName>
    <definedName name="_ml38" localSheetId="1">#REF!</definedName>
    <definedName name="_ml38" localSheetId="5">#REF!</definedName>
    <definedName name="_ml38">#REF!</definedName>
    <definedName name="_ml39" localSheetId="0">#REF!</definedName>
    <definedName name="_ml39" localSheetId="4">#REF!</definedName>
    <definedName name="_ml39" localSheetId="1">#REF!</definedName>
    <definedName name="_ml39" localSheetId="5">#REF!</definedName>
    <definedName name="_ml39" localSheetId="3">#REF!</definedName>
    <definedName name="_ml39">#REF!</definedName>
    <definedName name="_ml4" localSheetId="0">#REF!</definedName>
    <definedName name="_ml4" localSheetId="1">#REF!</definedName>
    <definedName name="_ml4" localSheetId="5">#REF!</definedName>
    <definedName name="_ml4">#REF!</definedName>
    <definedName name="_ml40" localSheetId="0">#REF!</definedName>
    <definedName name="_ml40" localSheetId="4">#REF!</definedName>
    <definedName name="_ml40" localSheetId="1">#REF!</definedName>
    <definedName name="_ml40" localSheetId="5">#REF!</definedName>
    <definedName name="_ml40" localSheetId="3">#REF!</definedName>
    <definedName name="_ml40">#REF!</definedName>
    <definedName name="_ml41" localSheetId="0">#REF!</definedName>
    <definedName name="_ml41" localSheetId="4">#REF!</definedName>
    <definedName name="_ml41" localSheetId="1">#REF!</definedName>
    <definedName name="_ml41" localSheetId="5">#REF!</definedName>
    <definedName name="_ml41" localSheetId="3">#REF!</definedName>
    <definedName name="_ml41">#REF!</definedName>
    <definedName name="_ml42" localSheetId="0">#REF!</definedName>
    <definedName name="_ml42" localSheetId="4">#REF!</definedName>
    <definedName name="_ml42" localSheetId="1">#REF!</definedName>
    <definedName name="_ml42" localSheetId="5">#REF!</definedName>
    <definedName name="_ml42" localSheetId="3">#REF!</definedName>
    <definedName name="_ml42">#REF!</definedName>
    <definedName name="_ml43" localSheetId="0">#REF!</definedName>
    <definedName name="_ml43" localSheetId="1">#REF!</definedName>
    <definedName name="_ml43" localSheetId="5">#REF!</definedName>
    <definedName name="_ml43">#REF!</definedName>
    <definedName name="_ml44" localSheetId="1">#REF!</definedName>
    <definedName name="_ml44" localSheetId="5">#REF!</definedName>
    <definedName name="_ml44">#REF!</definedName>
    <definedName name="_ml45" localSheetId="1">#REF!</definedName>
    <definedName name="_ml45" localSheetId="5">#REF!</definedName>
    <definedName name="_ml45">#REF!</definedName>
    <definedName name="_ml46" localSheetId="1">#REF!</definedName>
    <definedName name="_ml46">#REF!</definedName>
    <definedName name="_ml47" localSheetId="0">#REF!</definedName>
    <definedName name="_ml47" localSheetId="4">#REF!</definedName>
    <definedName name="_ml47" localSheetId="1">#REF!</definedName>
    <definedName name="_ml47" localSheetId="5">#REF!</definedName>
    <definedName name="_ml47" localSheetId="3">#REF!</definedName>
    <definedName name="_ml47">#REF!</definedName>
    <definedName name="_ml48" localSheetId="0">#REF!</definedName>
    <definedName name="_ml48" localSheetId="4">#REF!</definedName>
    <definedName name="_ml48" localSheetId="1">#REF!</definedName>
    <definedName name="_ml48" localSheetId="5">#REF!</definedName>
    <definedName name="_ml48" localSheetId="3">#REF!</definedName>
    <definedName name="_ml48">#REF!</definedName>
    <definedName name="_ml5" localSheetId="0">#REF!</definedName>
    <definedName name="_ml5" localSheetId="4">#REF!</definedName>
    <definedName name="_ml5" localSheetId="1">#REF!</definedName>
    <definedName name="_ml5" localSheetId="5">#REF!</definedName>
    <definedName name="_ml5" localSheetId="3">#REF!</definedName>
    <definedName name="_ml5">#REF!</definedName>
    <definedName name="_ml6" localSheetId="0">#REF!</definedName>
    <definedName name="_ml6" localSheetId="1">#REF!</definedName>
    <definedName name="_ml6" localSheetId="5">#REF!</definedName>
    <definedName name="_ml6">#REF!</definedName>
    <definedName name="_ml7" localSheetId="1">#REF!</definedName>
    <definedName name="_ml7" localSheetId="5">#REF!</definedName>
    <definedName name="_ml7">#REF!</definedName>
    <definedName name="_ml8" localSheetId="1">#REF!</definedName>
    <definedName name="_ml8" localSheetId="5">#REF!</definedName>
    <definedName name="_ml8">#REF!</definedName>
    <definedName name="_ml9" localSheetId="0">#REF!</definedName>
    <definedName name="_ml9" localSheetId="4">#REF!</definedName>
    <definedName name="_ml9" localSheetId="1">#REF!</definedName>
    <definedName name="_ml9" localSheetId="5">#REF!</definedName>
    <definedName name="_ml9" localSheetId="3">#REF!</definedName>
    <definedName name="_ml9">#REF!</definedName>
    <definedName name="_moon" localSheetId="1">#REF!</definedName>
    <definedName name="_moon" localSheetId="5">#REF!</definedName>
    <definedName name="_moon" localSheetId="3">#REF!</definedName>
    <definedName name="_moon">#REF!</definedName>
    <definedName name="_moonblack" localSheetId="1">#REF!</definedName>
    <definedName name="_moonblack" localSheetId="5">#REF!</definedName>
    <definedName name="_moonblack" localSheetId="3">#REF!</definedName>
    <definedName name="_moonblack">#REF!</definedName>
    <definedName name="_moonbr" localSheetId="1">#REF!</definedName>
    <definedName name="_moonbr" localSheetId="5">#REF!</definedName>
    <definedName name="_moonbr" localSheetId="3">#REF!</definedName>
    <definedName name="_moonbr">#REF!</definedName>
    <definedName name="_moonoffice" localSheetId="1">#REF!</definedName>
    <definedName name="_moonoffice" localSheetId="5">#REF!</definedName>
    <definedName name="_moonoffice" localSheetId="3">#REF!</definedName>
    <definedName name="_moonoffice">#REF!</definedName>
    <definedName name="_nadi" localSheetId="1">#REF!</definedName>
    <definedName name="_nadi" localSheetId="5">#REF!</definedName>
    <definedName name="_nadi" localSheetId="3">#REF!</definedName>
    <definedName name="_nadi">#REF!</definedName>
    <definedName name="_obj1" localSheetId="0">#REF!</definedName>
    <definedName name="_obj1" localSheetId="1">#REF!</definedName>
    <definedName name="_obj1" localSheetId="5">#REF!</definedName>
    <definedName name="_obj1" localSheetId="3">#REF!</definedName>
    <definedName name="_obj1">#REF!</definedName>
    <definedName name="_obj10" localSheetId="0">#REF!</definedName>
    <definedName name="_obj10" localSheetId="1">#REF!</definedName>
    <definedName name="_obj10" localSheetId="5">#REF!</definedName>
    <definedName name="_obj10" localSheetId="3">#REF!</definedName>
    <definedName name="_obj10">#REF!</definedName>
    <definedName name="_obj11" localSheetId="0">#REF!</definedName>
    <definedName name="_obj11" localSheetId="1">#REF!</definedName>
    <definedName name="_obj11" localSheetId="5">#REF!</definedName>
    <definedName name="_obj11" localSheetId="3">#REF!</definedName>
    <definedName name="_obj11">#REF!</definedName>
    <definedName name="_obj12" localSheetId="0">#REF!</definedName>
    <definedName name="_obj12" localSheetId="1">#REF!</definedName>
    <definedName name="_obj12" localSheetId="5">#REF!</definedName>
    <definedName name="_obj12" localSheetId="3">#REF!</definedName>
    <definedName name="_obj12">#REF!</definedName>
    <definedName name="_obj13" localSheetId="0">#REF!</definedName>
    <definedName name="_obj13" localSheetId="1">#REF!</definedName>
    <definedName name="_obj13" localSheetId="5">#REF!</definedName>
    <definedName name="_obj13" localSheetId="3">#REF!</definedName>
    <definedName name="_obj13">#REF!</definedName>
    <definedName name="_obj14" localSheetId="0">#REF!</definedName>
    <definedName name="_obj14" localSheetId="1">#REF!</definedName>
    <definedName name="_obj14" localSheetId="5">#REF!</definedName>
    <definedName name="_obj14" localSheetId="3">#REF!</definedName>
    <definedName name="_obj14">#REF!</definedName>
    <definedName name="_obj15" localSheetId="0">#REF!</definedName>
    <definedName name="_obj15" localSheetId="1">#REF!</definedName>
    <definedName name="_obj15" localSheetId="5">#REF!</definedName>
    <definedName name="_obj15" localSheetId="3">#REF!</definedName>
    <definedName name="_obj15">#REF!</definedName>
    <definedName name="_obj16" localSheetId="0">#REF!</definedName>
    <definedName name="_obj16" localSheetId="1">#REF!</definedName>
    <definedName name="_obj16" localSheetId="5">#REF!</definedName>
    <definedName name="_obj16" localSheetId="3">#REF!</definedName>
    <definedName name="_obj16">#REF!</definedName>
    <definedName name="_obj17" localSheetId="0">#REF!</definedName>
    <definedName name="_obj17" localSheetId="1">#REF!</definedName>
    <definedName name="_obj17" localSheetId="5">#REF!</definedName>
    <definedName name="_obj17" localSheetId="3">#REF!</definedName>
    <definedName name="_obj17">#REF!</definedName>
    <definedName name="_obj18" localSheetId="0">#REF!</definedName>
    <definedName name="_obj18" localSheetId="1">#REF!</definedName>
    <definedName name="_obj18" localSheetId="5">#REF!</definedName>
    <definedName name="_obj18" localSheetId="3">#REF!</definedName>
    <definedName name="_obj18">#REF!</definedName>
    <definedName name="_obj19" localSheetId="0">#REF!</definedName>
    <definedName name="_obj19" localSheetId="1">#REF!</definedName>
    <definedName name="_obj19" localSheetId="5">#REF!</definedName>
    <definedName name="_obj19" localSheetId="3">#REF!</definedName>
    <definedName name="_obj19">#REF!</definedName>
    <definedName name="_obj2" localSheetId="0">#REF!</definedName>
    <definedName name="_obj2" localSheetId="1">#REF!</definedName>
    <definedName name="_obj2" localSheetId="5">#REF!</definedName>
    <definedName name="_obj2" localSheetId="3">#REF!</definedName>
    <definedName name="_obj2">#REF!</definedName>
    <definedName name="_obj20" localSheetId="0">#REF!</definedName>
    <definedName name="_obj20" localSheetId="1">#REF!</definedName>
    <definedName name="_obj20" localSheetId="5">#REF!</definedName>
    <definedName name="_obj20" localSheetId="3">#REF!</definedName>
    <definedName name="_obj20">#REF!</definedName>
    <definedName name="_obj21" localSheetId="0">#REF!</definedName>
    <definedName name="_obj21" localSheetId="1">#REF!</definedName>
    <definedName name="_obj21" localSheetId="5">#REF!</definedName>
    <definedName name="_obj21" localSheetId="3">#REF!</definedName>
    <definedName name="_obj21">#REF!</definedName>
    <definedName name="_obj22" localSheetId="0">#REF!</definedName>
    <definedName name="_obj22" localSheetId="1">#REF!</definedName>
    <definedName name="_obj22" localSheetId="5">#REF!</definedName>
    <definedName name="_obj22" localSheetId="3">#REF!</definedName>
    <definedName name="_obj22">#REF!</definedName>
    <definedName name="_obj23" localSheetId="0">#REF!</definedName>
    <definedName name="_obj23" localSheetId="1">#REF!</definedName>
    <definedName name="_obj23" localSheetId="5">#REF!</definedName>
    <definedName name="_obj23" localSheetId="3">#REF!</definedName>
    <definedName name="_obj23">#REF!</definedName>
    <definedName name="_obj24" localSheetId="0">#REF!</definedName>
    <definedName name="_obj24" localSheetId="1">#REF!</definedName>
    <definedName name="_obj24" localSheetId="5">#REF!</definedName>
    <definedName name="_obj24" localSheetId="3">#REF!</definedName>
    <definedName name="_obj24">#REF!</definedName>
    <definedName name="_obj25" localSheetId="0">#REF!</definedName>
    <definedName name="_obj25" localSheetId="1">#REF!</definedName>
    <definedName name="_obj25" localSheetId="5">#REF!</definedName>
    <definedName name="_obj25" localSheetId="3">#REF!</definedName>
    <definedName name="_obj25">#REF!</definedName>
    <definedName name="_obj26" localSheetId="0">#REF!</definedName>
    <definedName name="_obj26" localSheetId="1">#REF!</definedName>
    <definedName name="_obj26" localSheetId="5">#REF!</definedName>
    <definedName name="_obj26" localSheetId="3">#REF!</definedName>
    <definedName name="_obj26">#REF!</definedName>
    <definedName name="_obj27" localSheetId="0">#REF!</definedName>
    <definedName name="_obj27" localSheetId="1">#REF!</definedName>
    <definedName name="_obj27" localSheetId="5">#REF!</definedName>
    <definedName name="_obj27" localSheetId="3">#REF!</definedName>
    <definedName name="_obj27">#REF!</definedName>
    <definedName name="_obj28" localSheetId="0">#REF!</definedName>
    <definedName name="_obj28" localSheetId="1">#REF!</definedName>
    <definedName name="_obj28" localSheetId="5">#REF!</definedName>
    <definedName name="_obj28" localSheetId="3">#REF!</definedName>
    <definedName name="_obj28">#REF!</definedName>
    <definedName name="_obj29" localSheetId="0">#REF!</definedName>
    <definedName name="_obj29" localSheetId="1">#REF!</definedName>
    <definedName name="_obj29" localSheetId="5">#REF!</definedName>
    <definedName name="_obj29" localSheetId="3">#REF!</definedName>
    <definedName name="_obj29">#REF!</definedName>
    <definedName name="_obj3" localSheetId="0">#REF!</definedName>
    <definedName name="_obj3" localSheetId="1">#REF!</definedName>
    <definedName name="_obj3" localSheetId="5">#REF!</definedName>
    <definedName name="_obj3" localSheetId="3">#REF!</definedName>
    <definedName name="_obj3">#REF!</definedName>
    <definedName name="_obj30" localSheetId="0">#REF!</definedName>
    <definedName name="_obj30" localSheetId="1">#REF!</definedName>
    <definedName name="_obj30" localSheetId="5">#REF!</definedName>
    <definedName name="_obj30" localSheetId="3">#REF!</definedName>
    <definedName name="_obj30">#REF!</definedName>
    <definedName name="_obj31" localSheetId="0">#REF!</definedName>
    <definedName name="_obj31" localSheetId="1">#REF!</definedName>
    <definedName name="_obj31" localSheetId="5">#REF!</definedName>
    <definedName name="_obj31" localSheetId="3">#REF!</definedName>
    <definedName name="_obj31">#REF!</definedName>
    <definedName name="_obj32" localSheetId="0">#REF!</definedName>
    <definedName name="_obj32" localSheetId="1">#REF!</definedName>
    <definedName name="_obj32" localSheetId="5">#REF!</definedName>
    <definedName name="_obj32" localSheetId="3">#REF!</definedName>
    <definedName name="_obj32">#REF!</definedName>
    <definedName name="_obj32a" localSheetId="0">#REF!</definedName>
    <definedName name="_obj32a" localSheetId="1">#REF!</definedName>
    <definedName name="_obj32a" localSheetId="5">#REF!</definedName>
    <definedName name="_obj32a" localSheetId="3">#REF!</definedName>
    <definedName name="_obj32a">#REF!</definedName>
    <definedName name="_obj32b" localSheetId="0">#REF!</definedName>
    <definedName name="_obj32b" localSheetId="1">#REF!</definedName>
    <definedName name="_obj32b" localSheetId="5">#REF!</definedName>
    <definedName name="_obj32b" localSheetId="3">#REF!</definedName>
    <definedName name="_obj32b">#REF!</definedName>
    <definedName name="_obj32c" localSheetId="0">#REF!</definedName>
    <definedName name="_obj32c" localSheetId="1">#REF!</definedName>
    <definedName name="_obj32c" localSheetId="5">#REF!</definedName>
    <definedName name="_obj32c" localSheetId="3">#REF!</definedName>
    <definedName name="_obj32c">#REF!</definedName>
    <definedName name="_obj32d" localSheetId="0">#REF!</definedName>
    <definedName name="_obj32d" localSheetId="1">#REF!</definedName>
    <definedName name="_obj32d" localSheetId="5">#REF!</definedName>
    <definedName name="_obj32d" localSheetId="3">#REF!</definedName>
    <definedName name="_obj32d">#REF!</definedName>
    <definedName name="_obj32e" localSheetId="0">#REF!</definedName>
    <definedName name="_obj32e" localSheetId="1">#REF!</definedName>
    <definedName name="_obj32e" localSheetId="5">#REF!</definedName>
    <definedName name="_obj32e" localSheetId="3">#REF!</definedName>
    <definedName name="_obj32e">#REF!</definedName>
    <definedName name="_obj33" localSheetId="0">#REF!</definedName>
    <definedName name="_obj33" localSheetId="4">#REF!</definedName>
    <definedName name="_obj33" localSheetId="1">#REF!</definedName>
    <definedName name="_obj33" localSheetId="5">#REF!</definedName>
    <definedName name="_obj33" localSheetId="3">#REF!</definedName>
    <definedName name="_obj33">#REF!</definedName>
    <definedName name="_obj34" localSheetId="0">#REF!</definedName>
    <definedName name="_obj34" localSheetId="1">#REF!</definedName>
    <definedName name="_obj34" localSheetId="5">#REF!</definedName>
    <definedName name="_obj34" localSheetId="3">#REF!</definedName>
    <definedName name="_obj34">#REF!</definedName>
    <definedName name="_obj35" localSheetId="0">#REF!</definedName>
    <definedName name="_obj35" localSheetId="1">#REF!</definedName>
    <definedName name="_obj35" localSheetId="5">#REF!</definedName>
    <definedName name="_obj35" localSheetId="3">#REF!</definedName>
    <definedName name="_obj35">#REF!</definedName>
    <definedName name="_obj36" localSheetId="0">#REF!</definedName>
    <definedName name="_obj36" localSheetId="1">#REF!</definedName>
    <definedName name="_obj36" localSheetId="5">#REF!</definedName>
    <definedName name="_obj36" localSheetId="3">#REF!</definedName>
    <definedName name="_obj36">#REF!</definedName>
    <definedName name="_obj36a" localSheetId="0">#REF!</definedName>
    <definedName name="_obj36a" localSheetId="1">#REF!</definedName>
    <definedName name="_obj36a" localSheetId="5">#REF!</definedName>
    <definedName name="_obj36a" localSheetId="3">#REF!</definedName>
    <definedName name="_obj36a">#REF!</definedName>
    <definedName name="_obj37" localSheetId="0">#REF!</definedName>
    <definedName name="_obj37" localSheetId="4">#REF!</definedName>
    <definedName name="_obj37" localSheetId="1">#REF!</definedName>
    <definedName name="_obj37" localSheetId="5">#REF!</definedName>
    <definedName name="_obj37" localSheetId="3">#REF!</definedName>
    <definedName name="_obj37">#REF!</definedName>
    <definedName name="_obj38" localSheetId="0">#REF!</definedName>
    <definedName name="_obj38" localSheetId="1">#REF!</definedName>
    <definedName name="_obj38" localSheetId="5">#REF!</definedName>
    <definedName name="_obj38" localSheetId="3">#REF!</definedName>
    <definedName name="_obj38">#REF!</definedName>
    <definedName name="_obj39" localSheetId="0">#REF!</definedName>
    <definedName name="_obj39" localSheetId="1">#REF!</definedName>
    <definedName name="_obj39" localSheetId="5">#REF!</definedName>
    <definedName name="_obj39" localSheetId="3">#REF!</definedName>
    <definedName name="_obj39">#REF!</definedName>
    <definedName name="_obj4" localSheetId="0">#REF!</definedName>
    <definedName name="_obj4" localSheetId="1">#REF!</definedName>
    <definedName name="_obj4" localSheetId="5">#REF!</definedName>
    <definedName name="_obj4" localSheetId="3">#REF!</definedName>
    <definedName name="_obj4">#REF!</definedName>
    <definedName name="_obj40" localSheetId="0">#REF!</definedName>
    <definedName name="_obj40" localSheetId="1">#REF!</definedName>
    <definedName name="_obj40" localSheetId="5">#REF!</definedName>
    <definedName name="_obj40" localSheetId="3">#REF!</definedName>
    <definedName name="_obj40">#REF!</definedName>
    <definedName name="_obj40a" localSheetId="0">#REF!</definedName>
    <definedName name="_obj40a" localSheetId="1">#REF!</definedName>
    <definedName name="_obj40a" localSheetId="5">#REF!</definedName>
    <definedName name="_obj40a" localSheetId="3">#REF!</definedName>
    <definedName name="_obj40a">#REF!</definedName>
    <definedName name="_obj41" localSheetId="0">#REF!</definedName>
    <definedName name="_obj41" localSheetId="4">#REF!</definedName>
    <definedName name="_obj41" localSheetId="1">#REF!</definedName>
    <definedName name="_obj41" localSheetId="5">#REF!</definedName>
    <definedName name="_obj41" localSheetId="3">#REF!</definedName>
    <definedName name="_obj41">#REF!</definedName>
    <definedName name="_obj42" localSheetId="0">#REF!</definedName>
    <definedName name="_obj42" localSheetId="1">#REF!</definedName>
    <definedName name="_obj42" localSheetId="5">#REF!</definedName>
    <definedName name="_obj42" localSheetId="3">#REF!</definedName>
    <definedName name="_obj42">#REF!</definedName>
    <definedName name="_obj43" localSheetId="0">#REF!</definedName>
    <definedName name="_obj43" localSheetId="1">#REF!</definedName>
    <definedName name="_obj43" localSheetId="5">#REF!</definedName>
    <definedName name="_obj43" localSheetId="3">#REF!</definedName>
    <definedName name="_obj43">#REF!</definedName>
    <definedName name="_obj43a" localSheetId="0">#REF!</definedName>
    <definedName name="_obj43a" localSheetId="1">#REF!</definedName>
    <definedName name="_obj43a" localSheetId="5">#REF!</definedName>
    <definedName name="_obj43a" localSheetId="3">#REF!</definedName>
    <definedName name="_obj43a">#REF!</definedName>
    <definedName name="_obj43b" localSheetId="0">#REF!</definedName>
    <definedName name="_obj43b" localSheetId="1">#REF!</definedName>
    <definedName name="_obj43b" localSheetId="5">#REF!</definedName>
    <definedName name="_obj43b" localSheetId="3">#REF!</definedName>
    <definedName name="_obj43b">#REF!</definedName>
    <definedName name="_obj43c" localSheetId="0">#REF!</definedName>
    <definedName name="_obj43c" localSheetId="1">#REF!</definedName>
    <definedName name="_obj43c" localSheetId="5">#REF!</definedName>
    <definedName name="_obj43c" localSheetId="3">#REF!</definedName>
    <definedName name="_obj43c">#REF!</definedName>
    <definedName name="_obj43d" localSheetId="0">#REF!</definedName>
    <definedName name="_obj43d" localSheetId="1">#REF!</definedName>
    <definedName name="_obj43d" localSheetId="5">#REF!</definedName>
    <definedName name="_obj43d" localSheetId="3">#REF!</definedName>
    <definedName name="_obj43d">#REF!</definedName>
    <definedName name="_obj43e" localSheetId="0">#REF!</definedName>
    <definedName name="_obj43e" localSheetId="1">#REF!</definedName>
    <definedName name="_obj43e" localSheetId="5">#REF!</definedName>
    <definedName name="_obj43e" localSheetId="3">#REF!</definedName>
    <definedName name="_obj43e">#REF!</definedName>
    <definedName name="_obj43f" localSheetId="0">#REF!</definedName>
    <definedName name="_obj43f" localSheetId="1">#REF!</definedName>
    <definedName name="_obj43f" localSheetId="5">#REF!</definedName>
    <definedName name="_obj43f" localSheetId="3">#REF!</definedName>
    <definedName name="_obj43f">#REF!</definedName>
    <definedName name="_obj43g" localSheetId="0">#REF!</definedName>
    <definedName name="_obj43g" localSheetId="1">#REF!</definedName>
    <definedName name="_obj43g" localSheetId="5">#REF!</definedName>
    <definedName name="_obj43g" localSheetId="3">#REF!</definedName>
    <definedName name="_obj43g">#REF!</definedName>
    <definedName name="_obj44" localSheetId="0">#REF!</definedName>
    <definedName name="_obj44" localSheetId="1">#REF!</definedName>
    <definedName name="_obj44" localSheetId="5">#REF!</definedName>
    <definedName name="_obj44" localSheetId="3">#REF!</definedName>
    <definedName name="_obj44">#REF!</definedName>
    <definedName name="_obj45" localSheetId="0">#REF!</definedName>
    <definedName name="_obj45" localSheetId="1">#REF!</definedName>
    <definedName name="_obj45" localSheetId="5">#REF!</definedName>
    <definedName name="_obj45" localSheetId="3">#REF!</definedName>
    <definedName name="_obj45">#REF!</definedName>
    <definedName name="_obj46" localSheetId="0">#REF!</definedName>
    <definedName name="_obj46" localSheetId="1">#REF!</definedName>
    <definedName name="_obj46" localSheetId="5">#REF!</definedName>
    <definedName name="_obj46" localSheetId="3">#REF!</definedName>
    <definedName name="_obj46">#REF!</definedName>
    <definedName name="_obj47" localSheetId="0">#REF!</definedName>
    <definedName name="_obj47" localSheetId="1">#REF!</definedName>
    <definedName name="_obj47" localSheetId="5">#REF!</definedName>
    <definedName name="_obj47" localSheetId="3">#REF!</definedName>
    <definedName name="_obj47">#REF!</definedName>
    <definedName name="_obj48" localSheetId="0">#REF!</definedName>
    <definedName name="_obj48" localSheetId="1">#REF!</definedName>
    <definedName name="_obj48" localSheetId="5">#REF!</definedName>
    <definedName name="_obj48" localSheetId="3">#REF!</definedName>
    <definedName name="_obj48">#REF!</definedName>
    <definedName name="_obj49" localSheetId="0">#REF!</definedName>
    <definedName name="_obj49" localSheetId="1">#REF!</definedName>
    <definedName name="_obj49" localSheetId="5">#REF!</definedName>
    <definedName name="_obj49" localSheetId="3">#REF!</definedName>
    <definedName name="_obj49">#REF!</definedName>
    <definedName name="_obj5" localSheetId="0">#REF!</definedName>
    <definedName name="_obj5" localSheetId="1">#REF!</definedName>
    <definedName name="_obj5" localSheetId="5">#REF!</definedName>
    <definedName name="_obj5" localSheetId="3">#REF!</definedName>
    <definedName name="_obj5">#REF!</definedName>
    <definedName name="_obj50" localSheetId="0">#REF!</definedName>
    <definedName name="_obj50" localSheetId="1">#REF!</definedName>
    <definedName name="_obj50" localSheetId="5">#REF!</definedName>
    <definedName name="_obj50" localSheetId="3">#REF!</definedName>
    <definedName name="_obj50">#REF!</definedName>
    <definedName name="_obj6" localSheetId="0">#REF!</definedName>
    <definedName name="_obj6" localSheetId="1">#REF!</definedName>
    <definedName name="_obj6" localSheetId="5">#REF!</definedName>
    <definedName name="_obj6" localSheetId="3">#REF!</definedName>
    <definedName name="_obj6">#REF!</definedName>
    <definedName name="_obj7" localSheetId="0">#REF!</definedName>
    <definedName name="_obj7" localSheetId="1">#REF!</definedName>
    <definedName name="_obj7" localSheetId="5">#REF!</definedName>
    <definedName name="_obj7" localSheetId="3">#REF!</definedName>
    <definedName name="_obj7">#REF!</definedName>
    <definedName name="_obj8" localSheetId="0">#REF!</definedName>
    <definedName name="_obj8" localSheetId="1">#REF!</definedName>
    <definedName name="_obj8" localSheetId="5">#REF!</definedName>
    <definedName name="_obj8" localSheetId="3">#REF!</definedName>
    <definedName name="_obj8">#REF!</definedName>
    <definedName name="_obj8a" localSheetId="0">#REF!</definedName>
    <definedName name="_obj8a" localSheetId="1">#REF!</definedName>
    <definedName name="_obj8a" localSheetId="5">#REF!</definedName>
    <definedName name="_obj8a" localSheetId="3">#REF!</definedName>
    <definedName name="_obj8a">#REF!</definedName>
    <definedName name="_obj8b" localSheetId="0">#REF!</definedName>
    <definedName name="_obj8b" localSheetId="1">#REF!</definedName>
    <definedName name="_obj8b" localSheetId="5">#REF!</definedName>
    <definedName name="_obj8b" localSheetId="3">#REF!</definedName>
    <definedName name="_obj8b">#REF!</definedName>
    <definedName name="_obj8c" localSheetId="0">#REF!</definedName>
    <definedName name="_obj8c" localSheetId="1">#REF!</definedName>
    <definedName name="_obj8c" localSheetId="5">#REF!</definedName>
    <definedName name="_obj8c" localSheetId="3">#REF!</definedName>
    <definedName name="_obj8c">#REF!</definedName>
    <definedName name="_obj8d" localSheetId="0">#REF!</definedName>
    <definedName name="_obj8d" localSheetId="1">#REF!</definedName>
    <definedName name="_obj8d" localSheetId="5">#REF!</definedName>
    <definedName name="_obj8d" localSheetId="3">#REF!</definedName>
    <definedName name="_obj8d">#REF!</definedName>
    <definedName name="_obj8e" localSheetId="0">#REF!</definedName>
    <definedName name="_obj8e" localSheetId="1">#REF!</definedName>
    <definedName name="_obj8e" localSheetId="5">#REF!</definedName>
    <definedName name="_obj8e" localSheetId="3">#REF!</definedName>
    <definedName name="_obj8e">#REF!</definedName>
    <definedName name="_obj8f" localSheetId="0">#REF!</definedName>
    <definedName name="_obj8f" localSheetId="1">#REF!</definedName>
    <definedName name="_obj8f" localSheetId="5">#REF!</definedName>
    <definedName name="_obj8f" localSheetId="3">#REF!</definedName>
    <definedName name="_obj8f">#REF!</definedName>
    <definedName name="_obj8g" localSheetId="0">#REF!</definedName>
    <definedName name="_obj8g" localSheetId="1">#REF!</definedName>
    <definedName name="_obj8g" localSheetId="5">#REF!</definedName>
    <definedName name="_obj8g" localSheetId="3">#REF!</definedName>
    <definedName name="_obj8g">#REF!</definedName>
    <definedName name="_obj8h" localSheetId="0">#REF!</definedName>
    <definedName name="_obj8h" localSheetId="1">#REF!</definedName>
    <definedName name="_obj8h" localSheetId="5">#REF!</definedName>
    <definedName name="_obj8h" localSheetId="3">#REF!</definedName>
    <definedName name="_obj8h">#REF!</definedName>
    <definedName name="_obj9" localSheetId="0">#REF!</definedName>
    <definedName name="_obj9" localSheetId="1">#REF!</definedName>
    <definedName name="_obj9" localSheetId="5">#REF!</definedName>
    <definedName name="_obj9" localSheetId="3">#REF!</definedName>
    <definedName name="_obj9">#REF!</definedName>
    <definedName name="_pol1" localSheetId="1">#REF!</definedName>
    <definedName name="_pol1" localSheetId="5">#REF!</definedName>
    <definedName name="_pol1" localSheetId="3">#REF!</definedName>
    <definedName name="_pol1">#REF!</definedName>
    <definedName name="_pol10" localSheetId="1">#REF!</definedName>
    <definedName name="_pol10" localSheetId="5">#REF!</definedName>
    <definedName name="_pol10" localSheetId="3">#REF!</definedName>
    <definedName name="_pol10">#REF!</definedName>
    <definedName name="_pol11" localSheetId="1">#REF!</definedName>
    <definedName name="_pol11" localSheetId="5">#REF!</definedName>
    <definedName name="_pol11" localSheetId="3">#REF!</definedName>
    <definedName name="_pol11">#REF!</definedName>
    <definedName name="_pol12" localSheetId="1">#REF!</definedName>
    <definedName name="_pol12" localSheetId="5">#REF!</definedName>
    <definedName name="_pol12" localSheetId="3">#REF!</definedName>
    <definedName name="_pol12">#REF!</definedName>
    <definedName name="_pol13" localSheetId="1">#REF!</definedName>
    <definedName name="_pol13" localSheetId="5">#REF!</definedName>
    <definedName name="_pol13" localSheetId="3">#REF!</definedName>
    <definedName name="_pol13">#REF!</definedName>
    <definedName name="_pol14" localSheetId="1">#REF!</definedName>
    <definedName name="_pol14" localSheetId="5">#REF!</definedName>
    <definedName name="_pol14" localSheetId="3">#REF!</definedName>
    <definedName name="_pol14">#REF!</definedName>
    <definedName name="_pol15" localSheetId="1">#REF!</definedName>
    <definedName name="_pol15" localSheetId="5">#REF!</definedName>
    <definedName name="_pol15" localSheetId="3">#REF!</definedName>
    <definedName name="_pol15">#REF!</definedName>
    <definedName name="_pol16" localSheetId="1">#REF!</definedName>
    <definedName name="_pol16" localSheetId="5">#REF!</definedName>
    <definedName name="_pol16" localSheetId="3">#REF!</definedName>
    <definedName name="_pol16">#REF!</definedName>
    <definedName name="_pol17" localSheetId="1">#REF!</definedName>
    <definedName name="_pol17" localSheetId="5">#REF!</definedName>
    <definedName name="_pol17" localSheetId="3">#REF!</definedName>
    <definedName name="_pol17">#REF!</definedName>
    <definedName name="_pol18" localSheetId="1">#REF!</definedName>
    <definedName name="_pol18" localSheetId="5">#REF!</definedName>
    <definedName name="_pol18" localSheetId="3">#REF!</definedName>
    <definedName name="_pol18">#REF!</definedName>
    <definedName name="_pol19" localSheetId="1">#REF!</definedName>
    <definedName name="_pol19" localSheetId="5">#REF!</definedName>
    <definedName name="_pol19" localSheetId="3">#REF!</definedName>
    <definedName name="_pol19">#REF!</definedName>
    <definedName name="_pol2" localSheetId="1">#REF!</definedName>
    <definedName name="_pol2" localSheetId="5">#REF!</definedName>
    <definedName name="_pol2" localSheetId="3">#REF!</definedName>
    <definedName name="_pol2">#REF!</definedName>
    <definedName name="_pol20" localSheetId="1">#REF!</definedName>
    <definedName name="_pol20" localSheetId="5">#REF!</definedName>
    <definedName name="_pol20" localSheetId="3">#REF!</definedName>
    <definedName name="_pol20">#REF!</definedName>
    <definedName name="_pol21" localSheetId="1">#REF!</definedName>
    <definedName name="_pol21" localSheetId="5">#REF!</definedName>
    <definedName name="_pol21" localSheetId="3">#REF!</definedName>
    <definedName name="_pol21">#REF!</definedName>
    <definedName name="_pol22" localSheetId="1">#REF!</definedName>
    <definedName name="_pol22" localSheetId="5">#REF!</definedName>
    <definedName name="_pol22" localSheetId="3">#REF!</definedName>
    <definedName name="_pol22">#REF!</definedName>
    <definedName name="_pol23" localSheetId="1">#REF!</definedName>
    <definedName name="_pol23" localSheetId="5">#REF!</definedName>
    <definedName name="_pol23" localSheetId="3">#REF!</definedName>
    <definedName name="_pol23">#REF!</definedName>
    <definedName name="_pol24" localSheetId="1">#REF!</definedName>
    <definedName name="_pol24" localSheetId="5">#REF!</definedName>
    <definedName name="_pol24" localSheetId="3">#REF!</definedName>
    <definedName name="_pol24">#REF!</definedName>
    <definedName name="_pol3" localSheetId="1">#REF!</definedName>
    <definedName name="_pol3" localSheetId="5">#REF!</definedName>
    <definedName name="_pol3" localSheetId="3">#REF!</definedName>
    <definedName name="_pol3">#REF!</definedName>
    <definedName name="_pol4" localSheetId="1">#REF!</definedName>
    <definedName name="_pol4" localSheetId="5">#REF!</definedName>
    <definedName name="_pol4" localSheetId="3">#REF!</definedName>
    <definedName name="_pol4">#REF!</definedName>
    <definedName name="_pol5" localSheetId="1">#REF!</definedName>
    <definedName name="_pol5" localSheetId="5">#REF!</definedName>
    <definedName name="_pol5" localSheetId="3">#REF!</definedName>
    <definedName name="_pol5">#REF!</definedName>
    <definedName name="_pol6" localSheetId="1">#REF!</definedName>
    <definedName name="_pol6" localSheetId="5">#REF!</definedName>
    <definedName name="_pol6" localSheetId="3">#REF!</definedName>
    <definedName name="_pol6">#REF!</definedName>
    <definedName name="_pol7" localSheetId="1">#REF!</definedName>
    <definedName name="_pol7" localSheetId="5">#REF!</definedName>
    <definedName name="_pol7" localSheetId="3">#REF!</definedName>
    <definedName name="_pol7">#REF!</definedName>
    <definedName name="_pol8" localSheetId="1">#REF!</definedName>
    <definedName name="_pol8" localSheetId="5">#REF!</definedName>
    <definedName name="_pol8" localSheetId="3">#REF!</definedName>
    <definedName name="_pol8">#REF!</definedName>
    <definedName name="_pol9" localSheetId="1">#REF!</definedName>
    <definedName name="_pol9" localSheetId="5">#REF!</definedName>
    <definedName name="_pol9" localSheetId="3">#REF!</definedName>
    <definedName name="_pol9">#REF!</definedName>
    <definedName name="_poltjoy" localSheetId="1">#REF!</definedName>
    <definedName name="_poltjoy" localSheetId="5">#REF!</definedName>
    <definedName name="_poltjoy" localSheetId="3">#REF!</definedName>
    <definedName name="_poltjoy">#REF!</definedName>
    <definedName name="_prat1" localSheetId="0">#REF!</definedName>
    <definedName name="_prat1" localSheetId="1">#REF!</definedName>
    <definedName name="_prat1" localSheetId="3">#REF!</definedName>
    <definedName name="_prat1">#REF!</definedName>
    <definedName name="_prat10" localSheetId="0">#REF!</definedName>
    <definedName name="_prat10" localSheetId="1">#REF!</definedName>
    <definedName name="_prat10" localSheetId="3">#REF!</definedName>
    <definedName name="_prat10">#REF!</definedName>
    <definedName name="_prat11" localSheetId="0">#REF!</definedName>
    <definedName name="_prat11" localSheetId="1">#REF!</definedName>
    <definedName name="_prat11" localSheetId="3">#REF!</definedName>
    <definedName name="_prat11">#REF!</definedName>
    <definedName name="_prat2" localSheetId="0">#REF!</definedName>
    <definedName name="_prat2" localSheetId="1">#REF!</definedName>
    <definedName name="_prat2" localSheetId="3">#REF!</definedName>
    <definedName name="_prat2">#REF!</definedName>
    <definedName name="_prat3" localSheetId="0">#REF!</definedName>
    <definedName name="_prat3" localSheetId="1">#REF!</definedName>
    <definedName name="_prat3" localSheetId="3">#REF!</definedName>
    <definedName name="_prat3">#REF!</definedName>
    <definedName name="_prat4" localSheetId="0">#REF!</definedName>
    <definedName name="_prat4" localSheetId="1">#REF!</definedName>
    <definedName name="_prat4" localSheetId="3">#REF!</definedName>
    <definedName name="_prat4">#REF!</definedName>
    <definedName name="_prat5" localSheetId="0">#REF!</definedName>
    <definedName name="_prat5" localSheetId="1">#REF!</definedName>
    <definedName name="_prat5" localSheetId="3">#REF!</definedName>
    <definedName name="_prat5">#REF!</definedName>
    <definedName name="_prat6" localSheetId="0">#REF!</definedName>
    <definedName name="_prat6" localSheetId="1">#REF!</definedName>
    <definedName name="_prat6" localSheetId="3">#REF!</definedName>
    <definedName name="_prat6">#REF!</definedName>
    <definedName name="_prat7" localSheetId="0">#REF!</definedName>
    <definedName name="_prat7" localSheetId="1">#REF!</definedName>
    <definedName name="_prat7" localSheetId="3">#REF!</definedName>
    <definedName name="_prat7">#REF!</definedName>
    <definedName name="_prat8" localSheetId="0">#REF!</definedName>
    <definedName name="_prat8" localSheetId="1">#REF!</definedName>
    <definedName name="_prat8" localSheetId="3">#REF!</definedName>
    <definedName name="_prat8">#REF!</definedName>
    <definedName name="_prat9" localSheetId="0">#REF!</definedName>
    <definedName name="_prat9" localSheetId="1">#REF!</definedName>
    <definedName name="_prat9" localSheetId="3">#REF!</definedName>
    <definedName name="_prat9">#REF!</definedName>
    <definedName name="_prima" localSheetId="1">#REF!</definedName>
    <definedName name="_prima" localSheetId="5">#REF!</definedName>
    <definedName name="_prima" localSheetId="3">#REF!</definedName>
    <definedName name="_prima">#REF!</definedName>
    <definedName name="_primabr" localSheetId="1">#REF!</definedName>
    <definedName name="_primabr" localSheetId="5">#REF!</definedName>
    <definedName name="_primabr" localSheetId="3">#REF!</definedName>
    <definedName name="_primabr">#REF!</definedName>
    <definedName name="_puf1" localSheetId="1">#REF!</definedName>
    <definedName name="_puf1" localSheetId="5">#REF!</definedName>
    <definedName name="_puf1" localSheetId="3">#REF!</definedName>
    <definedName name="_puf1">#REF!</definedName>
    <definedName name="_puf2" localSheetId="1">#REF!</definedName>
    <definedName name="_puf2" localSheetId="5">#REF!</definedName>
    <definedName name="_puf2" localSheetId="3">#REF!</definedName>
    <definedName name="_puf2">#REF!</definedName>
    <definedName name="_puf3" localSheetId="1">#REF!</definedName>
    <definedName name="_puf3" localSheetId="5">#REF!</definedName>
    <definedName name="_puf3" localSheetId="3">#REF!</definedName>
    <definedName name="_puf3">#REF!</definedName>
    <definedName name="_rack1" localSheetId="1">#REF!</definedName>
    <definedName name="_rack1">#REF!</definedName>
    <definedName name="_rack2" localSheetId="1">#REF!</definedName>
    <definedName name="_rack2">#REF!</definedName>
    <definedName name="_rack3" localSheetId="1">#REF!</definedName>
    <definedName name="_rack3">#REF!</definedName>
    <definedName name="_rack4" localSheetId="1">#REF!</definedName>
    <definedName name="_rack4">#REF!</definedName>
    <definedName name="_rack5" localSheetId="1">#REF!</definedName>
    <definedName name="_rack5">#REF!</definedName>
    <definedName name="_rack6" localSheetId="1">#REF!</definedName>
    <definedName name="_rack6">#REF!</definedName>
    <definedName name="_saer1" localSheetId="1">#REF!</definedName>
    <definedName name="_saer1" localSheetId="5">#REF!</definedName>
    <definedName name="_saer1" localSheetId="3">#REF!</definedName>
    <definedName name="_saer1">#REF!</definedName>
    <definedName name="_saer10" localSheetId="1">#REF!</definedName>
    <definedName name="_saer10" localSheetId="5">#REF!</definedName>
    <definedName name="_saer10" localSheetId="3">#REF!</definedName>
    <definedName name="_saer10">#REF!</definedName>
    <definedName name="_saer11" localSheetId="1">#REF!</definedName>
    <definedName name="_saer11" localSheetId="5">#REF!</definedName>
    <definedName name="_saer11" localSheetId="3">#REF!</definedName>
    <definedName name="_saer11">#REF!</definedName>
    <definedName name="_saer12" localSheetId="1">#REF!</definedName>
    <definedName name="_saer12" localSheetId="5">#REF!</definedName>
    <definedName name="_saer12" localSheetId="3">#REF!</definedName>
    <definedName name="_saer12">#REF!</definedName>
    <definedName name="_saer13" localSheetId="1">#REF!</definedName>
    <definedName name="_saer13" localSheetId="5">#REF!</definedName>
    <definedName name="_saer13" localSheetId="3">#REF!</definedName>
    <definedName name="_saer13">#REF!</definedName>
    <definedName name="_saer14" localSheetId="1">#REF!</definedName>
    <definedName name="_saer14" localSheetId="5">#REF!</definedName>
    <definedName name="_saer14" localSheetId="3">#REF!</definedName>
    <definedName name="_saer14">#REF!</definedName>
    <definedName name="_saer15" localSheetId="1">#REF!</definedName>
    <definedName name="_saer15" localSheetId="5">#REF!</definedName>
    <definedName name="_saer15" localSheetId="3">#REF!</definedName>
    <definedName name="_saer15">#REF!</definedName>
    <definedName name="_saer16" localSheetId="1">#REF!</definedName>
    <definedName name="_saer16" localSheetId="5">#REF!</definedName>
    <definedName name="_saer16" localSheetId="3">#REF!</definedName>
    <definedName name="_saer16">#REF!</definedName>
    <definedName name="_saer17" localSheetId="1">#REF!</definedName>
    <definedName name="_saer17" localSheetId="5">#REF!</definedName>
    <definedName name="_saer17" localSheetId="3">#REF!</definedName>
    <definedName name="_saer17">#REF!</definedName>
    <definedName name="_saer18" localSheetId="1">#REF!</definedName>
    <definedName name="_saer18" localSheetId="5">#REF!</definedName>
    <definedName name="_saer18" localSheetId="3">#REF!</definedName>
    <definedName name="_saer18">#REF!</definedName>
    <definedName name="_saer2" localSheetId="1">#REF!</definedName>
    <definedName name="_saer2" localSheetId="5">#REF!</definedName>
    <definedName name="_saer2" localSheetId="3">#REF!</definedName>
    <definedName name="_saer2">#REF!</definedName>
    <definedName name="_saer3" localSheetId="1">#REF!</definedName>
    <definedName name="_saer3" localSheetId="5">#REF!</definedName>
    <definedName name="_saer3" localSheetId="3">#REF!</definedName>
    <definedName name="_saer3">#REF!</definedName>
    <definedName name="_saer4" localSheetId="1">#REF!</definedName>
    <definedName name="_saer4" localSheetId="5">#REF!</definedName>
    <definedName name="_saer4" localSheetId="3">#REF!</definedName>
    <definedName name="_saer4">#REF!</definedName>
    <definedName name="_saer5" localSheetId="1">#REF!</definedName>
    <definedName name="_saer5" localSheetId="5">#REF!</definedName>
    <definedName name="_saer5" localSheetId="3">#REF!</definedName>
    <definedName name="_saer5">#REF!</definedName>
    <definedName name="_saer6" localSheetId="1">#REF!</definedName>
    <definedName name="_saer6" localSheetId="5">#REF!</definedName>
    <definedName name="_saer6" localSheetId="3">#REF!</definedName>
    <definedName name="_saer6">#REF!</definedName>
    <definedName name="_saer7" localSheetId="1">#REF!</definedName>
    <definedName name="_saer7" localSheetId="5">#REF!</definedName>
    <definedName name="_saer7" localSheetId="3">#REF!</definedName>
    <definedName name="_saer7">#REF!</definedName>
    <definedName name="_saer8" localSheetId="1">#REF!</definedName>
    <definedName name="_saer8" localSheetId="5">#REF!</definedName>
    <definedName name="_saer8" localSheetId="3">#REF!</definedName>
    <definedName name="_saer8">#REF!</definedName>
    <definedName name="_saer9" localSheetId="1">#REF!</definedName>
    <definedName name="_saer9" localSheetId="5">#REF!</definedName>
    <definedName name="_saer9" localSheetId="3">#REF!</definedName>
    <definedName name="_saer9">#REF!</definedName>
    <definedName name="_sap1" localSheetId="1">#REF!</definedName>
    <definedName name="_sap1" localSheetId="5">#REF!</definedName>
    <definedName name="_sap1" localSheetId="3">#REF!</definedName>
    <definedName name="_sap1">#REF!</definedName>
    <definedName name="_sap2" localSheetId="1">#REF!</definedName>
    <definedName name="_sap2" localSheetId="5">#REF!</definedName>
    <definedName name="_sap2" localSheetId="3">#REF!</definedName>
    <definedName name="_sap2">#REF!</definedName>
    <definedName name="_sbanq1" localSheetId="1">#REF!</definedName>
    <definedName name="_sbanq1" localSheetId="5">#REF!</definedName>
    <definedName name="_sbanq1" localSheetId="3">#REF!</definedName>
    <definedName name="_sbanq1">#REF!</definedName>
    <definedName name="_sbanq2" localSheetId="1">#REF!</definedName>
    <definedName name="_sbanq2" localSheetId="5">#REF!</definedName>
    <definedName name="_sbanq2" localSheetId="3">#REF!</definedName>
    <definedName name="_sbanq2">#REF!</definedName>
    <definedName name="_sbanq3" localSheetId="1">#REF!</definedName>
    <definedName name="_sbanq3" localSheetId="5">#REF!</definedName>
    <definedName name="_sbanq3" localSheetId="3">#REF!</definedName>
    <definedName name="_sbanq3">#REF!</definedName>
    <definedName name="_sbanq4" localSheetId="1">#REF!</definedName>
    <definedName name="_sbanq4" localSheetId="5">#REF!</definedName>
    <definedName name="_sbanq4" localSheetId="3">#REF!</definedName>
    <definedName name="_sbanq4">#REF!</definedName>
    <definedName name="_sbanq5" localSheetId="1">#REF!</definedName>
    <definedName name="_sbanq5" localSheetId="5">#REF!</definedName>
    <definedName name="_sbanq5" localSheetId="3">#REF!</definedName>
    <definedName name="_sbanq5">#REF!</definedName>
    <definedName name="_sbco1" localSheetId="0">#REF!</definedName>
    <definedName name="_sbco1" localSheetId="4">#REF!</definedName>
    <definedName name="_sbco1" localSheetId="1">#REF!</definedName>
    <definedName name="_sbco1" localSheetId="5">#REF!</definedName>
    <definedName name="_sbco1" localSheetId="3">#REF!</definedName>
    <definedName name="_sbco1">#REF!</definedName>
    <definedName name="_sbco2" localSheetId="0">#REF!</definedName>
    <definedName name="_sbco2" localSheetId="1">#REF!</definedName>
    <definedName name="_sbco2" localSheetId="5">#REF!</definedName>
    <definedName name="_sbco2" localSheetId="3">#REF!</definedName>
    <definedName name="_sbco2">#REF!</definedName>
    <definedName name="_sbco3" localSheetId="1">#REF!</definedName>
    <definedName name="_sbco3" localSheetId="5">#REF!</definedName>
    <definedName name="_sbco3" localSheetId="3">#REF!</definedName>
    <definedName name="_sbco3">#REF!</definedName>
    <definedName name="_sbco4" localSheetId="1">#REF!</definedName>
    <definedName name="_sbco4" localSheetId="5">#REF!</definedName>
    <definedName name="_sbco4" localSheetId="3">#REF!</definedName>
    <definedName name="_sbco4">#REF!</definedName>
    <definedName name="_sbco5" localSheetId="1">#REF!</definedName>
    <definedName name="_sbco5" localSheetId="5">#REF!</definedName>
    <definedName name="_sbco5" localSheetId="3">#REF!</definedName>
    <definedName name="_sbco5">#REF!</definedName>
    <definedName name="_sbj1" localSheetId="1">#REF!</definedName>
    <definedName name="_sbj1" localSheetId="5">#REF!</definedName>
    <definedName name="_sbj1" localSheetId="3">#REF!</definedName>
    <definedName name="_sbj1">#REF!</definedName>
    <definedName name="_sbj2" localSheetId="1">#REF!</definedName>
    <definedName name="_sbj2" localSheetId="5">#REF!</definedName>
    <definedName name="_sbj2" localSheetId="3">#REF!</definedName>
    <definedName name="_sbj2">#REF!</definedName>
    <definedName name="_sbj3" localSheetId="1">#REF!</definedName>
    <definedName name="_sbj3" localSheetId="5">#REF!</definedName>
    <definedName name="_sbj3" localSheetId="3">#REF!</definedName>
    <definedName name="_sbj3">#REF!</definedName>
    <definedName name="_sbj4" localSheetId="1">#REF!</definedName>
    <definedName name="_sbj4" localSheetId="5">#REF!</definedName>
    <definedName name="_sbj4" localSheetId="3">#REF!</definedName>
    <definedName name="_sbj4">#REF!</definedName>
    <definedName name="_sbj5" localSheetId="1">#REF!</definedName>
    <definedName name="_sbj5" localSheetId="5">#REF!</definedName>
    <definedName name="_sbj5" localSheetId="3">#REF!</definedName>
    <definedName name="_sbj5">#REF!</definedName>
    <definedName name="_sbj6" localSheetId="1">#REF!</definedName>
    <definedName name="_sbj6" localSheetId="5">#REF!</definedName>
    <definedName name="_sbj6" localSheetId="3">#REF!</definedName>
    <definedName name="_sbj6">#REF!</definedName>
    <definedName name="_sbuff1" localSheetId="1">#REF!</definedName>
    <definedName name="_sbuff1" localSheetId="5">#REF!</definedName>
    <definedName name="_sbuff1" localSheetId="3">#REF!</definedName>
    <definedName name="_sbuff1">#REF!</definedName>
    <definedName name="_scad1" localSheetId="1">#REF!</definedName>
    <definedName name="_scad1" localSheetId="5">#REF!</definedName>
    <definedName name="_scad1" localSheetId="3">#REF!</definedName>
    <definedName name="_scad1">#REF!</definedName>
    <definedName name="_scad10" localSheetId="0">#REF!</definedName>
    <definedName name="_scad10" localSheetId="4">#REF!</definedName>
    <definedName name="_scad10" localSheetId="1">#REF!</definedName>
    <definedName name="_scad10" localSheetId="5">#REF!</definedName>
    <definedName name="_scad10" localSheetId="3">#REF!</definedName>
    <definedName name="_scad10">#REF!</definedName>
    <definedName name="_scad11" localSheetId="0">#REF!</definedName>
    <definedName name="_scad11" localSheetId="4">#REF!</definedName>
    <definedName name="_scad11" localSheetId="1">#REF!</definedName>
    <definedName name="_scad11" localSheetId="5">#REF!</definedName>
    <definedName name="_scad11" localSheetId="3">#REF!</definedName>
    <definedName name="_scad11">#REF!</definedName>
    <definedName name="_scad12" localSheetId="0">#REF!</definedName>
    <definedName name="_scad12" localSheetId="4">#REF!</definedName>
    <definedName name="_scad12" localSheetId="1">#REF!</definedName>
    <definedName name="_scad12" localSheetId="5">#REF!</definedName>
    <definedName name="_scad12" localSheetId="3">#REF!</definedName>
    <definedName name="_scad12">#REF!</definedName>
    <definedName name="_scad12a" localSheetId="0">#REF!</definedName>
    <definedName name="_scad12a" localSheetId="4">#REF!</definedName>
    <definedName name="_scad12a" localSheetId="1">#REF!</definedName>
    <definedName name="_scad12a" localSheetId="5">#REF!</definedName>
    <definedName name="_scad12a" localSheetId="3">#REF!</definedName>
    <definedName name="_scad12a">#REF!</definedName>
    <definedName name="_scad12b" localSheetId="0">#REF!</definedName>
    <definedName name="_scad12b" localSheetId="4">#REF!</definedName>
    <definedName name="_scad12b" localSheetId="1">#REF!</definedName>
    <definedName name="_scad12b" localSheetId="5">#REF!</definedName>
    <definedName name="_scad12b" localSheetId="3">#REF!</definedName>
    <definedName name="_scad12b">#REF!</definedName>
    <definedName name="_scad12c" localSheetId="1">#REF!</definedName>
    <definedName name="_scad12c" localSheetId="5">#REF!</definedName>
    <definedName name="_scad12c" localSheetId="3">#REF!</definedName>
    <definedName name="_scad12c">#REF!</definedName>
    <definedName name="_scad13" localSheetId="0">#REF!</definedName>
    <definedName name="_scad13" localSheetId="4">#REF!</definedName>
    <definedName name="_scad13" localSheetId="1">#REF!</definedName>
    <definedName name="_scad13" localSheetId="5">#REF!</definedName>
    <definedName name="_scad13" localSheetId="3">#REF!</definedName>
    <definedName name="_scad13">#REF!</definedName>
    <definedName name="_scad14" localSheetId="0">#REF!</definedName>
    <definedName name="_scad14" localSheetId="4">#REF!</definedName>
    <definedName name="_scad14" localSheetId="1">#REF!</definedName>
    <definedName name="_scad14" localSheetId="5">#REF!</definedName>
    <definedName name="_scad14" localSheetId="3">#REF!</definedName>
    <definedName name="_scad14">#REF!</definedName>
    <definedName name="_scad15" localSheetId="0">#REF!</definedName>
    <definedName name="_scad15" localSheetId="4">#REF!</definedName>
    <definedName name="_scad15" localSheetId="1">#REF!</definedName>
    <definedName name="_scad15" localSheetId="5">#REF!</definedName>
    <definedName name="_scad15" localSheetId="3">#REF!</definedName>
    <definedName name="_scad15">#REF!</definedName>
    <definedName name="_scad16" localSheetId="0">#REF!</definedName>
    <definedName name="_scad16" localSheetId="4">#REF!</definedName>
    <definedName name="_scad16" localSheetId="1">#REF!</definedName>
    <definedName name="_scad16" localSheetId="5">#REF!</definedName>
    <definedName name="_scad16" localSheetId="3">#REF!</definedName>
    <definedName name="_scad16">#REF!</definedName>
    <definedName name="_scad16a" localSheetId="0">#REF!</definedName>
    <definedName name="_scad16a" localSheetId="4">#REF!</definedName>
    <definedName name="_scad16a" localSheetId="1">#REF!</definedName>
    <definedName name="_scad16a" localSheetId="5">#REF!</definedName>
    <definedName name="_scad16a" localSheetId="3">#REF!</definedName>
    <definedName name="_scad16a">#REF!</definedName>
    <definedName name="_scad16b" localSheetId="0">#REF!</definedName>
    <definedName name="_scad16b" localSheetId="4">#REF!</definedName>
    <definedName name="_scad16b" localSheetId="1">#REF!</definedName>
    <definedName name="_scad16b" localSheetId="5">#REF!</definedName>
    <definedName name="_scad16b" localSheetId="3">#REF!</definedName>
    <definedName name="_scad16b">#REF!</definedName>
    <definedName name="_scad16c" localSheetId="0">#REF!</definedName>
    <definedName name="_scad16c" localSheetId="4">#REF!</definedName>
    <definedName name="_scad16c" localSheetId="1">#REF!</definedName>
    <definedName name="_scad16c" localSheetId="5">#REF!</definedName>
    <definedName name="_scad16c" localSheetId="3">#REF!</definedName>
    <definedName name="_scad16c">#REF!</definedName>
    <definedName name="_scad17" localSheetId="0">#REF!</definedName>
    <definedName name="_scad17" localSheetId="4">#REF!</definedName>
    <definedName name="_scad17" localSheetId="1">#REF!</definedName>
    <definedName name="_scad17" localSheetId="5">#REF!</definedName>
    <definedName name="_scad17" localSheetId="3">#REF!</definedName>
    <definedName name="_scad17">#REF!</definedName>
    <definedName name="_scad18" localSheetId="0">#REF!</definedName>
    <definedName name="_scad18" localSheetId="4">#REF!</definedName>
    <definedName name="_scad18" localSheetId="1">#REF!</definedName>
    <definedName name="_scad18" localSheetId="5">#REF!</definedName>
    <definedName name="_scad18" localSheetId="3">#REF!</definedName>
    <definedName name="_scad18">#REF!</definedName>
    <definedName name="_scad19" localSheetId="0">#REF!</definedName>
    <definedName name="_scad19" localSheetId="4">#REF!</definedName>
    <definedName name="_scad19" localSheetId="1">#REF!</definedName>
    <definedName name="_scad19" localSheetId="5">#REF!</definedName>
    <definedName name="_scad19" localSheetId="3">#REF!</definedName>
    <definedName name="_scad19">#REF!</definedName>
    <definedName name="_scad2" localSheetId="1">#REF!</definedName>
    <definedName name="_scad2" localSheetId="5">#REF!</definedName>
    <definedName name="_scad2" localSheetId="3">#REF!</definedName>
    <definedName name="_scad2">#REF!</definedName>
    <definedName name="_scad20" localSheetId="0">#REF!</definedName>
    <definedName name="_scad20" localSheetId="4">#REF!</definedName>
    <definedName name="_scad20" localSheetId="1">#REF!</definedName>
    <definedName name="_scad20" localSheetId="5">#REF!</definedName>
    <definedName name="_scad20" localSheetId="3">#REF!</definedName>
    <definedName name="_scad20">#REF!</definedName>
    <definedName name="_scad20a" localSheetId="0">#REF!</definedName>
    <definedName name="_scad20a" localSheetId="4">#REF!</definedName>
    <definedName name="_scad20a" localSheetId="1">#REF!</definedName>
    <definedName name="_scad20a" localSheetId="5">#REF!</definedName>
    <definedName name="_scad20a" localSheetId="3">#REF!</definedName>
    <definedName name="_scad20a">#REF!</definedName>
    <definedName name="_scad20b" localSheetId="0">#REF!</definedName>
    <definedName name="_scad20b" localSheetId="4">#REF!</definedName>
    <definedName name="_scad20b" localSheetId="1">#REF!</definedName>
    <definedName name="_scad20b" localSheetId="5">#REF!</definedName>
    <definedName name="_scad20b" localSheetId="3">#REF!</definedName>
    <definedName name="_scad20b">#REF!</definedName>
    <definedName name="_scad20c" localSheetId="0">#REF!</definedName>
    <definedName name="_scad20c" localSheetId="4">#REF!</definedName>
    <definedName name="_scad20c" localSheetId="1">#REF!</definedName>
    <definedName name="_scad20c" localSheetId="5">#REF!</definedName>
    <definedName name="_scad20c" localSheetId="3">#REF!</definedName>
    <definedName name="_scad20c">#REF!</definedName>
    <definedName name="_scad21" localSheetId="1">#REF!</definedName>
    <definedName name="_scad21" localSheetId="5">#REF!</definedName>
    <definedName name="_scad21" localSheetId="3">#REF!</definedName>
    <definedName name="_scad21">#REF!</definedName>
    <definedName name="_scad22" localSheetId="1">#REF!</definedName>
    <definedName name="_scad22" localSheetId="5">#REF!</definedName>
    <definedName name="_scad22" localSheetId="3">#REF!</definedName>
    <definedName name="_scad22">#REF!</definedName>
    <definedName name="_scad23" localSheetId="1">#REF!</definedName>
    <definedName name="_scad23" localSheetId="5">#REF!</definedName>
    <definedName name="_scad23" localSheetId="3">#REF!</definedName>
    <definedName name="_scad23">#REF!</definedName>
    <definedName name="_scad24" localSheetId="1">#REF!</definedName>
    <definedName name="_scad24" localSheetId="5">#REF!</definedName>
    <definedName name="_scad24" localSheetId="3">#REF!</definedName>
    <definedName name="_scad24">#REF!</definedName>
    <definedName name="_scad25" localSheetId="0">#REF!</definedName>
    <definedName name="_scad25" localSheetId="4">#REF!</definedName>
    <definedName name="_scad25" localSheetId="1">#REF!</definedName>
    <definedName name="_scad25" localSheetId="5">#REF!</definedName>
    <definedName name="_scad25" localSheetId="3">#REF!</definedName>
    <definedName name="_scad25">#REF!</definedName>
    <definedName name="_scad26" localSheetId="0">#REF!</definedName>
    <definedName name="_scad26" localSheetId="4">#REF!</definedName>
    <definedName name="_scad26" localSheetId="1">#REF!</definedName>
    <definedName name="_scad26" localSheetId="5">#REF!</definedName>
    <definedName name="_scad26" localSheetId="3">#REF!</definedName>
    <definedName name="_scad26">#REF!</definedName>
    <definedName name="_scad27" localSheetId="1">#REF!</definedName>
    <definedName name="_scad27" localSheetId="5">#REF!</definedName>
    <definedName name="_scad27" localSheetId="3">#REF!</definedName>
    <definedName name="_scad27">#REF!</definedName>
    <definedName name="_scad28" localSheetId="1">#REF!</definedName>
    <definedName name="_scad28" localSheetId="5">#REF!</definedName>
    <definedName name="_scad28" localSheetId="3">#REF!</definedName>
    <definedName name="_scad28">#REF!</definedName>
    <definedName name="_scad29" localSheetId="0">#REF!</definedName>
    <definedName name="_scad29" localSheetId="4">#REF!</definedName>
    <definedName name="_scad29" localSheetId="1">#REF!</definedName>
    <definedName name="_scad29" localSheetId="5">#REF!</definedName>
    <definedName name="_scad29" localSheetId="3">#REF!</definedName>
    <definedName name="_scad29">#REF!</definedName>
    <definedName name="_scad3" localSheetId="1">#REF!</definedName>
    <definedName name="_scad3" localSheetId="5">#REF!</definedName>
    <definedName name="_scad3" localSheetId="3">#REF!</definedName>
    <definedName name="_scad3">#REF!</definedName>
    <definedName name="_scad30" localSheetId="0">#REF!</definedName>
    <definedName name="_scad30" localSheetId="4">#REF!</definedName>
    <definedName name="_scad30" localSheetId="1">#REF!</definedName>
    <definedName name="_scad30" localSheetId="5">#REF!</definedName>
    <definedName name="_scad30" localSheetId="3">#REF!</definedName>
    <definedName name="_scad30">#REF!</definedName>
    <definedName name="_scad31" localSheetId="1">#REF!</definedName>
    <definedName name="_scad31" localSheetId="5">#REF!</definedName>
    <definedName name="_scad31" localSheetId="3">#REF!</definedName>
    <definedName name="_scad31">#REF!</definedName>
    <definedName name="_scad32" localSheetId="1">#REF!</definedName>
    <definedName name="_scad32" localSheetId="5">#REF!</definedName>
    <definedName name="_scad32" localSheetId="3">#REF!</definedName>
    <definedName name="_scad32">#REF!</definedName>
    <definedName name="_scad33" localSheetId="0">#REF!</definedName>
    <definedName name="_scad33" localSheetId="4">#REF!</definedName>
    <definedName name="_scad33" localSheetId="1">#REF!</definedName>
    <definedName name="_scad33" localSheetId="5">#REF!</definedName>
    <definedName name="_scad33" localSheetId="3">#REF!</definedName>
    <definedName name="_scad33">#REF!</definedName>
    <definedName name="_scad34" localSheetId="0">#REF!</definedName>
    <definedName name="_scad34" localSheetId="4">#REF!</definedName>
    <definedName name="_scad34" localSheetId="1">#REF!</definedName>
    <definedName name="_scad34" localSheetId="5">#REF!</definedName>
    <definedName name="_scad34" localSheetId="3">#REF!</definedName>
    <definedName name="_scad34">#REF!</definedName>
    <definedName name="_scad35" localSheetId="0">#REF!</definedName>
    <definedName name="_scad35" localSheetId="4">#REF!</definedName>
    <definedName name="_scad35" localSheetId="1">#REF!</definedName>
    <definedName name="_scad35" localSheetId="5">#REF!</definedName>
    <definedName name="_scad35" localSheetId="3">#REF!</definedName>
    <definedName name="_scad35">#REF!</definedName>
    <definedName name="_scad4" localSheetId="1">#REF!</definedName>
    <definedName name="_scad4" localSheetId="5">#REF!</definedName>
    <definedName name="_scad4" localSheetId="3">#REF!</definedName>
    <definedName name="_scad4">#REF!</definedName>
    <definedName name="_scad4a" localSheetId="1">#REF!</definedName>
    <definedName name="_scad4a" localSheetId="5">#REF!</definedName>
    <definedName name="_scad4a" localSheetId="3">#REF!</definedName>
    <definedName name="_scad4a">#REF!</definedName>
    <definedName name="_scad4b" localSheetId="1">#REF!</definedName>
    <definedName name="_scad4b" localSheetId="5">#REF!</definedName>
    <definedName name="_scad4b" localSheetId="3">#REF!</definedName>
    <definedName name="_scad4b">#REF!</definedName>
    <definedName name="_scad4c" localSheetId="1">#REF!</definedName>
    <definedName name="_scad4c" localSheetId="5">#REF!</definedName>
    <definedName name="_scad4c" localSheetId="3">#REF!</definedName>
    <definedName name="_scad4c">#REF!</definedName>
    <definedName name="_scad4d" localSheetId="1">#REF!</definedName>
    <definedName name="_scad4d" localSheetId="5">#REF!</definedName>
    <definedName name="_scad4d" localSheetId="3">#REF!</definedName>
    <definedName name="_scad4d">#REF!</definedName>
    <definedName name="_scad5" localSheetId="0">#REF!</definedName>
    <definedName name="_scad5" localSheetId="4">#REF!</definedName>
    <definedName name="_scad5" localSheetId="1">#REF!</definedName>
    <definedName name="_scad5" localSheetId="5">#REF!</definedName>
    <definedName name="_scad5" localSheetId="3">#REF!</definedName>
    <definedName name="_scad5">#REF!</definedName>
    <definedName name="_scad6" localSheetId="0">#REF!</definedName>
    <definedName name="_scad6" localSheetId="4">#REF!</definedName>
    <definedName name="_scad6" localSheetId="1">#REF!</definedName>
    <definedName name="_scad6" localSheetId="5">#REF!</definedName>
    <definedName name="_scad6" localSheetId="3">#REF!</definedName>
    <definedName name="_scad6">#REF!</definedName>
    <definedName name="_scad7" localSheetId="0">#REF!</definedName>
    <definedName name="_scad7" localSheetId="4">#REF!</definedName>
    <definedName name="_scad7" localSheetId="1">#REF!</definedName>
    <definedName name="_scad7" localSheetId="5">#REF!</definedName>
    <definedName name="_scad7" localSheetId="3">#REF!</definedName>
    <definedName name="_scad7">#REF!</definedName>
    <definedName name="_scad8" localSheetId="0">#REF!</definedName>
    <definedName name="_scad8" localSheetId="4">#REF!</definedName>
    <definedName name="_scad8" localSheetId="1">#REF!</definedName>
    <definedName name="_scad8" localSheetId="5">#REF!</definedName>
    <definedName name="_scad8" localSheetId="3">#REF!</definedName>
    <definedName name="_scad8">#REF!</definedName>
    <definedName name="_scad8a" localSheetId="0">#REF!</definedName>
    <definedName name="_scad8a" localSheetId="4">#REF!</definedName>
    <definedName name="_scad8a" localSheetId="1">#REF!</definedName>
    <definedName name="_scad8a" localSheetId="5">#REF!</definedName>
    <definedName name="_scad8a" localSheetId="3">#REF!</definedName>
    <definedName name="_scad8a">#REF!</definedName>
    <definedName name="_scad8b" localSheetId="0">#REF!</definedName>
    <definedName name="_scad8b" localSheetId="4">#REF!</definedName>
    <definedName name="_scad8b" localSheetId="1">#REF!</definedName>
    <definedName name="_scad8b" localSheetId="5">#REF!</definedName>
    <definedName name="_scad8b" localSheetId="3">#REF!</definedName>
    <definedName name="_scad8b">#REF!</definedName>
    <definedName name="_scad8c" localSheetId="1">#REF!</definedName>
    <definedName name="_scad8c" localSheetId="5">#REF!</definedName>
    <definedName name="_scad8c" localSheetId="3">#REF!</definedName>
    <definedName name="_scad8c">#REF!</definedName>
    <definedName name="_scad9" localSheetId="0">#REF!</definedName>
    <definedName name="_scad9" localSheetId="4">#REF!</definedName>
    <definedName name="_scad9" localSheetId="1">#REF!</definedName>
    <definedName name="_scad9" localSheetId="5">#REF!</definedName>
    <definedName name="_scad9" localSheetId="3">#REF!</definedName>
    <definedName name="_scad9">#REF!</definedName>
    <definedName name="_smc1" localSheetId="1">#REF!</definedName>
    <definedName name="_smc1" localSheetId="5">#REF!</definedName>
    <definedName name="_smc1" localSheetId="3">#REF!</definedName>
    <definedName name="_smc1">#REF!</definedName>
    <definedName name="_smc2" localSheetId="1">#REF!</definedName>
    <definedName name="_smc2" localSheetId="5">#REF!</definedName>
    <definedName name="_smc2" localSheetId="3">#REF!</definedName>
    <definedName name="_smc2">#REF!</definedName>
    <definedName name="_smc3" localSheetId="1">#REF!</definedName>
    <definedName name="_smc3" localSheetId="5">#REF!</definedName>
    <definedName name="_smc3" localSheetId="3">#REF!</definedName>
    <definedName name="_smc3">#REF!</definedName>
    <definedName name="_smc4" localSheetId="1">#REF!</definedName>
    <definedName name="_smc4" localSheetId="5">#REF!</definedName>
    <definedName name="_smc4" localSheetId="3">#REF!</definedName>
    <definedName name="_smc4">#REF!</definedName>
    <definedName name="_smc5" localSheetId="1">#REF!</definedName>
    <definedName name="_smc5" localSheetId="5">#REF!</definedName>
    <definedName name="_smc5" localSheetId="3">#REF!</definedName>
    <definedName name="_smc5">#REF!</definedName>
    <definedName name="_smc6" localSheetId="1">#REF!</definedName>
    <definedName name="_smc6" localSheetId="5">#REF!</definedName>
    <definedName name="_smc6" localSheetId="3">#REF!</definedName>
    <definedName name="_smc6">#REF!</definedName>
    <definedName name="_smj1" localSheetId="1">#REF!</definedName>
    <definedName name="_smj1" localSheetId="5">#REF!</definedName>
    <definedName name="_smj1" localSheetId="3">#REF!</definedName>
    <definedName name="_smj1">#REF!</definedName>
    <definedName name="_smj10" localSheetId="1">#REF!</definedName>
    <definedName name="_smj10" localSheetId="5">#REF!</definedName>
    <definedName name="_smj10" localSheetId="3">#REF!</definedName>
    <definedName name="_smj10">#REF!</definedName>
    <definedName name="_smj11" localSheetId="1">#REF!</definedName>
    <definedName name="_smj11" localSheetId="5">#REF!</definedName>
    <definedName name="_smj11" localSheetId="3">#REF!</definedName>
    <definedName name="_smj11">#REF!</definedName>
    <definedName name="_smj2" localSheetId="1">#REF!</definedName>
    <definedName name="_smj2" localSheetId="5">#REF!</definedName>
    <definedName name="_smj2" localSheetId="3">#REF!</definedName>
    <definedName name="_smj2">#REF!</definedName>
    <definedName name="_smj3" localSheetId="1">#REF!</definedName>
    <definedName name="_smj3" localSheetId="5">#REF!</definedName>
    <definedName name="_smj3" localSheetId="3">#REF!</definedName>
    <definedName name="_smj3">#REF!</definedName>
    <definedName name="_smj4" localSheetId="1">#REF!</definedName>
    <definedName name="_smj4" localSheetId="5">#REF!</definedName>
    <definedName name="_smj4" localSheetId="3">#REF!</definedName>
    <definedName name="_smj4">#REF!</definedName>
    <definedName name="_smj5" localSheetId="1">#REF!</definedName>
    <definedName name="_smj5" localSheetId="5">#REF!</definedName>
    <definedName name="_smj5" localSheetId="3">#REF!</definedName>
    <definedName name="_smj5">#REF!</definedName>
    <definedName name="_smj6" localSheetId="1">#REF!</definedName>
    <definedName name="_smj6" localSheetId="5">#REF!</definedName>
    <definedName name="_smj6" localSheetId="3">#REF!</definedName>
    <definedName name="_smj6">#REF!</definedName>
    <definedName name="_smj7" localSheetId="1">#REF!</definedName>
    <definedName name="_smj7" localSheetId="5">#REF!</definedName>
    <definedName name="_smj7" localSheetId="3">#REF!</definedName>
    <definedName name="_smj7">#REF!</definedName>
    <definedName name="_smj8" localSheetId="1">#REF!</definedName>
    <definedName name="_smj8" localSheetId="5">#REF!</definedName>
    <definedName name="_smj8" localSheetId="3">#REF!</definedName>
    <definedName name="_smj8">#REF!</definedName>
    <definedName name="_smj9" localSheetId="1">#REF!</definedName>
    <definedName name="_smj9" localSheetId="5">#REF!</definedName>
    <definedName name="_smj9" localSheetId="3">#REF!</definedName>
    <definedName name="_smj9">#REF!</definedName>
    <definedName name="_sml1" localSheetId="1">#REF!</definedName>
    <definedName name="_sml1" localSheetId="5">#REF!</definedName>
    <definedName name="_sml1" localSheetId="3">#REF!</definedName>
    <definedName name="_sml1">#REF!</definedName>
    <definedName name="_sml2" localSheetId="1">#REF!</definedName>
    <definedName name="_sml2" localSheetId="5">#REF!</definedName>
    <definedName name="_sml2" localSheetId="3">#REF!</definedName>
    <definedName name="_sml2">#REF!</definedName>
    <definedName name="_sml3" localSheetId="1">#REF!</definedName>
    <definedName name="_sml3" localSheetId="5">#REF!</definedName>
    <definedName name="_sml3" localSheetId="3">#REF!</definedName>
    <definedName name="_sml3">#REF!</definedName>
    <definedName name="_sml4" localSheetId="1">#REF!</definedName>
    <definedName name="_sml4" localSheetId="5">#REF!</definedName>
    <definedName name="_sml4" localSheetId="3">#REF!</definedName>
    <definedName name="_sml4">#REF!</definedName>
    <definedName name="_sml5" localSheetId="1">#REF!</definedName>
    <definedName name="_sml5" localSheetId="5">#REF!</definedName>
    <definedName name="_sml5" localSheetId="3">#REF!</definedName>
    <definedName name="_sml5">#REF!</definedName>
    <definedName name="_sof1" localSheetId="1">#REF!</definedName>
    <definedName name="_sof1" localSheetId="5">#REF!</definedName>
    <definedName name="_sof1" localSheetId="3">#REF!</definedName>
    <definedName name="_sof1">#REF!</definedName>
    <definedName name="_sof10" localSheetId="1">#REF!</definedName>
    <definedName name="_sof10" localSheetId="5">#REF!</definedName>
    <definedName name="_sof10" localSheetId="3">#REF!</definedName>
    <definedName name="_sof10">#REF!</definedName>
    <definedName name="_sof11" localSheetId="1">#REF!</definedName>
    <definedName name="_sof11" localSheetId="5">#REF!</definedName>
    <definedName name="_sof11" localSheetId="3">#REF!</definedName>
    <definedName name="_sof11">#REF!</definedName>
    <definedName name="_sof12" localSheetId="1">#REF!</definedName>
    <definedName name="_sof12" localSheetId="5">#REF!</definedName>
    <definedName name="_sof12" localSheetId="3">#REF!</definedName>
    <definedName name="_sof12">#REF!</definedName>
    <definedName name="_sof13" localSheetId="1">#REF!</definedName>
    <definedName name="_sof13" localSheetId="5">#REF!</definedName>
    <definedName name="_sof13" localSheetId="3">#REF!</definedName>
    <definedName name="_sof13">#REF!</definedName>
    <definedName name="_sof14" localSheetId="1">#REF!</definedName>
    <definedName name="_sof14" localSheetId="5">#REF!</definedName>
    <definedName name="_sof14" localSheetId="3">#REF!</definedName>
    <definedName name="_sof14">#REF!</definedName>
    <definedName name="_sof15" localSheetId="1">#REF!</definedName>
    <definedName name="_sof15" localSheetId="5">#REF!</definedName>
    <definedName name="_sof15" localSheetId="3">#REF!</definedName>
    <definedName name="_sof15">#REF!</definedName>
    <definedName name="_sof16" localSheetId="1">#REF!</definedName>
    <definedName name="_sof16" localSheetId="5">#REF!</definedName>
    <definedName name="_sof16" localSheetId="3">#REF!</definedName>
    <definedName name="_sof16">#REF!</definedName>
    <definedName name="_sof17" localSheetId="1">#REF!</definedName>
    <definedName name="_sof17" localSheetId="5">#REF!</definedName>
    <definedName name="_sof17" localSheetId="3">#REF!</definedName>
    <definedName name="_sof17">#REF!</definedName>
    <definedName name="_sof18" localSheetId="1">#REF!</definedName>
    <definedName name="_sof18" localSheetId="5">#REF!</definedName>
    <definedName name="_sof18" localSheetId="3">#REF!</definedName>
    <definedName name="_sof18">#REF!</definedName>
    <definedName name="_sof19" localSheetId="1">#REF!</definedName>
    <definedName name="_sof19" localSheetId="5">#REF!</definedName>
    <definedName name="_sof19" localSheetId="3">#REF!</definedName>
    <definedName name="_sof19">#REF!</definedName>
    <definedName name="_sof2" localSheetId="1">#REF!</definedName>
    <definedName name="_sof2" localSheetId="5">#REF!</definedName>
    <definedName name="_sof2" localSheetId="3">#REF!</definedName>
    <definedName name="_sof2">#REF!</definedName>
    <definedName name="_sof3" localSheetId="1">#REF!</definedName>
    <definedName name="_sof3" localSheetId="5">#REF!</definedName>
    <definedName name="_sof3" localSheetId="3">#REF!</definedName>
    <definedName name="_sof3">#REF!</definedName>
    <definedName name="_sof4" localSheetId="1">#REF!</definedName>
    <definedName name="_sof4" localSheetId="5">#REF!</definedName>
    <definedName name="_sof4" localSheetId="3">#REF!</definedName>
    <definedName name="_sof4">#REF!</definedName>
    <definedName name="_sof5" localSheetId="1">#REF!</definedName>
    <definedName name="_sof5" localSheetId="5">#REF!</definedName>
    <definedName name="_sof5" localSheetId="3">#REF!</definedName>
    <definedName name="_sof5">#REF!</definedName>
    <definedName name="_sof6" localSheetId="1">#REF!</definedName>
    <definedName name="_sof6" localSheetId="5">#REF!</definedName>
    <definedName name="_sof6" localSheetId="3">#REF!</definedName>
    <definedName name="_sof6">#REF!</definedName>
    <definedName name="_sof7" localSheetId="1">#REF!</definedName>
    <definedName name="_sof7" localSheetId="5">#REF!</definedName>
    <definedName name="_sof7" localSheetId="3">#REF!</definedName>
    <definedName name="_sof7">#REF!</definedName>
    <definedName name="_sof8" localSheetId="1">#REF!</definedName>
    <definedName name="_sof8" localSheetId="5">#REF!</definedName>
    <definedName name="_sof8" localSheetId="3">#REF!</definedName>
    <definedName name="_sof8">#REF!</definedName>
    <definedName name="_sof9" localSheetId="1">#REF!</definedName>
    <definedName name="_sof9" localSheetId="5">#REF!</definedName>
    <definedName name="_sof9" localSheetId="3">#REF!</definedName>
    <definedName name="_sof9">#REF!</definedName>
    <definedName name="_spolt1" localSheetId="1">#REF!</definedName>
    <definedName name="_spolt1" localSheetId="5">#REF!</definedName>
    <definedName name="_spolt1" localSheetId="3">#REF!</definedName>
    <definedName name="_spolt1">#REF!</definedName>
    <definedName name="_spolt10" localSheetId="0">#REF!</definedName>
    <definedName name="_spolt10" localSheetId="4">#REF!</definedName>
    <definedName name="_spolt10" localSheetId="1">#REF!</definedName>
    <definedName name="_spolt10" localSheetId="5">#REF!</definedName>
    <definedName name="_spolt10" localSheetId="3">#REF!</definedName>
    <definedName name="_spolt10">#REF!</definedName>
    <definedName name="_spolt11" localSheetId="0">#REF!</definedName>
    <definedName name="_spolt11" localSheetId="4">#REF!</definedName>
    <definedName name="_spolt11" localSheetId="1">#REF!</definedName>
    <definedName name="_spolt11" localSheetId="5">#REF!</definedName>
    <definedName name="_spolt11" localSheetId="3">#REF!</definedName>
    <definedName name="_spolt11">#REF!</definedName>
    <definedName name="_spolt12" localSheetId="0">#REF!</definedName>
    <definedName name="_spolt12" localSheetId="4">#REF!</definedName>
    <definedName name="_spolt12" localSheetId="1">#REF!</definedName>
    <definedName name="_spolt12" localSheetId="5">#REF!</definedName>
    <definedName name="_spolt12" localSheetId="3">#REF!</definedName>
    <definedName name="_spolt12">#REF!</definedName>
    <definedName name="_spolt13" localSheetId="0">#REF!</definedName>
    <definedName name="_spolt13" localSheetId="4">#REF!</definedName>
    <definedName name="_spolt13" localSheetId="1">#REF!</definedName>
    <definedName name="_spolt13" localSheetId="5">#REF!</definedName>
    <definedName name="_spolt13" localSheetId="3">#REF!</definedName>
    <definedName name="_spolt13">#REF!</definedName>
    <definedName name="_spolt14" localSheetId="0">#REF!</definedName>
    <definedName name="_spolt14" localSheetId="4">#REF!</definedName>
    <definedName name="_spolt14" localSheetId="1">#REF!</definedName>
    <definedName name="_spolt14" localSheetId="5">#REF!</definedName>
    <definedName name="_spolt14" localSheetId="3">#REF!</definedName>
    <definedName name="_spolt14">#REF!</definedName>
    <definedName name="_spolt15" localSheetId="1">#REF!</definedName>
    <definedName name="_spolt15" localSheetId="5">#REF!</definedName>
    <definedName name="_spolt15" localSheetId="3">#REF!</definedName>
    <definedName name="_spolt15">#REF!</definedName>
    <definedName name="_spolt16" localSheetId="1">#REF!</definedName>
    <definedName name="_spolt16" localSheetId="5">#REF!</definedName>
    <definedName name="_spolt16" localSheetId="3">#REF!</definedName>
    <definedName name="_spolt16">#REF!</definedName>
    <definedName name="_spolt17" localSheetId="1">#REF!</definedName>
    <definedName name="_spolt17" localSheetId="5">#REF!</definedName>
    <definedName name="_spolt17" localSheetId="3">#REF!</definedName>
    <definedName name="_spolt17">#REF!</definedName>
    <definedName name="_spolt18" localSheetId="1">#REF!</definedName>
    <definedName name="_spolt18" localSheetId="5">#REF!</definedName>
    <definedName name="_spolt18" localSheetId="3">#REF!</definedName>
    <definedName name="_spolt18">#REF!</definedName>
    <definedName name="_spolt19" localSheetId="0">#REF!</definedName>
    <definedName name="_spolt19" localSheetId="4">#REF!</definedName>
    <definedName name="_spolt19" localSheetId="1">#REF!</definedName>
    <definedName name="_spolt19" localSheetId="5">#REF!</definedName>
    <definedName name="_spolt19" localSheetId="3">#REF!</definedName>
    <definedName name="_spolt19">#REF!</definedName>
    <definedName name="_spolt2" localSheetId="0">#REF!</definedName>
    <definedName name="_spolt2" localSheetId="4">#REF!</definedName>
    <definedName name="_spolt2" localSheetId="1">#REF!</definedName>
    <definedName name="_spolt2" localSheetId="5">#REF!</definedName>
    <definedName name="_spolt2" localSheetId="3">#REF!</definedName>
    <definedName name="_spolt2">#REF!</definedName>
    <definedName name="_spolt20" localSheetId="0">#REF!</definedName>
    <definedName name="_spolt20" localSheetId="4">#REF!</definedName>
    <definedName name="_spolt20" localSheetId="1">#REF!</definedName>
    <definedName name="_spolt20" localSheetId="5">#REF!</definedName>
    <definedName name="_spolt20" localSheetId="3">#REF!</definedName>
    <definedName name="_spolt20">#REF!</definedName>
    <definedName name="_spolt3" localSheetId="1">#REF!</definedName>
    <definedName name="_spolt3" localSheetId="5">#REF!</definedName>
    <definedName name="_spolt3" localSheetId="3">#REF!</definedName>
    <definedName name="_spolt3">#REF!</definedName>
    <definedName name="_spolt4" localSheetId="1">#REF!</definedName>
    <definedName name="_spolt4" localSheetId="5">#REF!</definedName>
    <definedName name="_spolt4" localSheetId="3">#REF!</definedName>
    <definedName name="_spolt4">#REF!</definedName>
    <definedName name="_spolt5" localSheetId="0">#REF!</definedName>
    <definedName name="_spolt5" localSheetId="4">#REF!</definedName>
    <definedName name="_spolt5" localSheetId="1">#REF!</definedName>
    <definedName name="_spolt5" localSheetId="5">#REF!</definedName>
    <definedName name="_spolt5" localSheetId="3">#REF!</definedName>
    <definedName name="_spolt5">#REF!</definedName>
    <definedName name="_spolt6" localSheetId="1">#REF!</definedName>
    <definedName name="_spolt6" localSheetId="5">#REF!</definedName>
    <definedName name="_spolt6" localSheetId="3">#REF!</definedName>
    <definedName name="_spolt6">#REF!</definedName>
    <definedName name="_spolt7" localSheetId="0">#REF!</definedName>
    <definedName name="_spolt7" localSheetId="4">#REF!</definedName>
    <definedName name="_spolt7" localSheetId="1">#REF!</definedName>
    <definedName name="_spolt7" localSheetId="5">#REF!</definedName>
    <definedName name="_spolt7" localSheetId="3">#REF!</definedName>
    <definedName name="_spolt7">#REF!</definedName>
    <definedName name="_spolt8" localSheetId="1">#REF!</definedName>
    <definedName name="_spolt8" localSheetId="5">#REF!</definedName>
    <definedName name="_spolt8" localSheetId="3">#REF!</definedName>
    <definedName name="_spolt8">#REF!</definedName>
    <definedName name="_spolt9" localSheetId="0">#REF!</definedName>
    <definedName name="_spolt9" localSheetId="4">#REF!</definedName>
    <definedName name="_spolt9" localSheetId="1">#REF!</definedName>
    <definedName name="_spolt9" localSheetId="5">#REF!</definedName>
    <definedName name="_spolt9" localSheetId="3">#REF!</definedName>
    <definedName name="_spolt9">#REF!</definedName>
    <definedName name="_sprat1" localSheetId="1">#REF!</definedName>
    <definedName name="_sprat1" localSheetId="5">#REF!</definedName>
    <definedName name="_sprat1" localSheetId="3">#REF!</definedName>
    <definedName name="_sprat1">#REF!</definedName>
    <definedName name="_sprat2" localSheetId="1">#REF!</definedName>
    <definedName name="_sprat2" localSheetId="5">#REF!</definedName>
    <definedName name="_sprat2" localSheetId="3">#REF!</definedName>
    <definedName name="_sprat2">#REF!</definedName>
    <definedName name="_sprat3" localSheetId="1">#REF!</definedName>
    <definedName name="_sprat3" localSheetId="5">#REF!</definedName>
    <definedName name="_sprat3" localSheetId="3">#REF!</definedName>
    <definedName name="_sprat3">#REF!</definedName>
    <definedName name="_sprat4" localSheetId="1">#REF!</definedName>
    <definedName name="_sprat4" localSheetId="5">#REF!</definedName>
    <definedName name="_sprat4" localSheetId="3">#REF!</definedName>
    <definedName name="_sprat4">#REF!</definedName>
    <definedName name="_spuff1" localSheetId="1">#REF!</definedName>
    <definedName name="_spuff1" localSheetId="5">#REF!</definedName>
    <definedName name="_spuff1" localSheetId="3">#REF!</definedName>
    <definedName name="_spuff1">#REF!</definedName>
    <definedName name="_spuff2" localSheetId="1">#REF!</definedName>
    <definedName name="_spuff2" localSheetId="5">#REF!</definedName>
    <definedName name="_spuff2" localSheetId="3">#REF!</definedName>
    <definedName name="_spuff2">#REF!</definedName>
    <definedName name="_spuff3" localSheetId="1">#REF!</definedName>
    <definedName name="_spuff3" localSheetId="5">#REF!</definedName>
    <definedName name="_spuff3" localSheetId="3">#REF!</definedName>
    <definedName name="_spuff3">#REF!</definedName>
    <definedName name="_spuff4" localSheetId="1">#REF!</definedName>
    <definedName name="_spuff4" localSheetId="5">#REF!</definedName>
    <definedName name="_spuff4" localSheetId="3">#REF!</definedName>
    <definedName name="_spuff4">#REF!</definedName>
    <definedName name="_spuff5" localSheetId="1">#REF!</definedName>
    <definedName name="_spuff5" localSheetId="5">#REF!</definedName>
    <definedName name="_spuff5" localSheetId="3">#REF!</definedName>
    <definedName name="_spuff5">#REF!</definedName>
    <definedName name="_srack1" localSheetId="1">#REF!</definedName>
    <definedName name="_srack1" localSheetId="5">#REF!</definedName>
    <definedName name="_srack1" localSheetId="3">#REF!</definedName>
    <definedName name="_srack1">#REF!</definedName>
    <definedName name="_srack2" localSheetId="1">#REF!</definedName>
    <definedName name="_srack2" localSheetId="5">#REF!</definedName>
    <definedName name="_srack2" localSheetId="3">#REF!</definedName>
    <definedName name="_srack2">#REF!</definedName>
    <definedName name="_srack3" localSheetId="1">#REF!</definedName>
    <definedName name="_srack3" localSheetId="5">#REF!</definedName>
    <definedName name="_srack3" localSheetId="3">#REF!</definedName>
    <definedName name="_srack3">#REF!</definedName>
    <definedName name="_srack4" localSheetId="1">#REF!</definedName>
    <definedName name="_srack4" localSheetId="5">#REF!</definedName>
    <definedName name="_srack4" localSheetId="3">#REF!</definedName>
    <definedName name="_srack4">#REF!</definedName>
    <definedName name="_srack5" localSheetId="1">#REF!</definedName>
    <definedName name="_srack5" localSheetId="5">#REF!</definedName>
    <definedName name="_srack5" localSheetId="3">#REF!</definedName>
    <definedName name="_srack5">#REF!</definedName>
    <definedName name="_srack6" localSheetId="1">#REF!</definedName>
    <definedName name="_srack6" localSheetId="5">#REF!</definedName>
    <definedName name="_srack6" localSheetId="3">#REF!</definedName>
    <definedName name="_srack6">#REF!</definedName>
    <definedName name="_srack7" localSheetId="1">#REF!</definedName>
    <definedName name="_srack7" localSheetId="5">#REF!</definedName>
    <definedName name="_srack7" localSheetId="3">#REF!</definedName>
    <definedName name="_srack7">#REF!</definedName>
    <definedName name="_srack8" localSheetId="1">#REF!</definedName>
    <definedName name="_srack8" localSheetId="5">#REF!</definedName>
    <definedName name="_srack8" localSheetId="3">#REF!</definedName>
    <definedName name="_srack8">#REF!</definedName>
    <definedName name="_tarjale" localSheetId="1">#REF!</definedName>
    <definedName name="_tarjale" localSheetId="5">#REF!</definedName>
    <definedName name="_tarjale" localSheetId="3">#REF!</definedName>
    <definedName name="_tarjale">#REF!</definedName>
    <definedName name="_vic" localSheetId="1">#REF!</definedName>
    <definedName name="_vic" localSheetId="5">#REF!</definedName>
    <definedName name="_vic" localSheetId="3">#REF!</definedName>
    <definedName name="_vic">#REF!</definedName>
    <definedName name="ad_mjb" localSheetId="0">#REF!</definedName>
    <definedName name="ad_mjb" localSheetId="4">#REF!</definedName>
    <definedName name="ad_mjb" localSheetId="1">#REF!</definedName>
    <definedName name="ad_mjb" localSheetId="5">#REF!</definedName>
    <definedName name="ad_mjb" localSheetId="3">#REF!</definedName>
    <definedName name="ad_mjb">#REF!</definedName>
    <definedName name="adendo_01" localSheetId="0">#REF!</definedName>
    <definedName name="adendo_01" localSheetId="1">#REF!</definedName>
    <definedName name="adendo_01" localSheetId="5">#REF!</definedName>
    <definedName name="adendo_01">#REF!</definedName>
    <definedName name="adendo_02" localSheetId="1">#REF!</definedName>
    <definedName name="adendo_02" localSheetId="5">#REF!</definedName>
    <definedName name="adendo_02">#REF!</definedName>
    <definedName name="adendo_03" localSheetId="1">#REF!</definedName>
    <definedName name="adendo_03" localSheetId="5">#REF!</definedName>
    <definedName name="adendo_03">#REF!</definedName>
    <definedName name="ALMOFADAS" localSheetId="1">#REF!</definedName>
    <definedName name="ALMOFADAS" localSheetId="5">#REF!</definedName>
    <definedName name="ALMOFADAS" localSheetId="3">#REF!</definedName>
    <definedName name="ALMOFADAS">#REF!</definedName>
    <definedName name="BANCO_BEAM" localSheetId="4">#REF!</definedName>
    <definedName name="BANCO_BEAM" localSheetId="5">#REF!</definedName>
    <definedName name="BANCO_BEAM">#REF!</definedName>
    <definedName name="BANCO_BLADE" localSheetId="4">#REF!</definedName>
    <definedName name="BANCO_BLADE" localSheetId="5">#REF!</definedName>
    <definedName name="BANCO_BLADE">#REF!</definedName>
    <definedName name="BANCO_CHEIG" localSheetId="4">#REF!</definedName>
    <definedName name="BANCO_CHEIG" localSheetId="5">#REF!</definedName>
    <definedName name="BANCO_CHEIG">#REF!</definedName>
    <definedName name="BANCO_EASY" localSheetId="4">#REF!</definedName>
    <definedName name="BANCO_EASY" localSheetId="5">#REF!</definedName>
    <definedName name="BANCO_EASY">#REF!</definedName>
    <definedName name="BANCO_JULIA" localSheetId="4">#REF!</definedName>
    <definedName name="BANCO_JULIA" localSheetId="5">#REF!</definedName>
    <definedName name="BANCO_JULIA">#REF!</definedName>
    <definedName name="BANCO_JULIA_CORK" localSheetId="0">#REF!</definedName>
    <definedName name="BANCO_JULIA_CORK" localSheetId="1">#REF!</definedName>
    <definedName name="BANCO_JULIA_CORK" localSheetId="5">#REF!</definedName>
    <definedName name="BANCO_JULIA_CORK" localSheetId="3">#REF!</definedName>
    <definedName name="BANCO_JULIA_CORK">#REF!</definedName>
    <definedName name="BANCO_JULIA_FIBRA" localSheetId="1">#REF!</definedName>
    <definedName name="BANCO_JULIA_FIBRA" localSheetId="5">#REF!</definedName>
    <definedName name="BANCO_JULIA_FIBRA" localSheetId="3">#REF!</definedName>
    <definedName name="BANCO_JULIA_FIBRA">#REF!</definedName>
    <definedName name="BANCO_JULIA_MADEIRA" localSheetId="1">#REF!</definedName>
    <definedName name="BANCO_JULIA_MADEIRA" localSheetId="5">#REF!</definedName>
    <definedName name="BANCO_JULIA_MADEIRA" localSheetId="3">#REF!</definedName>
    <definedName name="BANCO_JULIA_MADEIRA">#REF!</definedName>
    <definedName name="BANCO_MARK" localSheetId="4">#REF!</definedName>
    <definedName name="BANCO_MARK" localSheetId="5">#REF!</definedName>
    <definedName name="BANCO_MARK">#REF!</definedName>
    <definedName name="BANCO_MASS" localSheetId="4">#REF!</definedName>
    <definedName name="BANCO_MASS" localSheetId="5">#REF!</definedName>
    <definedName name="BANCO_MASS">#REF!</definedName>
    <definedName name="BANCO_MASS_CORK" localSheetId="1">#REF!</definedName>
    <definedName name="BANCO_MASS_CORK" localSheetId="5">#REF!</definedName>
    <definedName name="BANCO_MASS_CORK" localSheetId="3">#REF!</definedName>
    <definedName name="BANCO_MASS_CORK">#REF!</definedName>
    <definedName name="BANCO_MASS_FIBRA" localSheetId="1">#REF!</definedName>
    <definedName name="BANCO_MASS_FIBRA" localSheetId="5">#REF!</definedName>
    <definedName name="BANCO_MASS_FIBRA" localSheetId="3">#REF!</definedName>
    <definedName name="BANCO_MASS_FIBRA">#REF!</definedName>
    <definedName name="BANCO_MASS_MADEIRA" localSheetId="1">#REF!</definedName>
    <definedName name="BANCO_MASS_MADEIRA" localSheetId="5">#REF!</definedName>
    <definedName name="BANCO_MASS_MADEIRA" localSheetId="3">#REF!</definedName>
    <definedName name="BANCO_MASS_MADEIRA">#REF!</definedName>
    <definedName name="BANCO_MATRIX" localSheetId="4">#REF!</definedName>
    <definedName name="BANCO_MATRIX" localSheetId="5">#REF!</definedName>
    <definedName name="BANCO_MATRIX">#REF!</definedName>
    <definedName name="BANCO_MATRIZ" localSheetId="4">#REF!</definedName>
    <definedName name="BANCO_MATRIZ" localSheetId="5">#REF!</definedName>
    <definedName name="BANCO_MATRIZ">#REF!</definedName>
    <definedName name="BANCO_PEAO_FIBRA" localSheetId="1">#REF!</definedName>
    <definedName name="BANCO_PEAO_FIBRA" localSheetId="5">#REF!</definedName>
    <definedName name="BANCO_PEAO_FIBRA" localSheetId="3">#REF!</definedName>
    <definedName name="BANCO_PEAO_FIBRA">#REF!</definedName>
    <definedName name="BANCO_PEAO_MADEIRA" localSheetId="1">#REF!</definedName>
    <definedName name="BANCO_PEAO_MADEIRA" localSheetId="5">#REF!</definedName>
    <definedName name="BANCO_PEAO_MADEIRA" localSheetId="3">#REF!</definedName>
    <definedName name="BANCO_PEAO_MADEIRA">#REF!</definedName>
    <definedName name="BANCO_PHILLIPS" localSheetId="4">#REF!</definedName>
    <definedName name="BANCO_PHILLIPS" localSheetId="5">#REF!</definedName>
    <definedName name="BANCO_PHILLIPS">#REF!</definedName>
    <definedName name="BANCO_U" localSheetId="4">#REF!</definedName>
    <definedName name="BANCO_U" localSheetId="5">#REF!</definedName>
    <definedName name="BANCO_U">#REF!</definedName>
    <definedName name="BANCOS" localSheetId="5">#REF!</definedName>
    <definedName name="BANCOS">#REF!</definedName>
    <definedName name="bank20" localSheetId="1">#REF!</definedName>
    <definedName name="bank20" localSheetId="5">#REF!</definedName>
    <definedName name="bank20" localSheetId="3">#REF!</definedName>
    <definedName name="bank20">#REF!</definedName>
    <definedName name="cirk" localSheetId="1">#REF!</definedName>
    <definedName name="cirk" localSheetId="5">#REF!</definedName>
    <definedName name="cirk">#REF!</definedName>
    <definedName name="dora" localSheetId="1">#REF!</definedName>
    <definedName name="dora" localSheetId="5">#REF!</definedName>
    <definedName name="dora" localSheetId="3">#REF!</definedName>
    <definedName name="dora">#REF!</definedName>
    <definedName name="easy" localSheetId="1">#REF!</definedName>
    <definedName name="easy" localSheetId="5">#REF!</definedName>
    <definedName name="easy" localSheetId="3">#REF!</definedName>
    <definedName name="easy">#REF!</definedName>
    <definedName name="gio_alta" localSheetId="1">#REF!</definedName>
    <definedName name="gio_alta" localSheetId="5">#REF!</definedName>
    <definedName name="gio_alta" localSheetId="3">#REF!</definedName>
    <definedName name="gio_alta">#REF!</definedName>
    <definedName name="ipanema_2" localSheetId="1">#REF!</definedName>
    <definedName name="ipanema_2" localSheetId="5">#REF!</definedName>
    <definedName name="ipanema_2" localSheetId="3">#REF!</definedName>
    <definedName name="ipanema_2">#REF!</definedName>
    <definedName name="lia" localSheetId="1">#REF!</definedName>
    <definedName name="lia" localSheetId="5">#REF!</definedName>
    <definedName name="lia" localSheetId="3">#REF!</definedName>
    <definedName name="lia">#REF!</definedName>
    <definedName name="lia_arredondada" localSheetId="1">#REF!</definedName>
    <definedName name="lia_arredondada" localSheetId="5">#REF!</definedName>
    <definedName name="lia_arredondada" localSheetId="3">#REF!</definedName>
    <definedName name="lia_arredondada">#REF!</definedName>
    <definedName name="lodd" localSheetId="1">#REF!</definedName>
    <definedName name="lodd">#REF!</definedName>
    <definedName name="lodd_base" localSheetId="1">#REF!</definedName>
    <definedName name="lodd_base">#REF!</definedName>
    <definedName name="lodd_marmore" localSheetId="1">#REF!</definedName>
    <definedName name="lodd_marmore">#REF!</definedName>
    <definedName name="mark_up" localSheetId="3">#REF!</definedName>
    <definedName name="mark_up">'CAPA Linha Doty'!$W$8</definedName>
    <definedName name="MKC" localSheetId="0">#REF!</definedName>
    <definedName name="MKC" localSheetId="5">#REF!</definedName>
    <definedName name="namoradeira_dora" localSheetId="0">#REF!</definedName>
    <definedName name="namoradeira_dora" localSheetId="1">#REF!</definedName>
    <definedName name="namoradeira_dora" localSheetId="5">#REF!</definedName>
    <definedName name="namoradeira_dora" localSheetId="3">#REF!</definedName>
    <definedName name="namoradeira_dora">#REF!</definedName>
    <definedName name="namoradeira_isa" localSheetId="1">#REF!</definedName>
    <definedName name="namoradeira_isa" localSheetId="5">#REF!</definedName>
    <definedName name="namoradeira_isa" localSheetId="3">#REF!</definedName>
    <definedName name="namoradeira_isa">#REF!</definedName>
    <definedName name="norma_e2" localSheetId="1">#REF!</definedName>
    <definedName name="norma_e2" localSheetId="5">#REF!</definedName>
    <definedName name="norma_e2" localSheetId="3">#REF!</definedName>
    <definedName name="norma_e2">#REF!</definedName>
    <definedName name="poltrona_clad" localSheetId="1">#REF!</definedName>
    <definedName name="poltrona_clad" localSheetId="5">#REF!</definedName>
    <definedName name="poltrona_clad" localSheetId="3">#REF!</definedName>
    <definedName name="poltrona_clad">#REF!</definedName>
    <definedName name="SOFA_BASIC_1" localSheetId="1">#REF!</definedName>
    <definedName name="SOFA_BASIC_1" localSheetId="5">#REF!</definedName>
    <definedName name="SOFA_BASIC_1" localSheetId="3">#REF!</definedName>
    <definedName name="SOFA_BASIC_1">#REF!</definedName>
    <definedName name="SOFA_BASIC_2" localSheetId="1">#REF!</definedName>
    <definedName name="SOFA_BASIC_2" localSheetId="5">#REF!</definedName>
    <definedName name="SOFA_BASIC_2" localSheetId="3">#REF!</definedName>
    <definedName name="SOFA_BASIC_2">#REF!</definedName>
    <definedName name="SOFA_BASIC_3" localSheetId="1">#REF!</definedName>
    <definedName name="SOFA_BASIC_3" localSheetId="5">#REF!</definedName>
    <definedName name="SOFA_BASIC_3" localSheetId="3">#REF!</definedName>
    <definedName name="SOFA_BASIC_3">#REF!</definedName>
    <definedName name="SOFA_BASIC_4" localSheetId="1">#REF!</definedName>
    <definedName name="SOFA_BASIC_4" localSheetId="5">#REF!</definedName>
    <definedName name="SOFA_BASIC_4" localSheetId="3">#REF!</definedName>
    <definedName name="SOFA_BASIC_4">#REF!</definedName>
    <definedName name="star" localSheetId="1">#REF!</definedName>
    <definedName name="star" localSheetId="5">#REF!</definedName>
    <definedName name="star" localSheetId="3">#REF!</definedName>
    <definedName name="star">#REF!</definedName>
    <definedName name="star_latao" localSheetId="1">#REF!</definedName>
    <definedName name="star_latao" localSheetId="5">#REF!</definedName>
    <definedName name="star_latao" localSheetId="3">#REF!</definedName>
    <definedName name="star_latao">#REF!</definedName>
  </definedNames>
  <calcPr calcId="152511"/>
</workbook>
</file>

<file path=xl/calcChain.xml><?xml version="1.0" encoding="utf-8"?>
<calcChain xmlns="http://schemas.openxmlformats.org/spreadsheetml/2006/main">
  <c r="G970" i="2" l="1"/>
  <c r="G968" i="2"/>
  <c r="G966" i="2"/>
  <c r="G964" i="2"/>
  <c r="G962" i="2"/>
  <c r="G960" i="2"/>
  <c r="G958" i="2"/>
  <c r="K945" i="2"/>
  <c r="I945" i="2" s="1"/>
  <c r="K926" i="2"/>
  <c r="I926" i="2" s="1"/>
  <c r="L906" i="2"/>
  <c r="L904" i="2"/>
  <c r="M902" i="2"/>
  <c r="M906" i="2" s="1"/>
  <c r="J888" i="2"/>
  <c r="K885" i="2"/>
  <c r="I885" i="2" s="1"/>
  <c r="K868" i="2"/>
  <c r="O868" i="2" s="1"/>
  <c r="J868" i="2"/>
  <c r="K865" i="2"/>
  <c r="I865" i="2" s="1"/>
  <c r="K837" i="2"/>
  <c r="I837" i="2" s="1"/>
  <c r="O834" i="2"/>
  <c r="K834" i="2"/>
  <c r="I834" i="2" s="1"/>
  <c r="J811" i="2"/>
  <c r="J808" i="2"/>
  <c r="K805" i="2"/>
  <c r="K811" i="2" s="1"/>
  <c r="G767" i="2"/>
  <c r="K767" i="2" s="1"/>
  <c r="G765" i="2"/>
  <c r="I765" i="2" s="1"/>
  <c r="G759" i="2"/>
  <c r="K759" i="2" s="1"/>
  <c r="G757" i="2"/>
  <c r="M757" i="2" s="1"/>
  <c r="K743" i="2"/>
  <c r="O743" i="2" s="1"/>
  <c r="K741" i="2"/>
  <c r="O741" i="2" s="1"/>
  <c r="I741" i="2"/>
  <c r="M741" i="2" s="1"/>
  <c r="G717" i="2"/>
  <c r="K717" i="2" s="1"/>
  <c r="G711" i="2"/>
  <c r="M711" i="2" s="1"/>
  <c r="K700" i="2"/>
  <c r="O700" i="2" s="1"/>
  <c r="I700" i="2"/>
  <c r="M700" i="2" s="1"/>
  <c r="L684" i="2"/>
  <c r="L682" i="2"/>
  <c r="M680" i="2"/>
  <c r="M684" i="2" s="1"/>
  <c r="J661" i="2"/>
  <c r="J658" i="2"/>
  <c r="K655" i="2"/>
  <c r="K658" i="2" s="1"/>
  <c r="G642" i="2"/>
  <c r="I642" i="2" s="1"/>
  <c r="G636" i="2"/>
  <c r="K636" i="2" s="1"/>
  <c r="K622" i="2"/>
  <c r="O622" i="2" s="1"/>
  <c r="I622" i="2"/>
  <c r="G585" i="2"/>
  <c r="I585" i="2" s="1"/>
  <c r="G579" i="2"/>
  <c r="K579" i="2" s="1"/>
  <c r="K563" i="2"/>
  <c r="O563" i="2" s="1"/>
  <c r="I563" i="2"/>
  <c r="G528" i="2"/>
  <c r="I528" i="2" s="1"/>
  <c r="G522" i="2"/>
  <c r="K522" i="2" s="1"/>
  <c r="K502" i="2"/>
  <c r="O502" i="2" s="1"/>
  <c r="I502" i="2"/>
  <c r="G467" i="2"/>
  <c r="I467" i="2" s="1"/>
  <c r="G465" i="2"/>
  <c r="K465" i="2" s="1"/>
  <c r="G463" i="2"/>
  <c r="K463" i="2" s="1"/>
  <c r="G456" i="2"/>
  <c r="O456" i="2" s="1"/>
  <c r="G454" i="2"/>
  <c r="I454" i="2" s="1"/>
  <c r="G452" i="2"/>
  <c r="K452" i="2" s="1"/>
  <c r="K441" i="2"/>
  <c r="O441" i="2" s="1"/>
  <c r="K439" i="2"/>
  <c r="O439" i="2" s="1"/>
  <c r="I439" i="2"/>
  <c r="K437" i="2"/>
  <c r="I437" i="2" s="1"/>
  <c r="G410" i="2"/>
  <c r="I410" i="2" s="1"/>
  <c r="G408" i="2"/>
  <c r="I408" i="2" s="1"/>
  <c r="G406" i="2"/>
  <c r="K406" i="2" s="1"/>
  <c r="G398" i="2"/>
  <c r="O398" i="2" s="1"/>
  <c r="M396" i="2"/>
  <c r="G396" i="2"/>
  <c r="I396" i="2" s="1"/>
  <c r="G394" i="2"/>
  <c r="K394" i="2" s="1"/>
  <c r="O380" i="2"/>
  <c r="K380" i="2"/>
  <c r="I380" i="2"/>
  <c r="K378" i="2"/>
  <c r="I378" i="2" s="1"/>
  <c r="K376" i="2"/>
  <c r="O376" i="2" s="1"/>
  <c r="G360" i="2"/>
  <c r="I360" i="2" s="1"/>
  <c r="G354" i="2"/>
  <c r="K354" i="2" s="1"/>
  <c r="K343" i="2"/>
  <c r="O343" i="2" s="1"/>
  <c r="F325" i="2"/>
  <c r="F323" i="2"/>
  <c r="G321" i="2"/>
  <c r="I321" i="2" s="1"/>
  <c r="F321" i="2"/>
  <c r="G319" i="2"/>
  <c r="G325" i="2" s="1"/>
  <c r="I325" i="2" s="1"/>
  <c r="G273" i="2"/>
  <c r="K273" i="2" s="1"/>
  <c r="G267" i="2"/>
  <c r="O267" i="2" s="1"/>
  <c r="K258" i="2"/>
  <c r="I258" i="2" s="1"/>
  <c r="G212" i="2"/>
  <c r="I212" i="2" s="1"/>
  <c r="G206" i="2"/>
  <c r="O206" i="2" s="1"/>
  <c r="K195" i="2"/>
  <c r="I195" i="2" s="1"/>
  <c r="G150" i="2"/>
  <c r="K150" i="2" s="1"/>
  <c r="G144" i="2"/>
  <c r="O144" i="2" s="1"/>
  <c r="K135" i="2"/>
  <c r="I135" i="2" s="1"/>
  <c r="G91" i="2"/>
  <c r="K91" i="2" s="1"/>
  <c r="G85" i="2"/>
  <c r="O85" i="2" s="1"/>
  <c r="K74" i="2"/>
  <c r="I74" i="2" s="1"/>
  <c r="F55" i="2"/>
  <c r="G53" i="2"/>
  <c r="G55" i="2" s="1"/>
  <c r="K55" i="2" s="1"/>
  <c r="F47" i="2"/>
  <c r="G45" i="2"/>
  <c r="J37" i="2"/>
  <c r="K34" i="2"/>
  <c r="J18" i="2"/>
  <c r="J16" i="2"/>
  <c r="J14" i="2"/>
  <c r="J12" i="2"/>
  <c r="K10" i="2"/>
  <c r="M636" i="2" l="1"/>
  <c r="O945" i="2"/>
  <c r="M945" i="2"/>
  <c r="K408" i="2"/>
  <c r="K206" i="2"/>
  <c r="K212" i="2"/>
  <c r="K398" i="2"/>
  <c r="M144" i="2"/>
  <c r="I206" i="2"/>
  <c r="K528" i="2"/>
  <c r="O135" i="2"/>
  <c r="M135" i="2" s="1"/>
  <c r="M206" i="2"/>
  <c r="I343" i="2"/>
  <c r="M343" i="2" s="1"/>
  <c r="I376" i="2"/>
  <c r="K396" i="2"/>
  <c r="I441" i="2"/>
  <c r="M441" i="2" s="1"/>
  <c r="M454" i="2"/>
  <c r="O865" i="2"/>
  <c r="I267" i="2"/>
  <c r="O378" i="2"/>
  <c r="M378" i="2" s="1"/>
  <c r="I85" i="2"/>
  <c r="I91" i="2"/>
  <c r="I273" i="2"/>
  <c r="M354" i="2"/>
  <c r="O437" i="2"/>
  <c r="M437" i="2" s="1"/>
  <c r="M452" i="2"/>
  <c r="K467" i="2"/>
  <c r="M563" i="2"/>
  <c r="M579" i="2"/>
  <c r="O655" i="2"/>
  <c r="K765" i="2"/>
  <c r="I53" i="2"/>
  <c r="K85" i="2"/>
  <c r="I144" i="2"/>
  <c r="I150" i="2"/>
  <c r="O195" i="2"/>
  <c r="M195" i="2" s="1"/>
  <c r="K267" i="2"/>
  <c r="M380" i="2"/>
  <c r="M394" i="2"/>
  <c r="K410" i="2"/>
  <c r="M439" i="2"/>
  <c r="I456" i="2"/>
  <c r="I465" i="2"/>
  <c r="M502" i="2"/>
  <c r="M522" i="2"/>
  <c r="K642" i="2"/>
  <c r="O837" i="2"/>
  <c r="M837" i="2" s="1"/>
  <c r="O926" i="2"/>
  <c r="M926" i="2" s="1"/>
  <c r="K53" i="2"/>
  <c r="O74" i="2"/>
  <c r="M74" i="2" s="1"/>
  <c r="M85" i="2"/>
  <c r="K144" i="2"/>
  <c r="O258" i="2"/>
  <c r="M258" i="2" s="1"/>
  <c r="M267" i="2"/>
  <c r="G323" i="2"/>
  <c r="I323" i="2" s="1"/>
  <c r="K360" i="2"/>
  <c r="I398" i="2"/>
  <c r="K454" i="2"/>
  <c r="K456" i="2"/>
  <c r="K585" i="2"/>
  <c r="I655" i="2"/>
  <c r="M682" i="2"/>
  <c r="I743" i="2"/>
  <c r="M743" i="2" s="1"/>
  <c r="M759" i="2"/>
  <c r="I805" i="2"/>
  <c r="M834" i="2"/>
  <c r="M865" i="2"/>
  <c r="M376" i="2"/>
  <c r="M622" i="2"/>
  <c r="K661" i="2"/>
  <c r="O661" i="2" s="1"/>
  <c r="I34" i="2"/>
  <c r="K37" i="2"/>
  <c r="O34" i="2"/>
  <c r="M45" i="2"/>
  <c r="I45" i="2"/>
  <c r="G47" i="2"/>
  <c r="K45" i="2"/>
  <c r="I55" i="2"/>
  <c r="K16" i="2"/>
  <c r="I10" i="2"/>
  <c r="K12" i="2"/>
  <c r="K14" i="2"/>
  <c r="O10" i="2"/>
  <c r="K18" i="2"/>
  <c r="O45" i="2"/>
  <c r="I658" i="2"/>
  <c r="O658" i="2"/>
  <c r="O811" i="2"/>
  <c r="I811" i="2"/>
  <c r="M811" i="2" s="1"/>
  <c r="O394" i="2"/>
  <c r="I406" i="2"/>
  <c r="I463" i="2"/>
  <c r="I711" i="2"/>
  <c r="O759" i="2"/>
  <c r="I354" i="2"/>
  <c r="I394" i="2"/>
  <c r="O396" i="2"/>
  <c r="M398" i="2"/>
  <c r="I452" i="2"/>
  <c r="O454" i="2"/>
  <c r="M456" i="2"/>
  <c r="I522" i="2"/>
  <c r="I579" i="2"/>
  <c r="I636" i="2"/>
  <c r="I661" i="2"/>
  <c r="M661" i="2" s="1"/>
  <c r="K711" i="2"/>
  <c r="I717" i="2"/>
  <c r="K757" i="2"/>
  <c r="I759" i="2"/>
  <c r="I767" i="2"/>
  <c r="K808" i="2"/>
  <c r="I868" i="2"/>
  <c r="M868" i="2" s="1"/>
  <c r="O885" i="2"/>
  <c r="M885" i="2" s="1"/>
  <c r="M904" i="2"/>
  <c r="O711" i="2"/>
  <c r="O757" i="2"/>
  <c r="O354" i="2"/>
  <c r="O452" i="2"/>
  <c r="O522" i="2"/>
  <c r="O579" i="2"/>
  <c r="O636" i="2"/>
  <c r="I757" i="2"/>
  <c r="K888" i="2"/>
  <c r="I319" i="2"/>
  <c r="O805" i="2"/>
  <c r="M805" i="2" s="1"/>
  <c r="M655" i="2" l="1"/>
  <c r="O888" i="2"/>
  <c r="I888" i="2"/>
  <c r="O808" i="2"/>
  <c r="I808" i="2"/>
  <c r="I16" i="2"/>
  <c r="O16" i="2"/>
  <c r="M658" i="2"/>
  <c r="O14" i="2"/>
  <c r="I14" i="2"/>
  <c r="M14" i="2" s="1"/>
  <c r="I47" i="2"/>
  <c r="O47" i="2"/>
  <c r="M47" i="2"/>
  <c r="K47" i="2"/>
  <c r="O37" i="2"/>
  <c r="I37" i="2"/>
  <c r="M37" i="2" s="1"/>
  <c r="O12" i="2"/>
  <c r="I12" i="2"/>
  <c r="M12" i="2" s="1"/>
  <c r="M34" i="2"/>
  <c r="O18" i="2"/>
  <c r="I18" i="2"/>
  <c r="M10" i="2"/>
  <c r="M888" i="2" l="1"/>
  <c r="M16" i="2"/>
  <c r="M18" i="2"/>
  <c r="M808" i="2"/>
</calcChain>
</file>

<file path=xl/sharedStrings.xml><?xml version="1.0" encoding="utf-8"?>
<sst xmlns="http://schemas.openxmlformats.org/spreadsheetml/2006/main" count="1792" uniqueCount="487">
  <si>
    <t>MARK-UP</t>
  </si>
  <si>
    <t>Digite o Mark-Up Desejado:</t>
  </si>
  <si>
    <t>Mark-Up "1,00" = Preço de Compra</t>
  </si>
  <si>
    <t>Linha Doty T032023-01 v12.0</t>
  </si>
  <si>
    <t xml:space="preserve"> </t>
  </si>
  <si>
    <t>Linha Doty</t>
  </si>
  <si>
    <t>Foto</t>
  </si>
  <si>
    <t>Referência</t>
  </si>
  <si>
    <t>Dimensões</t>
  </si>
  <si>
    <t>Tecido</t>
  </si>
  <si>
    <t>Preço Fábrica</t>
  </si>
  <si>
    <t>Valores</t>
  </si>
  <si>
    <t>Descrição</t>
  </si>
  <si>
    <t>N</t>
  </si>
  <si>
    <t>MESA DE APOIO 
DOTY</t>
  </si>
  <si>
    <t>•</t>
  </si>
  <si>
    <t xml:space="preserve">Estrutura em aço carbono ou inox pintado e assento/tampo em tela expandida pintada. Ambos disponíveis em pintura eletrostática semi brilho, nas cores: preto, branco, vermelho, nude ou areia. </t>
  </si>
  <si>
    <t>Aço Carbono
Pintado 
Classe 01</t>
  </si>
  <si>
    <t>Aço Carbono
Pintado 
Classe 02</t>
  </si>
  <si>
    <t>Inox
Pintado
Classe 01</t>
  </si>
  <si>
    <t>Inox
Pintado
Classe 02</t>
  </si>
  <si>
    <t>45 x 45 x H</t>
  </si>
  <si>
    <t>—</t>
  </si>
  <si>
    <t>50 x 50 x H</t>
  </si>
  <si>
    <t>Disponível para uso em área externa ou interna, informar no pedido.</t>
  </si>
  <si>
    <t>60 x 60 x H</t>
  </si>
  <si>
    <t>Pode ser utilizado como mesa de apoio ou banquinho.</t>
  </si>
  <si>
    <t>70 x 70 x H</t>
  </si>
  <si>
    <t>80 x 80 x H</t>
  </si>
  <si>
    <t xml:space="preserve">Alturas disponíveis: 40, 45, 50 e 60cm. </t>
  </si>
  <si>
    <t xml:space="preserve">Disponível em 03 modelos de tampo. </t>
  </si>
  <si>
    <t>Atenção aos cuidados e manutenções de limpeza contidos no site.</t>
  </si>
  <si>
    <t>Cód: 100734
NCM: 94032090</t>
  </si>
  <si>
    <r>
      <rPr>
        <sz val="10"/>
        <color theme="1"/>
        <rFont val="Calibri"/>
        <family val="2"/>
      </rPr>
      <t xml:space="preserve">BANCO 
DOTY 
</t>
    </r>
    <r>
      <rPr>
        <b/>
        <sz val="10"/>
        <color theme="1"/>
        <rFont val="Calibri"/>
        <family val="2"/>
      </rPr>
      <t>(estrutura)</t>
    </r>
  </si>
  <si>
    <t xml:space="preserve">Estrutura em aço carbono ou inox pintado e assento em tela expandida pintada. Ambos disponíveis em pintura eletrostática semi brilho, nas cores: preto, branco, vermelho, nude ou areia. </t>
  </si>
  <si>
    <t>Aço Carbono
Pintado
Classe 01</t>
  </si>
  <si>
    <t>Aço Carbono
Pintado
Classe 02</t>
  </si>
  <si>
    <t>166 x 61 x 38</t>
  </si>
  <si>
    <t>3 almofadas sobrepostas no assento em tecido ou couro natural.</t>
  </si>
  <si>
    <t>183 x 63 x 38</t>
  </si>
  <si>
    <t>Cód: 100176
NCM: 94017900</t>
  </si>
  <si>
    <r>
      <rPr>
        <sz val="10"/>
        <color theme="1"/>
        <rFont val="Calibri"/>
        <family val="2"/>
      </rPr>
      <t xml:space="preserve">BANCO 
DOTY 
</t>
    </r>
    <r>
      <rPr>
        <b/>
        <sz val="10"/>
        <color theme="1"/>
        <rFont val="Calibri"/>
        <family val="2"/>
      </rPr>
      <t>(assento)</t>
    </r>
  </si>
  <si>
    <t>Tecido  Fornecido</t>
  </si>
  <si>
    <t>Tecido #1#2#3#4</t>
  </si>
  <si>
    <t>Tecido                               #5#6</t>
  </si>
  <si>
    <t>Tecido / 
Couro #7</t>
  </si>
  <si>
    <t>Couro
 #8</t>
  </si>
  <si>
    <t>Área interna</t>
  </si>
  <si>
    <t>Tecido  Área Externa (#1)</t>
  </si>
  <si>
    <t>Tecido  Área Externa (#2)</t>
  </si>
  <si>
    <t>Tecido  Área Externa (#3)</t>
  </si>
  <si>
    <t>Área Externa</t>
  </si>
  <si>
    <t>Cód: 100127
NCM: 94049000</t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</si>
  <si>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</si>
  <si>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</si>
  <si>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Estrutura em aço carbono ou inox pintado, assento e encosto em tela expandida pintada. Ambos disponíveis em pintura eletrostática semi brilho, nas cores: preto, branco, vermelho, nude ou areia. </t>
  </si>
  <si>
    <r>
      <rPr>
        <sz val="10"/>
        <color theme="1"/>
        <rFont val="Calibri"/>
        <family val="2"/>
      </rPr>
      <t>CADEIRA
DOTY</t>
    </r>
    <r>
      <rPr>
        <b/>
        <sz val="10"/>
        <color theme="1"/>
        <rFont val="Calibri"/>
        <family val="2"/>
      </rPr>
      <t xml:space="preserve"> 
(estrutura)</t>
    </r>
  </si>
  <si>
    <t>55,5 x 53,5 x 78</t>
  </si>
  <si>
    <t>Almofadas sobrepostas no assento e encosto, em tecido ou couro natural.</t>
  </si>
  <si>
    <t>Cód: 100159     
NCM: 94017900</t>
  </si>
  <si>
    <r>
      <rPr>
        <sz val="10"/>
        <color theme="1"/>
        <rFont val="Calibri"/>
        <family val="2"/>
      </rPr>
      <t xml:space="preserve">CADEIRA
DOTY 
</t>
    </r>
    <r>
      <rPr>
        <b/>
        <sz val="10"/>
        <color theme="1"/>
        <rFont val="Calibri"/>
        <family val="2"/>
      </rPr>
      <t>(assento e encosto)</t>
    </r>
  </si>
  <si>
    <t>Quando o uso for para área externa, será utilizado tecidos e estrutura do estofado específicos.</t>
  </si>
  <si>
    <t>55 x 55 x 78</t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</si>
  <si>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</si>
  <si>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100035     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</si>
  <si>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</si>
  <si>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>BANQUETA
DOTY</t>
    </r>
    <r>
      <rPr>
        <b/>
        <sz val="10"/>
        <color theme="1"/>
        <rFont val="Calibri"/>
        <family val="2"/>
      </rPr>
      <t xml:space="preserve"> 
(estrutura)</t>
    </r>
  </si>
  <si>
    <t>57 x 54 x 96</t>
  </si>
  <si>
    <t>Cód: 100299      
NCM: 94017900</t>
  </si>
  <si>
    <r>
      <rPr>
        <sz val="10"/>
        <color theme="1"/>
        <rFont val="Calibri"/>
        <family val="2"/>
      </rPr>
      <t xml:space="preserve">BANQUETA
DOTY 
</t>
    </r>
    <r>
      <rPr>
        <b/>
        <sz val="10"/>
        <color theme="1"/>
        <rFont val="Calibri"/>
        <family val="2"/>
      </rPr>
      <t>(assento e encosto)</t>
    </r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</si>
  <si>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</si>
  <si>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100281     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</si>
  <si>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</si>
  <si>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BANQUETA
DOTY
MODELO 02 
</t>
    </r>
    <r>
      <rPr>
        <b/>
        <sz val="10"/>
        <color theme="1"/>
        <rFont val="Calibri"/>
        <family val="2"/>
      </rPr>
      <t>(estrutura)</t>
    </r>
  </si>
  <si>
    <t>57 x 55x 96</t>
  </si>
  <si>
    <t>Cód: 100301
NCM: 94017900</t>
  </si>
  <si>
    <t xml:space="preserve"> Quando o uso for para área externa, será utilizado tecidos e estrutura do estofado específicos.</t>
  </si>
  <si>
    <r>
      <rPr>
        <sz val="10"/>
        <color theme="1"/>
        <rFont val="Calibri"/>
        <family val="2"/>
      </rPr>
      <t xml:space="preserve">BANQUETA
DOTY
MODELO 02 
</t>
    </r>
    <r>
      <rPr>
        <b/>
        <sz val="10"/>
        <color theme="1"/>
        <rFont val="Calibri"/>
        <family val="2"/>
      </rPr>
      <t>(assento e encosto)</t>
    </r>
  </si>
  <si>
    <t>57 x 55 x 96</t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</si>
  <si>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</si>
  <si>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100291 
NCM: 94049000</t>
  </si>
  <si>
    <t>Assento com sistema de giro, todo em aço carbono pintado com 01 rolamento.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</si>
  <si>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</si>
  <si>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Estrutura em aço carbono ou inox pintado, assento e encosto em tela expandida pintada. Ambos disponíveis em pintura eletrostática semi brilho, nas cores: preto, branco, vermelho, nude ou areia.</t>
  </si>
  <si>
    <r>
      <rPr>
        <sz val="10"/>
        <color theme="1"/>
        <rFont val="Calibri"/>
        <family val="2"/>
      </rPr>
      <t xml:space="preserve">POLTRONA DOTY </t>
    </r>
    <r>
      <rPr>
        <b/>
        <sz val="10"/>
        <color theme="1"/>
        <rFont val="Calibri"/>
        <family val="2"/>
      </rPr>
      <t>(estrutura)</t>
    </r>
  </si>
  <si>
    <t>67 x 67 x 68</t>
  </si>
  <si>
    <t>Cód: 100017
NCM: 94017900</t>
  </si>
  <si>
    <r>
      <rPr>
        <sz val="10"/>
        <color theme="1"/>
        <rFont val="Calibri"/>
        <family val="2"/>
      </rPr>
      <t xml:space="preserve">POLTRONA DOTY 
</t>
    </r>
    <r>
      <rPr>
        <b/>
        <sz val="10"/>
        <color theme="1"/>
        <rFont val="Calibri"/>
        <family val="2"/>
      </rPr>
      <t>(assento e encosto)</t>
    </r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</si>
  <si>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</si>
  <si>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Cód: 100014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</si>
  <si>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</si>
  <si>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POLTRONA DOTY
TRAMA</t>
  </si>
  <si>
    <t>74 x 74 x 70
(Chão ao Ass. 42,5 
Chão ao braço 
70)</t>
  </si>
  <si>
    <t>Estrutura em aço carbono ou inox, ambos pintados. Disponíveis em pintura eletrostática semi brilho, nas cores: preto, branco, vermelho, nude e areia.</t>
  </si>
  <si>
    <t xml:space="preserve">Encosto em corda náutica transpassada. </t>
  </si>
  <si>
    <t>Assento em tela expandida inox ou aço carbono pintado, ambos pintados.</t>
  </si>
  <si>
    <t>Aço Carbono</t>
  </si>
  <si>
    <t>Inox</t>
  </si>
  <si>
    <t>#0</t>
  </si>
  <si>
    <t>Almofada solta sobreposta no assento e encosto em tecido do mostruário linha outdoor.</t>
  </si>
  <si>
    <t>#1</t>
  </si>
  <si>
    <t>#2</t>
  </si>
  <si>
    <r>
      <rPr>
        <sz val="10"/>
        <color theme="1"/>
        <rFont val="Calibri"/>
        <family val="2"/>
      </rPr>
      <t xml:space="preserve">Quando o uso for para área interna, as almofada de sobreposição do encosto serão fixo por uma alça com um botão de pressão. </t>
    </r>
    <r>
      <rPr>
        <b/>
        <sz val="10"/>
        <color theme="1"/>
        <rFont val="Calibri"/>
        <family val="2"/>
      </rPr>
      <t xml:space="preserve">(Quando o tecido for em cor escura, o botão de pressão será na cor preta. Quando o tecido for em cor clara, o botão será em inox ou galvanizado). </t>
    </r>
  </si>
  <si>
    <t>#3</t>
  </si>
  <si>
    <t>Cód: 101638
NCM: 94017100</t>
  </si>
  <si>
    <r>
      <rPr>
        <sz val="10"/>
        <color theme="1"/>
        <rFont val="Calibri"/>
        <family val="2"/>
      </rPr>
      <t xml:space="preserve">NAMORADEIRA DOTY
</t>
    </r>
    <r>
      <rPr>
        <b/>
        <sz val="10"/>
        <color theme="1"/>
        <rFont val="Calibri"/>
        <family val="2"/>
      </rPr>
      <t>(estrutura)</t>
    </r>
  </si>
  <si>
    <t>130 x 69 x 75</t>
  </si>
  <si>
    <t>Cód: 100021 
NCM: 94017900</t>
  </si>
  <si>
    <r>
      <rPr>
        <sz val="10"/>
        <color theme="1"/>
        <rFont val="Calibri"/>
        <family val="2"/>
      </rPr>
      <t xml:space="preserve">NAMORADEIRA DOTY 
</t>
    </r>
    <r>
      <rPr>
        <b/>
        <sz val="10"/>
        <color theme="1"/>
        <rFont val="Calibri"/>
        <family val="2"/>
      </rPr>
      <t>(assento e encosto)</t>
    </r>
  </si>
  <si>
    <t>Cód: 100019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</si>
  <si>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</si>
  <si>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SOFÁ DOTY
1 BRAÇO </t>
    </r>
    <r>
      <rPr>
        <b/>
        <sz val="10"/>
        <color theme="1"/>
        <rFont val="Calibri"/>
        <family val="2"/>
      </rPr>
      <t>(estrutura)</t>
    </r>
  </si>
  <si>
    <t>151 x 97 x 75</t>
  </si>
  <si>
    <t>201 x 97 x75</t>
  </si>
  <si>
    <t>301 x 97 x75</t>
  </si>
  <si>
    <t>Almofadas decorativas:</t>
  </si>
  <si>
    <t>— Sofá 1,5m: 02 grandes e 01 pequena.</t>
  </si>
  <si>
    <t>Cód: 100004
NCM: 94017900</t>
  </si>
  <si>
    <t>— Sofá 2m: 02 grandes e 01 pequenas.</t>
  </si>
  <si>
    <r>
      <rPr>
        <sz val="10"/>
        <color theme="1"/>
        <rFont val="Calibri"/>
        <family val="2"/>
      </rPr>
      <t xml:space="preserve">SOFÁ DOTY
1 BRAÇO </t>
    </r>
    <r>
      <rPr>
        <b/>
        <sz val="10"/>
        <color theme="1"/>
        <rFont val="Calibri"/>
        <family val="2"/>
      </rPr>
      <t>(assento, encosto e almofadas)</t>
    </r>
  </si>
  <si>
    <t>— Sofá 3m: 03 grandes e 02 pequenas.</t>
  </si>
  <si>
    <t>Braço lado esquerdo ou direito, olhando de frente. Informar no pedido opção desejada.</t>
  </si>
  <si>
    <t>Quando em couro, possuíra faixas de costura laterais no assento.</t>
  </si>
  <si>
    <t>Cód: 100005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</si>
  <si>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</si>
  <si>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SOFÁ DOTY
2 BRAÇOS </t>
    </r>
    <r>
      <rPr>
        <b/>
        <sz val="10"/>
        <color theme="1"/>
        <rFont val="Calibri"/>
        <family val="2"/>
      </rPr>
      <t>(estrutura)</t>
    </r>
  </si>
  <si>
    <t xml:space="preserve">Estrutura em aço carbono ou inox pintado, assento e encosto em tela expandida pintada. Ambos disponíveis em pintura eletrostática semi brilho, nas cores: preto, branco, vermelho, nude ou areia.  </t>
  </si>
  <si>
    <t>150 x 97 x 75</t>
  </si>
  <si>
    <t>200 x 97 x 75</t>
  </si>
  <si>
    <t>300 x 97 x 75</t>
  </si>
  <si>
    <t>— Sofá 2m: 02 grandes e 02 pequenas.</t>
  </si>
  <si>
    <r>
      <rPr>
        <sz val="10"/>
        <color theme="1"/>
        <rFont val="Calibri"/>
        <family val="2"/>
      </rPr>
      <t xml:space="preserve">SOFÁ DOTY
2 BRAÇOS 
</t>
    </r>
    <r>
      <rPr>
        <b/>
        <sz val="10"/>
        <color theme="1"/>
        <rFont val="Calibri"/>
        <family val="2"/>
      </rPr>
      <t>(assento, encosto e almofadas)</t>
    </r>
  </si>
  <si>
    <t>— Sofá 3m: 03 grandes e 03 pequenas.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</si>
  <si>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</si>
  <si>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SOFÁ DOTY INCLINADO </t>
    </r>
    <r>
      <rPr>
        <b/>
        <sz val="10"/>
        <color theme="1"/>
        <rFont val="Calibri"/>
        <family val="2"/>
      </rPr>
      <t>(estrutura)</t>
    </r>
  </si>
  <si>
    <t>Modelo com inclinação de 25°.</t>
  </si>
  <si>
    <t>315 x 150 x 75</t>
  </si>
  <si>
    <t>Acompanha 02 almofadas grandes e 01 almofada pequena.</t>
  </si>
  <si>
    <t>Cód: 100006
NCM: 94017900</t>
  </si>
  <si>
    <r>
      <rPr>
        <sz val="10"/>
        <color theme="1"/>
        <rFont val="Calibri"/>
        <family val="2"/>
      </rPr>
      <t xml:space="preserve">SOFÁ DOTY
INCLINADO 
</t>
    </r>
    <r>
      <rPr>
        <b/>
        <sz val="10"/>
        <color theme="1"/>
        <rFont val="Calibri"/>
        <family val="2"/>
      </rPr>
      <t>(assento, encosto e almofadas)</t>
    </r>
  </si>
  <si>
    <t>Cód: 100003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</si>
  <si>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</si>
  <si>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CHAISE
DOTY
</t>
    </r>
    <r>
      <rPr>
        <b/>
        <sz val="10"/>
        <color theme="1"/>
        <rFont val="Calibri"/>
        <family val="2"/>
      </rPr>
      <t>(estrutura)</t>
    </r>
  </si>
  <si>
    <t>105 x 154 x 75</t>
  </si>
  <si>
    <t>Cód: 100513
NCM: 94017900</t>
  </si>
  <si>
    <r>
      <rPr>
        <sz val="10"/>
        <color theme="1"/>
        <rFont val="Calibri"/>
        <family val="2"/>
      </rPr>
      <t xml:space="preserve">CHAISE
DOTY 
</t>
    </r>
    <r>
      <rPr>
        <b/>
        <sz val="10"/>
        <color theme="1"/>
        <rFont val="Calibri"/>
        <family val="2"/>
      </rPr>
      <t>(assento, encosto e almofadas)</t>
    </r>
  </si>
  <si>
    <t>Opção com braço, informar no pedido qual o lado desejado, olhando de frente.</t>
  </si>
  <si>
    <t>Cód: 100511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</si>
  <si>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</si>
  <si>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CHAISE
DOTY
</t>
    </r>
    <r>
      <rPr>
        <b/>
        <sz val="10"/>
        <color theme="1"/>
        <rFont val="Calibri"/>
        <family val="2"/>
      </rPr>
      <t>(estrutura)</t>
    </r>
  </si>
  <si>
    <t>98 x 154 x 70</t>
  </si>
  <si>
    <r>
      <rPr>
        <sz val="10"/>
        <color theme="1"/>
        <rFont val="Calibri"/>
        <family val="2"/>
      </rPr>
      <t xml:space="preserve">CHAISE
DOTY 
</t>
    </r>
    <r>
      <rPr>
        <b/>
        <sz val="10"/>
        <color theme="1"/>
        <rFont val="Calibri"/>
        <family val="2"/>
      </rPr>
      <t>(assento, encosto e almofadas)</t>
    </r>
  </si>
  <si>
    <t>98 x 154 x 75</t>
  </si>
  <si>
    <t>Opção sem braço.</t>
  </si>
  <si>
    <t>APARADOR DOTY</t>
  </si>
  <si>
    <t xml:space="preserve">Estrutura em aço carbono ou inox pintado, tampo em tela expandida pintada. Ambos disponíveis em pintura eletrostática semi brilho, nas cores: preto, branco, vermelho, nude ou areia. </t>
  </si>
  <si>
    <t>150 x 40 x 70</t>
  </si>
  <si>
    <t>180 x 40 x 70</t>
  </si>
  <si>
    <t>200 x 40 x 70</t>
  </si>
  <si>
    <t>Cód: 100113
NCM: 94032090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</si>
  <si>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</si>
  <si>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ELEMENTO DE MÁRMORE PARA APARADOR DOTY</t>
  </si>
  <si>
    <t>Elemento de mármore classe 01 ou 02.</t>
  </si>
  <si>
    <t>Disponível para sobrepor aparador doty, nas medidas de: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</si>
  <si>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150 x 40 x 70.</t>
    </r>
  </si>
  <si>
    <t xml:space="preserve">70 x 35 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</si>
  <si>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180 x 40 x 70.</t>
    </r>
  </si>
  <si>
    <t xml:space="preserve">90 x 35 </t>
  </si>
  <si>
    <r>
      <rPr>
        <sz val="10"/>
        <color theme="1"/>
        <rFont val="Calibri"/>
        <family val="2"/>
      </rPr>
      <t xml:space="preserve">  → </t>
    </r>
    <r>
      <rPr>
        <sz val="10"/>
        <color theme="1"/>
        <rFont val="Calibri"/>
        <family val="2"/>
      </rPr>
      <t>200 x 40 x 70.</t>
    </r>
  </si>
  <si>
    <t xml:space="preserve">100 x 35 </t>
  </si>
  <si>
    <t>Disponível para uso em área externa ou interna.</t>
  </si>
  <si>
    <t>Cód: 100621
NCM: 94039100</t>
  </si>
  <si>
    <r>
      <rPr>
        <sz val="10"/>
        <color theme="1"/>
        <rFont val="Calibri"/>
        <family val="2"/>
      </rPr>
      <t xml:space="preserve">PUFF
DOTY </t>
    </r>
    <r>
      <rPr>
        <b/>
        <sz val="10"/>
        <color theme="1"/>
        <rFont val="Calibri"/>
        <family val="2"/>
      </rPr>
      <t>(estrutura)</t>
    </r>
  </si>
  <si>
    <t xml:space="preserve">Estrutura em aço carbono ou inox pintado, assento em tela expandida pintada. Ambos disponíveis em pintura eletrostática semi brilho, nas cores: preto, branco, vermelho, nude ou areia. </t>
  </si>
  <si>
    <t>96 x 67 x 50</t>
  </si>
  <si>
    <t>Almofadas sobrepostas no assento em tecido ou couro natural.</t>
  </si>
  <si>
    <t>Cód: 100010
NCM: 94017900</t>
  </si>
  <si>
    <r>
      <rPr>
        <sz val="10"/>
        <color theme="1"/>
        <rFont val="Calibri"/>
        <family val="2"/>
      </rPr>
      <t xml:space="preserve">PUFF
DOTY </t>
    </r>
    <r>
      <rPr>
        <b/>
        <sz val="10"/>
        <color theme="1"/>
        <rFont val="Calibri"/>
        <family val="2"/>
      </rPr>
      <t>(assento)</t>
    </r>
  </si>
  <si>
    <t>Cód: 100008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</si>
  <si>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</si>
  <si>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PUFF
DOTY
MODELO 02 </t>
    </r>
    <r>
      <rPr>
        <b/>
        <sz val="10"/>
        <color theme="1"/>
        <rFont val="Calibri"/>
        <family val="2"/>
      </rPr>
      <t>(estrutura)</t>
    </r>
  </si>
  <si>
    <t>102 x 89 x 50</t>
  </si>
  <si>
    <t>152 x 89 x 50</t>
  </si>
  <si>
    <r>
      <rPr>
        <b/>
        <sz val="10"/>
        <color theme="1"/>
        <rFont val="Calibri"/>
        <family val="2"/>
      </rPr>
      <t xml:space="preserve">Modelo 02: </t>
    </r>
    <r>
      <rPr>
        <sz val="10"/>
        <color theme="1"/>
        <rFont val="Calibri"/>
        <family val="2"/>
      </rPr>
      <t>cantos arredondados.</t>
    </r>
  </si>
  <si>
    <t>Almofada sobreposta no assento em tecido ou couro natural.</t>
  </si>
  <si>
    <t>Cód: 100011
NCM: 94017900</t>
  </si>
  <si>
    <r>
      <rPr>
        <sz val="10"/>
        <color theme="1"/>
        <rFont val="Calibri"/>
        <family val="2"/>
      </rPr>
      <t xml:space="preserve">PUFF
DOTY
MODELO 02 </t>
    </r>
    <r>
      <rPr>
        <b/>
        <sz val="10"/>
        <color theme="1"/>
        <rFont val="Calibri"/>
        <family val="2"/>
      </rPr>
      <t>(assento)</t>
    </r>
  </si>
  <si>
    <t>Quando em couro na medida de 1,5m, possuíra faixas de costura laterais no assento.</t>
  </si>
  <si>
    <t>Cód: 100009
NCM: 94049000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</si>
  <si>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</si>
  <si>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BASE JANTAR DOTY (para vidro)</t>
  </si>
  <si>
    <t>Tampo preparado para receber vidro transparente lapidado sobreposto de 12mm, fornecido pelo cliente.</t>
  </si>
  <si>
    <t>100 x 100 x 75</t>
  </si>
  <si>
    <t>120 x 120 x 75</t>
  </si>
  <si>
    <t>140 x 140 x 75</t>
  </si>
  <si>
    <t>Menor medida: Ø90cm.</t>
  </si>
  <si>
    <t>Cód: 100415
NCM: 94039900</t>
  </si>
  <si>
    <t xml:space="preserve">MESA BISTRÔ DOTY </t>
  </si>
  <si>
    <t>60 x 60 x 110</t>
  </si>
  <si>
    <t>80 x 80 x 110</t>
  </si>
  <si>
    <t>Cód: 100725
NCM: 94032090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</si>
  <si>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</si>
  <si>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MESA CENTRO DOTY                </t>
  </si>
  <si>
    <t>Estrutura em aço carbono ou inox pintado, tampo em tela expandida pintada. Ambos disponíveis em pintura eletrostática semi brilho, nas cores: preto, branco, vermelho, nude ou areia.</t>
  </si>
  <si>
    <t>100 x 100 x H</t>
  </si>
  <si>
    <t>120 x 120 x H</t>
  </si>
  <si>
    <t xml:space="preserve">Alturas disponíveis: 30, 35 e 40 cm. </t>
  </si>
  <si>
    <t>Cód: 100682
NCM: 94032090</t>
  </si>
  <si>
    <t>MESA CENTRO DOTY
(Versão 02)</t>
  </si>
  <si>
    <t>Ø 120 x H</t>
  </si>
  <si>
    <t>Modelo 02: com aro por fora.</t>
  </si>
  <si>
    <t>Ø 150 x H</t>
  </si>
  <si>
    <t>Cód: 100680
NCM: 94032090</t>
  </si>
  <si>
    <t>ELEMENTO DE MÁRMORE PARA MESA CENTRO DOTY</t>
  </si>
  <si>
    <t>Tampo de mármore classe 01 ou 02.</t>
  </si>
  <si>
    <t>Disponível para sobrepor mesa de centro doty, nas medidas de:</t>
  </si>
  <si>
    <t>Ø 50</t>
  </si>
  <si>
    <r>
      <rPr>
        <sz val="10"/>
        <color theme="1"/>
        <rFont val="Calibri"/>
        <family val="2"/>
      </rPr>
      <t xml:space="preserve">  → </t>
    </r>
    <r>
      <rPr>
        <sz val="10"/>
        <color theme="1"/>
        <rFont val="Calibri"/>
        <family val="2"/>
      </rPr>
      <t>100 x 100 x H.</t>
    </r>
  </si>
  <si>
    <t>Ø 60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</si>
  <si>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120 x 120 x H.</t>
    </r>
  </si>
  <si>
    <t>Ø 80</t>
  </si>
  <si>
    <r>
      <rPr>
        <sz val="10"/>
        <color theme="1"/>
        <rFont val="Calibri"/>
        <family val="2"/>
      </rPr>
      <t xml:space="preserve">  →</t>
    </r>
    <r>
      <rPr>
        <sz val="10"/>
        <color theme="1"/>
        <rFont val="Calibri"/>
        <family val="2"/>
      </rPr>
      <t xml:space="preserve"> 150 x 150 x H.</t>
    </r>
  </si>
  <si>
    <t>Cód: 100624
NCM: 94039100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</si>
  <si>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</si>
  <si>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MESA CENTRO DOTY (retangular)              </t>
  </si>
  <si>
    <t>170 x 60 x H</t>
  </si>
  <si>
    <t>Cód: 100975
NCM: 94032090</t>
  </si>
  <si>
    <t xml:space="preserve">MESA CENTRO DOTY (modelo canto)                                   </t>
  </si>
  <si>
    <t>100 x 100 x 30</t>
  </si>
  <si>
    <t>Cód: 100974
NCM: 94032090</t>
  </si>
  <si>
    <t>CAPAS LINHA DOTY</t>
  </si>
  <si>
    <t>Capas de proteção para linha doty.</t>
  </si>
  <si>
    <t>Disponível para uso em área externa, oferece proteção ao produto, contra exposições climáticas (sol, chuva, etc).</t>
  </si>
  <si>
    <t>Cadeira</t>
  </si>
  <si>
    <t>Banqueta</t>
  </si>
  <si>
    <t>Poltrona</t>
  </si>
  <si>
    <t>Sofá</t>
  </si>
  <si>
    <t>Puff</t>
  </si>
  <si>
    <t>Banco</t>
  </si>
  <si>
    <t>Namoradeira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</si>
  <si>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</si>
  <si>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</t>
  </si>
  <si>
    <t>Mármores / Pedras</t>
  </si>
  <si>
    <t>Telas</t>
  </si>
  <si>
    <t>*</t>
  </si>
  <si>
    <t>Outdoor</t>
  </si>
  <si>
    <t>Classe 01</t>
  </si>
  <si>
    <t>Classe 02</t>
  </si>
  <si>
    <t>- Tela Expandida</t>
  </si>
  <si>
    <t>- Pedra Ancian</t>
  </si>
  <si>
    <t xml:space="preserve"> - Carrara</t>
  </si>
  <si>
    <t xml:space="preserve"> - Mármore Vogue Fosco</t>
  </si>
  <si>
    <t xml:space="preserve">Pinturas Eletrostática </t>
  </si>
  <si>
    <t>- Pedra Preto Absoluto</t>
  </si>
  <si>
    <t xml:space="preserve"> - Nero Marquina</t>
  </si>
  <si>
    <t xml:space="preserve"> - Mármore Branco</t>
  </si>
  <si>
    <t>- Pedra Sabão</t>
  </si>
  <si>
    <t xml:space="preserve"> - Emperador</t>
  </si>
  <si>
    <t xml:space="preserve"> - Mármore Rosa</t>
  </si>
  <si>
    <t>- Pedra Sabão Levigado</t>
  </si>
  <si>
    <t xml:space="preserve"> - Verde Alpi</t>
  </si>
  <si>
    <t>- Nude Semi Brilho</t>
  </si>
  <si>
    <t>Quartzitos</t>
  </si>
  <si>
    <t>- Pedra Café Imperial Levigado</t>
  </si>
  <si>
    <t xml:space="preserve"> - Pedra Victória Falls</t>
  </si>
  <si>
    <t>- Vermelho Semi Brilho</t>
  </si>
  <si>
    <t>- Pedra Café Imperial</t>
  </si>
  <si>
    <t xml:space="preserve"> - Travertino Titanium Fos.</t>
  </si>
  <si>
    <t xml:space="preserve"> - Santorini</t>
  </si>
  <si>
    <t>- Areia Semi Brilho</t>
  </si>
  <si>
    <t>- Branco</t>
  </si>
  <si>
    <t xml:space="preserve"> - Gris Armani</t>
  </si>
  <si>
    <t xml:space="preserve"> - Santorini Levigado</t>
  </si>
  <si>
    <t>- Rosa</t>
  </si>
  <si>
    <t xml:space="preserve"> - Pedra Ancian</t>
  </si>
  <si>
    <t xml:space="preserve"> - Fossil Brown</t>
  </si>
  <si>
    <t>- Branco Semi Brilho</t>
  </si>
  <si>
    <t xml:space="preserve">Mármores e pedras disponíveis apenas ao natural, sem aplicação de verniz de proteção, apenas uso de 
impermeabilizante. </t>
  </si>
  <si>
    <t xml:space="preserve"> - Pedra Sabão</t>
  </si>
  <si>
    <t xml:space="preserve"> - Fossil Brown Levigado</t>
  </si>
  <si>
    <t>- Preto Semi Brilho</t>
  </si>
  <si>
    <t xml:space="preserve"> - Bulgari Black</t>
  </si>
  <si>
    <t xml:space="preserve"> - Ônix Bambu</t>
  </si>
  <si>
    <t>* Mármores e pedras terão como padrão a aplicação de verniz de proteção, sendo possível brilho ou fosco. Exceção a pedra Travertino Titanium e o mármore Vogue, que serão possíveis apenas no verniz fosco. Pedra Santorine Levigado,  Pedra Ônix Bamboo Levigado e Pedra Sabão Levigado disponíveis apenas ao natural, sem verniz de proteção.</t>
  </si>
  <si>
    <t xml:space="preserve"> - Ônix Bambu Levigado</t>
  </si>
  <si>
    <t xml:space="preserve"> - Nero Marinace</t>
  </si>
  <si>
    <t xml:space="preserve"> - Nero Marinace Levigado</t>
  </si>
  <si>
    <t>Quartzitos disponíveis em quantidades limitadas, favor consultar á fábrica antes do fechamento do pedido.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</si>
  <si>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</si>
  <si>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Tecido Fornecido</t>
  </si>
  <si>
    <t xml:space="preserve">Descrição                                                              do Produto </t>
  </si>
  <si>
    <t>Medidas                                       do Produto</t>
  </si>
  <si>
    <t>Tecido                                                             1 Peça</t>
  </si>
  <si>
    <t>Tecido                                                                                       2 Peças</t>
  </si>
  <si>
    <t>Couro                            1 Peça</t>
  </si>
  <si>
    <t>Couro                                  2 Peças</t>
  </si>
  <si>
    <t>Observações                                                                                                                            Gerais</t>
  </si>
  <si>
    <t>LINHA DOTY</t>
  </si>
  <si>
    <t>BANCO DOTY</t>
  </si>
  <si>
    <t>160 x 60 x 35</t>
  </si>
  <si>
    <t>2,00 m</t>
  </si>
  <si>
    <t>-</t>
  </si>
  <si>
    <t>4,20 m²</t>
  </si>
  <si>
    <t>Para estofamento</t>
  </si>
  <si>
    <t>180 x 60 x 35</t>
  </si>
  <si>
    <t>2,30 m</t>
  </si>
  <si>
    <t>4,80 m²</t>
  </si>
  <si>
    <t>CADEIRA DOTY</t>
  </si>
  <si>
    <t>55 x 55 x78</t>
  </si>
  <si>
    <t>1,10 m</t>
  </si>
  <si>
    <t>2,50 m²</t>
  </si>
  <si>
    <t>BANQUETA DOTY</t>
  </si>
  <si>
    <t>55 x 53 x 97</t>
  </si>
  <si>
    <t>BANQUETA DOTY - MODELO 02</t>
  </si>
  <si>
    <t xml:space="preserve"> 57 x 55 x 96</t>
  </si>
  <si>
    <t>POLTRONA DOTY</t>
  </si>
  <si>
    <t>65 x 66 x 68</t>
  </si>
  <si>
    <t>1,20 m</t>
  </si>
  <si>
    <t>NAMORADEIRA DOTY</t>
  </si>
  <si>
    <t>128 x 69 x 75</t>
  </si>
  <si>
    <t>3,30 m</t>
  </si>
  <si>
    <t>6,90 m²</t>
  </si>
  <si>
    <t>SOFÁ DOTY</t>
  </si>
  <si>
    <t>150 x 80 x 66</t>
  </si>
  <si>
    <t>7,50 m</t>
  </si>
  <si>
    <t>16,00 m²</t>
  </si>
  <si>
    <t>Para estofamento em tecido</t>
  </si>
  <si>
    <t>150 x 100 x 66</t>
  </si>
  <si>
    <t>200 x 100 x 66</t>
  </si>
  <si>
    <t>9,50 m</t>
  </si>
  <si>
    <t>21,00 m²</t>
  </si>
  <si>
    <t>300 x 100 x 66</t>
  </si>
  <si>
    <t>14,00 m</t>
  </si>
  <si>
    <t>32,00 m²</t>
  </si>
  <si>
    <t>SOFÁ DOTY - INCLINADO</t>
  </si>
  <si>
    <t>300 x 100 x 70</t>
  </si>
  <si>
    <t>12,00 m</t>
  </si>
  <si>
    <t>25,00 m²</t>
  </si>
  <si>
    <t>CHAISE DOTY - COM BRAÇO</t>
  </si>
  <si>
    <t>100 x 150 x 70</t>
  </si>
  <si>
    <t>6,50 m</t>
  </si>
  <si>
    <t>13,50 m²</t>
  </si>
  <si>
    <t>CHAISE DOTY - SEM BRAÇO</t>
  </si>
  <si>
    <t>90 x 150 x 70</t>
  </si>
  <si>
    <t>PUFF DOTY</t>
  </si>
  <si>
    <t>97 x 70 x 50</t>
  </si>
  <si>
    <t>1,80 m</t>
  </si>
  <si>
    <t>3,80 m²</t>
  </si>
  <si>
    <t>PUFF DOTY - MODELO 02</t>
  </si>
  <si>
    <t>100 x 85 x 50</t>
  </si>
  <si>
    <t>2,70 m</t>
  </si>
  <si>
    <t>5,70 m²</t>
  </si>
  <si>
    <t>150 x 85 x 50</t>
  </si>
  <si>
    <t>3,40 m</t>
  </si>
  <si>
    <t>7,10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</si>
  <si>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</si>
  <si>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SOLLOS .</t>
  </si>
  <si>
    <t>Categoria</t>
  </si>
  <si>
    <t>#1#2#3</t>
  </si>
  <si>
    <t>#5</t>
  </si>
  <si>
    <t>COUROS NATURAIS: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</si>
  <si>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</si>
  <si>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#7</t>
  </si>
  <si>
    <t>NUDE</t>
  </si>
  <si>
    <t>#6</t>
  </si>
  <si>
    <t>YVORI</t>
  </si>
  <si>
    <t>#4</t>
  </si>
  <si>
    <t>DARK BROWN</t>
  </si>
  <si>
    <t>BLACK MATTE</t>
  </si>
  <si>
    <t>SOLETAS:</t>
  </si>
  <si>
    <t>GREY</t>
  </si>
  <si>
    <t>PRETA</t>
  </si>
  <si>
    <t>TOUCH BROWN</t>
  </si>
  <si>
    <t xml:space="preserve"> TOUCH FENDI</t>
  </si>
  <si>
    <t>CAFÉ</t>
  </si>
  <si>
    <t>FEU</t>
  </si>
  <si>
    <t>CARAMELO</t>
  </si>
  <si>
    <t>ÔNIX</t>
  </si>
  <si>
    <t>FROST</t>
  </si>
  <si>
    <t>VERDE OLIVA</t>
  </si>
  <si>
    <t>SANDED ônix VERSÃO B</t>
  </si>
  <si>
    <t>#8</t>
  </si>
  <si>
    <t>SANDED AZUL MARINHO</t>
  </si>
  <si>
    <t>SANDED TAUPE</t>
  </si>
  <si>
    <t>CAMURÇA WHISKY</t>
  </si>
  <si>
    <t>CAMURÇA AVELÃ</t>
  </si>
  <si>
    <t>CAMURÇA PRETO</t>
  </si>
  <si>
    <t>CAMURÇA SAND</t>
  </si>
  <si>
    <t>CAMURÇA SMOKE</t>
  </si>
  <si>
    <t>CAMURÇA CASTOR</t>
  </si>
  <si>
    <t>CAMURÇA MADERO</t>
  </si>
  <si>
    <t>CAMURÇA GRISS</t>
  </si>
  <si>
    <t>CAMURÇA MUSGO</t>
  </si>
  <si>
    <t>CAMURÇA AREIA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</si>
  <si>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</si>
  <si>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QUAKER</t>
  </si>
  <si>
    <t>DYNASTY/LINEN</t>
  </si>
  <si>
    <t>OMNI 08 PLAZA</t>
  </si>
  <si>
    <t>NEW VERMONTE/SMOKE</t>
  </si>
  <si>
    <t xml:space="preserve">OMNI 11 SAND </t>
  </si>
  <si>
    <t>SAMUR/TAUPE</t>
  </si>
  <si>
    <t>OMNI 10 FLAX</t>
  </si>
  <si>
    <t xml:space="preserve">FONTANA/ÔNIX </t>
  </si>
  <si>
    <t>TANGLEWOOD/JUTE MIX</t>
  </si>
  <si>
    <t>VILLA BELLAGIO/NATURAL</t>
  </si>
  <si>
    <t>VILLA OLMO/SILVER</t>
  </si>
  <si>
    <t>SACKCLOTH/GRESTONE</t>
  </si>
  <si>
    <t>VILLA OLMO/NATURAL</t>
  </si>
  <si>
    <t>ROCKYROAD/CHARCOAL</t>
  </si>
  <si>
    <t>VILLA OLMO/OCHRE</t>
  </si>
  <si>
    <t>COSMOS B&amp;W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</si>
  <si>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</si>
  <si>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VILLA OLMO/UMBER</t>
  </si>
  <si>
    <t>SNOW FLAKE FOG</t>
  </si>
  <si>
    <t>NUBBY SLUBBY/NATURAL</t>
  </si>
  <si>
    <t>CROWD CAVIAR</t>
  </si>
  <si>
    <t>MIKA CHIVE 28</t>
  </si>
  <si>
    <t>NUBBY SLUBBY/SILVER</t>
  </si>
  <si>
    <t>CRAFTED GRAZE</t>
  </si>
  <si>
    <t>CRAFTED SAND</t>
  </si>
  <si>
    <t xml:space="preserve">NUBBY/CRACKED WHITE </t>
  </si>
  <si>
    <t>NUBBY/LINEN</t>
  </si>
  <si>
    <t>INTRICATE/SILVER MIX</t>
  </si>
  <si>
    <t>INTRICATE/GRAPHITE MIX</t>
  </si>
  <si>
    <t>INTRICATE/WHITELINEN MIX</t>
  </si>
  <si>
    <t>INTRICATE/GREY MIX</t>
  </si>
  <si>
    <t xml:space="preserve">HOME RUN/STONE </t>
  </si>
  <si>
    <t>DELUXE/21 AUTUMN</t>
  </si>
  <si>
    <t xml:space="preserve">STAUNCH/TABASCO </t>
  </si>
  <si>
    <t>STAUNCH/FUNGI</t>
  </si>
  <si>
    <t>STAUNCH/ZINC</t>
  </si>
  <si>
    <t>MARLEY/SMOKE</t>
  </si>
  <si>
    <t>MARLEY/SNOW</t>
  </si>
  <si>
    <t>TRUEGRAIN ICE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</si>
  <si>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</si>
  <si>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OUTDOOR</t>
  </si>
  <si>
    <t>TECIDOS REPELENTES A AGUA - LINHA DOTY                         (ÁREA EXTERNA):</t>
  </si>
  <si>
    <t>OUT 005</t>
  </si>
  <si>
    <t>OUT 006</t>
  </si>
  <si>
    <t>O'TOP LINEN RED</t>
  </si>
  <si>
    <t>OUT 007</t>
  </si>
  <si>
    <t>O'TOP LINEN DARK GREY</t>
  </si>
  <si>
    <t>OUT 008</t>
  </si>
  <si>
    <t>O'TOP LINEN BLACK</t>
  </si>
  <si>
    <t>OUT 009</t>
  </si>
  <si>
    <t>O´TOP LINEN LINEN</t>
  </si>
  <si>
    <t xml:space="preserve">TECIDO FORNECIDO </t>
  </si>
  <si>
    <t>O'DOUBLE TROUBLE LINEN &amp; WHITE</t>
  </si>
  <si>
    <t>BEGIE WP NATURAL</t>
  </si>
  <si>
    <t xml:space="preserve">BESS 2175 COR 01 </t>
  </si>
  <si>
    <t xml:space="preserve">BESS 2176 01 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</si>
  <si>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</si>
  <si>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SWIMMING TOP</t>
  </si>
  <si>
    <t>XENON BEIGE</t>
  </si>
  <si>
    <t>XENON TANGERINE</t>
  </si>
  <si>
    <t>CORCEGA AREIA</t>
  </si>
  <si>
    <t>CORCEGA DK BEIGE</t>
  </si>
  <si>
    <t>CORCEGA MINT 14</t>
  </si>
  <si>
    <t>CORCEGA NAVE 17</t>
  </si>
  <si>
    <t>CORCEGA RED 11</t>
  </si>
  <si>
    <t>CORCEGA SKY 13</t>
  </si>
  <si>
    <t>CORCEGA TEAL 15</t>
  </si>
  <si>
    <t>SOMBREIRO 001</t>
  </si>
  <si>
    <t xml:space="preserve"># </t>
  </si>
  <si>
    <t>- uso exclusivo sombreiro..</t>
  </si>
  <si>
    <t>OMBRE 001</t>
  </si>
  <si>
    <t>- uso exclusivo ombrelone..</t>
  </si>
  <si>
    <t>OMBRE 002</t>
  </si>
  <si>
    <t>OMBRE 003</t>
  </si>
  <si>
    <t>OUT 001</t>
  </si>
  <si>
    <t>OUT 002</t>
  </si>
  <si>
    <t>OUT 003</t>
  </si>
  <si>
    <t>OUT 004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</si>
  <si>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</si>
  <si>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KVADRAT</t>
  </si>
  <si>
    <t>COLEÇÃO BASEL</t>
  </si>
  <si>
    <t>COLEÇÃO CANVAS</t>
  </si>
  <si>
    <t>COLEÇÃO DIVINA 3</t>
  </si>
  <si>
    <t>COLEÇÃO REVIVE 1</t>
  </si>
  <si>
    <t>COLEÇÃO REVIVE 2</t>
  </si>
  <si>
    <t>COLEÇÃO TONICA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</si>
  <si>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</si>
  <si>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r>
      <rPr>
        <b/>
        <u/>
        <sz val="12"/>
        <color theme="1"/>
        <rFont val="Calibri"/>
        <family val="2"/>
      </rPr>
      <t xml:space="preserve">Atenção: </t>
    </r>
    <r>
      <rPr>
        <sz val="12"/>
        <color theme="1"/>
        <rFont val="Calibri"/>
        <family val="2"/>
      </rPr>
      <t xml:space="preserve">Disponível apenas mediante consulta.
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</si>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</sst>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 &quot;#,##0.00"/>
    <numFmt numFmtId="165" formatCode="[$R$-416]\ #,##0.00"/>
    <numFmt numFmtId="166" formatCode="&quot;R$&quot;\ #,##0.00"/>
  </numFmts>
  <fonts count="5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30"/>
      <color theme="1"/>
      <name val="Arial"/>
      <family val="2"/>
    </font>
    <font>
      <b/>
      <sz val="24"/>
      <color theme="1"/>
      <name val="Calibri"/>
      <family val="2"/>
    </font>
    <font>
      <sz val="12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sz val="8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sz val="32"/>
      <color rgb="FF595959"/>
      <name val="Trebuchet MS"/>
      <family val="2"/>
    </font>
    <font>
      <sz val="8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</font>
    <font>
      <b/>
      <sz val="9"/>
      <color rgb="FF3F3F3F"/>
      <name val="Eras medium itc"/>
    </font>
    <font>
      <sz val="20"/>
      <color rgb="FF7F7F7F"/>
      <name val="Arial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70C0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rgb="FFFF0000"/>
      <name val="Calibri"/>
      <family val="2"/>
    </font>
    <font>
      <sz val="10"/>
      <color theme="1"/>
      <name val="Arial"/>
      <family val="2"/>
    </font>
    <font>
      <sz val="8"/>
      <color rgb="FF070C11"/>
      <name val="Calibri"/>
      <family val="2"/>
    </font>
    <font>
      <sz val="8"/>
      <color rgb="FF833C0B"/>
      <name val="Calibri"/>
      <family val="2"/>
    </font>
    <font>
      <b/>
      <sz val="10"/>
      <color rgb="FF833C0B"/>
      <name val="Calibri"/>
      <family val="2"/>
    </font>
    <font>
      <sz val="11"/>
      <color rgb="FF3F3F3F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26"/>
      <color rgb="FF3F3F3F"/>
      <name val="Microsoft JhengHei"/>
      <family val="2"/>
    </font>
    <font>
      <i/>
      <sz val="12"/>
      <color theme="1"/>
      <name val="Calibri"/>
      <family val="2"/>
    </font>
    <font>
      <sz val="8"/>
      <color rgb="FF0070C0"/>
      <name val="Arial"/>
      <family val="2"/>
    </font>
    <font>
      <sz val="12"/>
      <color rgb="FF0070C0"/>
      <name val="Calibri"/>
      <family val="2"/>
    </font>
    <font>
      <b/>
      <sz val="12"/>
      <color rgb="FF3F3F3F"/>
      <name val="Calibri"/>
      <family val="2"/>
    </font>
    <font>
      <sz val="12"/>
      <color rgb="FF3F3F3F"/>
      <name val="Calibri"/>
      <family val="2"/>
    </font>
    <font>
      <sz val="12"/>
      <color rgb="FF000000"/>
      <name val="Arial"/>
      <family val="2"/>
    </font>
    <font>
      <b/>
      <sz val="8"/>
      <color theme="1"/>
      <name val="Calibri"/>
      <family val="2"/>
    </font>
    <font>
      <sz val="8"/>
      <color theme="1"/>
      <name val="Wingdings"/>
      <charset val="2"/>
    </font>
    <font>
      <b/>
      <u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0" xfId="0" applyFont="1" applyFill="1"/>
    <xf numFmtId="0" fontId="2" fillId="0" borderId="3" xfId="0" applyFont="1" applyBorder="1"/>
    <xf numFmtId="0" fontId="7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14" fillId="2" borderId="1" xfId="0" applyFont="1" applyFill="1" applyBorder="1"/>
    <xf numFmtId="0" fontId="14" fillId="3" borderId="14" xfId="0" applyFont="1" applyFill="1" applyBorder="1"/>
    <xf numFmtId="0" fontId="14" fillId="3" borderId="1" xfId="0" applyFont="1" applyFill="1" applyBorder="1"/>
    <xf numFmtId="0" fontId="14" fillId="3" borderId="17" xfId="0" applyFont="1" applyFill="1" applyBorder="1"/>
    <xf numFmtId="0" fontId="14" fillId="2" borderId="0" xfId="0" applyFont="1" applyFill="1"/>
    <xf numFmtId="49" fontId="1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16" fillId="2" borderId="25" xfId="0" applyFont="1" applyFill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5" fillId="0" borderId="0" xfId="0" applyFont="1"/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8" fillId="0" borderId="0" xfId="0" applyFont="1"/>
    <xf numFmtId="0" fontId="9" fillId="2" borderId="1" xfId="0" applyFont="1" applyFill="1" applyBorder="1" applyAlignment="1">
      <alignment vertical="center"/>
    </xf>
    <xf numFmtId="0" fontId="5" fillId="0" borderId="2" xfId="0" applyFont="1" applyBorder="1"/>
    <xf numFmtId="0" fontId="9" fillId="0" borderId="3" xfId="0" applyFont="1" applyBorder="1" applyAlignment="1">
      <alignment vertical="center"/>
    </xf>
    <xf numFmtId="0" fontId="37" fillId="2" borderId="1" xfId="0" applyFont="1" applyFill="1" applyBorder="1"/>
    <xf numFmtId="0" fontId="14" fillId="0" borderId="0" xfId="0" applyFont="1"/>
    <xf numFmtId="0" fontId="6" fillId="0" borderId="0" xfId="0" applyFont="1"/>
    <xf numFmtId="0" fontId="18" fillId="0" borderId="3" xfId="0" applyFont="1" applyBorder="1"/>
    <xf numFmtId="0" fontId="7" fillId="0" borderId="0" xfId="0" applyFont="1"/>
    <xf numFmtId="0" fontId="20" fillId="5" borderId="2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64" fontId="23" fillId="0" borderId="0" xfId="0" applyNumberFormat="1" applyFont="1" applyAlignment="1">
      <alignment vertical="center"/>
    </xf>
    <xf numFmtId="0" fontId="6" fillId="0" borderId="2" xfId="0" applyFont="1" applyBorder="1"/>
    <xf numFmtId="0" fontId="1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29" xfId="0" applyFont="1" applyBorder="1"/>
    <xf numFmtId="0" fontId="33" fillId="2" borderId="1" xfId="0" applyFont="1" applyFill="1" applyBorder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45" fillId="0" borderId="0" xfId="0" applyNumberFormat="1" applyFont="1" applyAlignment="1">
      <alignment vertical="center"/>
    </xf>
    <xf numFmtId="49" fontId="46" fillId="0" borderId="0" xfId="0" applyNumberFormat="1" applyFont="1" applyAlignment="1">
      <alignment vertical="center"/>
    </xf>
    <xf numFmtId="164" fontId="12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/>
    </xf>
    <xf numFmtId="0" fontId="39" fillId="0" borderId="0" xfId="0" applyFont="1"/>
    <xf numFmtId="164" fontId="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47" fillId="2" borderId="1" xfId="0" applyFont="1" applyFill="1" applyBorder="1"/>
    <xf numFmtId="0" fontId="48" fillId="0" borderId="0" xfId="0" applyFont="1"/>
    <xf numFmtId="49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49" fontId="9" fillId="0" borderId="2" xfId="0" applyNumberFormat="1" applyFont="1" applyBorder="1"/>
    <xf numFmtId="49" fontId="9" fillId="0" borderId="2" xfId="0" applyNumberFormat="1" applyFont="1" applyBorder="1" applyAlignment="1">
      <alignment vertical="center"/>
    </xf>
    <xf numFmtId="0" fontId="1" fillId="2" borderId="1" xfId="0" applyFont="1" applyFill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horizontal="left"/>
      <protection hidden="1"/>
    </xf>
    <xf numFmtId="0" fontId="5" fillId="2" borderId="1" xfId="0" applyFont="1" applyFill="1" applyBorder="1" applyProtection="1">
      <protection hidden="1"/>
    </xf>
    <xf numFmtId="0" fontId="0" fillId="0" borderId="0" xfId="0" applyFont="1" applyAlignment="1" applyProtection="1">
      <protection hidden="1"/>
    </xf>
    <xf numFmtId="0" fontId="20" fillId="4" borderId="26" xfId="0" applyFont="1" applyFill="1" applyBorder="1" applyAlignment="1" applyProtection="1">
      <alignment horizontal="center" vertical="center"/>
      <protection hidden="1"/>
    </xf>
    <xf numFmtId="0" fontId="21" fillId="4" borderId="26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4" fillId="4" borderId="3" xfId="0" applyFont="1" applyFill="1" applyBorder="1" applyProtection="1">
      <protection hidden="1"/>
    </xf>
    <xf numFmtId="0" fontId="14" fillId="4" borderId="0" xfId="0" applyFont="1" applyFill="1" applyProtection="1">
      <protection hidden="1"/>
    </xf>
    <xf numFmtId="0" fontId="5" fillId="4" borderId="0" xfId="0" applyFont="1" applyFill="1" applyAlignment="1" applyProtection="1">
      <alignment vertical="center" wrapText="1"/>
      <protection hidden="1"/>
    </xf>
    <xf numFmtId="0" fontId="14" fillId="4" borderId="0" xfId="0" applyFont="1" applyFill="1" applyAlignment="1" applyProtection="1">
      <alignment horizontal="center"/>
      <protection hidden="1"/>
    </xf>
    <xf numFmtId="0" fontId="5" fillId="4" borderId="0" xfId="0" applyFont="1" applyFill="1" applyProtection="1">
      <protection hidden="1"/>
    </xf>
    <xf numFmtId="0" fontId="5" fillId="4" borderId="0" xfId="0" applyFont="1" applyFill="1" applyAlignment="1" applyProtection="1">
      <alignment horizontal="center"/>
      <protection hidden="1"/>
    </xf>
    <xf numFmtId="165" fontId="5" fillId="4" borderId="30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29" xfId="0" applyNumberFormat="1" applyFont="1" applyFill="1" applyBorder="1" applyAlignment="1" applyProtection="1">
      <alignment horizontal="center" vertical="center" wrapText="1"/>
      <protection hidden="1"/>
    </xf>
    <xf numFmtId="164" fontId="24" fillId="4" borderId="0" xfId="0" applyNumberFormat="1" applyFont="1" applyFill="1" applyAlignment="1" applyProtection="1">
      <alignment horizontal="center"/>
      <protection hidden="1"/>
    </xf>
    <xf numFmtId="0" fontId="6" fillId="4" borderId="0" xfId="0" applyFont="1" applyFill="1" applyProtection="1">
      <protection hidden="1"/>
    </xf>
    <xf numFmtId="0" fontId="27" fillId="4" borderId="0" xfId="0" applyFont="1" applyFill="1" applyAlignment="1" applyProtection="1">
      <alignment horizontal="center" vertical="center"/>
      <protection hidden="1"/>
    </xf>
    <xf numFmtId="0" fontId="18" fillId="4" borderId="0" xfId="0" applyFont="1" applyFill="1" applyAlignment="1" applyProtection="1">
      <alignment horizontal="center" vertical="center"/>
      <protection hidden="1"/>
    </xf>
    <xf numFmtId="164" fontId="23" fillId="4" borderId="0" xfId="0" applyNumberFormat="1" applyFont="1" applyFill="1" applyAlignment="1" applyProtection="1">
      <alignment horizontal="center" vertical="center"/>
      <protection hidden="1"/>
    </xf>
    <xf numFmtId="165" fontId="23" fillId="4" borderId="0" xfId="0" applyNumberFormat="1" applyFont="1" applyFill="1" applyAlignment="1" applyProtection="1">
      <alignment horizontal="center" vertical="center" wrapText="1"/>
      <protection hidden="1"/>
    </xf>
    <xf numFmtId="0" fontId="30" fillId="4" borderId="0" xfId="0" applyFont="1" applyFill="1" applyAlignment="1" applyProtection="1">
      <alignment horizontal="center"/>
      <protection hidden="1"/>
    </xf>
    <xf numFmtId="0" fontId="30" fillId="4" borderId="0" xfId="0" applyFont="1" applyFill="1" applyAlignment="1" applyProtection="1">
      <alignment vertical="center"/>
      <protection hidden="1"/>
    </xf>
    <xf numFmtId="0" fontId="5" fillId="4" borderId="2" xfId="0" applyFont="1" applyFill="1" applyBorder="1" applyProtection="1">
      <protection hidden="1"/>
    </xf>
    <xf numFmtId="0" fontId="5" fillId="4" borderId="2" xfId="0" applyFont="1" applyFill="1" applyBorder="1" applyAlignment="1" applyProtection="1">
      <alignment horizontal="center"/>
      <protection hidden="1"/>
    </xf>
    <xf numFmtId="0" fontId="5" fillId="4" borderId="2" xfId="0" applyFont="1" applyFill="1" applyBorder="1" applyAlignment="1" applyProtection="1">
      <alignment vertical="center"/>
      <protection hidden="1"/>
    </xf>
    <xf numFmtId="0" fontId="5" fillId="4" borderId="3" xfId="0" applyFont="1" applyFill="1" applyBorder="1" applyProtection="1">
      <protection hidden="1"/>
    </xf>
    <xf numFmtId="0" fontId="5" fillId="4" borderId="31" xfId="0" applyFont="1" applyFill="1" applyBorder="1" applyProtection="1">
      <protection hidden="1"/>
    </xf>
    <xf numFmtId="0" fontId="5" fillId="4" borderId="30" xfId="0" applyFont="1" applyFill="1" applyBorder="1" applyProtection="1">
      <protection hidden="1"/>
    </xf>
    <xf numFmtId="0" fontId="14" fillId="4" borderId="0" xfId="0" applyFont="1" applyFill="1" applyAlignment="1" applyProtection="1">
      <alignment vertical="center"/>
      <protection hidden="1"/>
    </xf>
    <xf numFmtId="165" fontId="5" fillId="4" borderId="0" xfId="0" applyNumberFormat="1" applyFont="1" applyFill="1" applyAlignment="1" applyProtection="1">
      <alignment vertical="center" wrapText="1"/>
      <protection hidden="1"/>
    </xf>
    <xf numFmtId="165" fontId="5" fillId="4" borderId="0" xfId="0" applyNumberFormat="1" applyFont="1" applyFill="1" applyAlignment="1" applyProtection="1">
      <alignment horizontal="center" vertical="center"/>
      <protection hidden="1"/>
    </xf>
    <xf numFmtId="165" fontId="5" fillId="4" borderId="29" xfId="0" applyNumberFormat="1" applyFont="1" applyFill="1" applyBorder="1" applyAlignment="1" applyProtection="1">
      <alignment horizontal="center" vertical="center"/>
      <protection hidden="1"/>
    </xf>
    <xf numFmtId="165" fontId="5" fillId="4" borderId="29" xfId="0" applyNumberFormat="1" applyFont="1" applyFill="1" applyBorder="1" applyAlignment="1" applyProtection="1">
      <alignment vertical="center" wrapText="1"/>
      <protection hidden="1"/>
    </xf>
    <xf numFmtId="0" fontId="31" fillId="4" borderId="0" xfId="0" applyFont="1" applyFill="1" applyProtection="1">
      <protection hidden="1"/>
    </xf>
    <xf numFmtId="0" fontId="30" fillId="4" borderId="0" xfId="0" applyFont="1" applyFill="1" applyAlignment="1" applyProtection="1">
      <protection hidden="1"/>
    </xf>
    <xf numFmtId="165" fontId="32" fillId="4" borderId="30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29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vertical="center"/>
      <protection hidden="1"/>
    </xf>
    <xf numFmtId="0" fontId="23" fillId="4" borderId="0" xfId="0" applyFont="1" applyFill="1" applyAlignment="1" applyProtection="1">
      <alignment vertical="center"/>
      <protection hidden="1"/>
    </xf>
    <xf numFmtId="0" fontId="28" fillId="4" borderId="0" xfId="0" applyFont="1" applyFill="1" applyAlignment="1" applyProtection="1">
      <alignment vertical="center"/>
      <protection hidden="1"/>
    </xf>
    <xf numFmtId="0" fontId="5" fillId="4" borderId="29" xfId="0" applyFont="1" applyFill="1" applyBorder="1" applyProtection="1">
      <protection hidden="1"/>
    </xf>
    <xf numFmtId="0" fontId="22" fillId="4" borderId="0" xfId="0" applyFont="1" applyFill="1" applyAlignment="1" applyProtection="1">
      <alignment horizontal="center"/>
      <protection hidden="1"/>
    </xf>
    <xf numFmtId="0" fontId="22" fillId="4" borderId="0" xfId="0" applyFont="1" applyFill="1" applyAlignment="1" applyProtection="1">
      <alignment vertical="center"/>
      <protection hidden="1"/>
    </xf>
    <xf numFmtId="0" fontId="5" fillId="4" borderId="1" xfId="0" applyFont="1" applyFill="1" applyBorder="1" applyProtection="1">
      <protection hidden="1"/>
    </xf>
    <xf numFmtId="0" fontId="22" fillId="4" borderId="1" xfId="0" applyFont="1" applyFill="1" applyBorder="1" applyAlignment="1" applyProtection="1">
      <alignment horizontal="center"/>
      <protection hidden="1"/>
    </xf>
    <xf numFmtId="0" fontId="5" fillId="4" borderId="32" xfId="0" applyFont="1" applyFill="1" applyBorder="1" applyProtection="1">
      <protection hidden="1"/>
    </xf>
    <xf numFmtId="0" fontId="5" fillId="4" borderId="29" xfId="0" applyFont="1" applyFill="1" applyBorder="1" applyAlignment="1" applyProtection="1">
      <alignment horizontal="center"/>
      <protection hidden="1"/>
    </xf>
    <xf numFmtId="0" fontId="20" fillId="4" borderId="33" xfId="0" applyFont="1" applyFill="1" applyBorder="1" applyAlignment="1" applyProtection="1">
      <alignment horizontal="center" vertical="center"/>
      <protection hidden="1"/>
    </xf>
    <xf numFmtId="0" fontId="1" fillId="2" borderId="34" xfId="0" applyFont="1" applyFill="1" applyBorder="1" applyAlignment="1" applyProtection="1">
      <alignment vertical="center"/>
      <protection hidden="1"/>
    </xf>
    <xf numFmtId="0" fontId="31" fillId="4" borderId="3" xfId="0" applyFont="1" applyFill="1" applyBorder="1" applyProtection="1">
      <protection hidden="1"/>
    </xf>
    <xf numFmtId="0" fontId="14" fillId="4" borderId="29" xfId="0" applyFont="1" applyFill="1" applyBorder="1" applyAlignment="1" applyProtection="1">
      <alignment vertical="center"/>
      <protection hidden="1"/>
    </xf>
    <xf numFmtId="0" fontId="5" fillId="4" borderId="35" xfId="0" applyFont="1" applyFill="1" applyBorder="1" applyProtection="1">
      <protection hidden="1"/>
    </xf>
    <xf numFmtId="0" fontId="5" fillId="4" borderId="36" xfId="0" applyFont="1" applyFill="1" applyBorder="1" applyProtection="1">
      <protection hidden="1"/>
    </xf>
    <xf numFmtId="0" fontId="5" fillId="2" borderId="35" xfId="0" applyFont="1" applyFill="1" applyBorder="1" applyProtection="1">
      <protection hidden="1"/>
    </xf>
    <xf numFmtId="0" fontId="5" fillId="4" borderId="29" xfId="0" applyFont="1" applyFill="1" applyBorder="1" applyAlignment="1" applyProtection="1">
      <alignment vertical="center"/>
      <protection hidden="1"/>
    </xf>
    <xf numFmtId="0" fontId="22" fillId="4" borderId="0" xfId="0" applyFont="1" applyFill="1" applyAlignment="1" applyProtection="1">
      <alignment horizontal="left" vertical="top"/>
      <protection hidden="1"/>
    </xf>
    <xf numFmtId="0" fontId="22" fillId="4" borderId="3" xfId="0" applyFont="1" applyFill="1" applyBorder="1" applyAlignment="1" applyProtection="1">
      <alignment horizontal="left" vertical="top"/>
      <protection hidden="1"/>
    </xf>
    <xf numFmtId="0" fontId="22" fillId="4" borderId="2" xfId="0" applyFont="1" applyFill="1" applyBorder="1" applyAlignment="1" applyProtection="1">
      <alignment horizontal="left" vertical="top"/>
      <protection hidden="1"/>
    </xf>
    <xf numFmtId="0" fontId="32" fillId="4" borderId="0" xfId="0" applyFont="1" applyFill="1" applyAlignment="1" applyProtection="1">
      <alignment vertical="center"/>
      <protection hidden="1"/>
    </xf>
    <xf numFmtId="0" fontId="32" fillId="4" borderId="0" xfId="0" applyFont="1" applyFill="1" applyProtection="1">
      <protection hidden="1"/>
    </xf>
    <xf numFmtId="0" fontId="29" fillId="4" borderId="0" xfId="0" applyFont="1" applyFill="1" applyAlignment="1" applyProtection="1">
      <alignment horizontal="center" vertical="center" wrapText="1"/>
      <protection hidden="1"/>
    </xf>
    <xf numFmtId="0" fontId="23" fillId="2" borderId="1" xfId="0" applyFont="1" applyFill="1" applyBorder="1" applyAlignment="1" applyProtection="1">
      <alignment vertical="center" wrapText="1"/>
      <protection hidden="1"/>
    </xf>
    <xf numFmtId="0" fontId="23" fillId="2" borderId="34" xfId="0" applyFont="1" applyFill="1" applyBorder="1" applyAlignment="1" applyProtection="1">
      <alignment vertical="center" wrapText="1"/>
      <protection hidden="1"/>
    </xf>
    <xf numFmtId="0" fontId="5" fillId="4" borderId="3" xfId="0" applyFont="1" applyFill="1" applyBorder="1" applyAlignment="1" applyProtection="1">
      <alignment vertical="center"/>
      <protection hidden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164" fontId="34" fillId="4" borderId="30" xfId="0" applyNumberFormat="1" applyFont="1" applyFill="1" applyBorder="1" applyAlignment="1" applyProtection="1">
      <alignment horizontal="center" vertical="center"/>
      <protection hidden="1"/>
    </xf>
    <xf numFmtId="164" fontId="34" fillId="4" borderId="30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30" xfId="0" applyNumberFormat="1" applyFont="1" applyFill="1" applyBorder="1" applyAlignment="1" applyProtection="1">
      <alignment horizontal="center" vertical="center" wrapText="1"/>
      <protection hidden="1"/>
    </xf>
    <xf numFmtId="164" fontId="34" fillId="4" borderId="29" xfId="0" applyNumberFormat="1" applyFont="1" applyFill="1" applyBorder="1" applyAlignment="1" applyProtection="1">
      <alignment horizontal="center" vertical="center"/>
      <protection hidden="1"/>
    </xf>
    <xf numFmtId="164" fontId="34" fillId="4" borderId="29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29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34" xfId="0" applyFont="1" applyFill="1" applyBorder="1" applyProtection="1">
      <protection hidden="1"/>
    </xf>
    <xf numFmtId="0" fontId="31" fillId="4" borderId="2" xfId="0" applyFont="1" applyFill="1" applyBorder="1" applyProtection="1"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0" fontId="9" fillId="2" borderId="1" xfId="0" applyFont="1" applyFill="1" applyBorder="1" applyAlignment="1" applyProtection="1">
      <alignment vertical="center"/>
      <protection hidden="1"/>
    </xf>
    <xf numFmtId="0" fontId="23" fillId="4" borderId="0" xfId="0" applyFont="1" applyFill="1" applyAlignment="1" applyProtection="1">
      <alignment horizontal="left" vertical="center" wrapText="1"/>
      <protection hidden="1"/>
    </xf>
    <xf numFmtId="164" fontId="24" fillId="2" borderId="1" xfId="0" applyNumberFormat="1" applyFont="1" applyFill="1" applyBorder="1" applyAlignment="1" applyProtection="1">
      <alignment vertical="center"/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0" fontId="5" fillId="4" borderId="1" xfId="0" applyFont="1" applyFill="1" applyBorder="1" applyAlignment="1" applyProtection="1">
      <alignment vertical="center"/>
      <protection hidden="1"/>
    </xf>
    <xf numFmtId="0" fontId="35" fillId="4" borderId="0" xfId="0" applyFont="1" applyFill="1" applyAlignment="1" applyProtection="1">
      <alignment horizontal="center"/>
      <protection hidden="1"/>
    </xf>
    <xf numFmtId="0" fontId="36" fillId="4" borderId="0" xfId="0" applyFont="1" applyFill="1" applyAlignment="1" applyProtection="1">
      <alignment horizontal="left" vertical="center" wrapText="1"/>
      <protection hidden="1"/>
    </xf>
    <xf numFmtId="0" fontId="35" fillId="4" borderId="2" xfId="0" applyFont="1" applyFill="1" applyBorder="1" applyAlignment="1" applyProtection="1">
      <alignment horizontal="center"/>
      <protection hidden="1"/>
    </xf>
    <xf numFmtId="0" fontId="36" fillId="4" borderId="2" xfId="0" applyFont="1" applyFill="1" applyBorder="1" applyAlignment="1" applyProtection="1">
      <alignment horizontal="left" vertical="center" wrapText="1"/>
      <protection hidden="1"/>
    </xf>
    <xf numFmtId="0" fontId="5" fillId="4" borderId="38" xfId="0" applyFont="1" applyFill="1" applyBorder="1" applyAlignment="1" applyProtection="1">
      <alignment horizontal="center"/>
      <protection hidden="1"/>
    </xf>
    <xf numFmtId="0" fontId="5" fillId="4" borderId="38" xfId="0" applyFont="1" applyFill="1" applyBorder="1" applyAlignment="1" applyProtection="1">
      <alignment vertical="center"/>
      <protection hidden="1"/>
    </xf>
    <xf numFmtId="0" fontId="9" fillId="4" borderId="0" xfId="0" applyFont="1" applyFill="1" applyAlignment="1" applyProtection="1">
      <alignment vertical="center"/>
      <protection hidden="1"/>
    </xf>
    <xf numFmtId="0" fontId="22" fillId="4" borderId="0" xfId="0" applyFont="1" applyFill="1" applyAlignment="1" applyProtection="1">
      <alignment vertical="top"/>
      <protection hidden="1"/>
    </xf>
    <xf numFmtId="0" fontId="6" fillId="4" borderId="0" xfId="0" applyFont="1" applyFill="1" applyAlignment="1" applyProtection="1">
      <protection hidden="1"/>
    </xf>
    <xf numFmtId="0" fontId="23" fillId="4" borderId="0" xfId="0" applyFont="1" applyFill="1" applyAlignment="1" applyProtection="1">
      <alignment vertical="center" wrapText="1"/>
      <protection hidden="1"/>
    </xf>
    <xf numFmtId="0" fontId="20" fillId="4" borderId="26" xfId="0" applyFont="1" applyFill="1" applyBorder="1" applyAlignment="1" applyProtection="1">
      <alignment horizontal="center"/>
      <protection hidden="1"/>
    </xf>
    <xf numFmtId="0" fontId="5" fillId="4" borderId="39" xfId="0" applyFont="1" applyFill="1" applyBorder="1" applyAlignment="1" applyProtection="1">
      <alignment horizontal="center"/>
      <protection hidden="1"/>
    </xf>
    <xf numFmtId="0" fontId="5" fillId="4" borderId="39" xfId="0" applyFont="1" applyFill="1" applyBorder="1" applyProtection="1">
      <protection hidden="1"/>
    </xf>
    <xf numFmtId="0" fontId="14" fillId="4" borderId="1" xfId="0" applyFont="1" applyFill="1" applyBorder="1" applyAlignment="1" applyProtection="1">
      <alignment horizontal="center"/>
      <protection hidden="1"/>
    </xf>
    <xf numFmtId="0" fontId="14" fillId="4" borderId="1" xfId="0" applyFont="1" applyFill="1" applyBorder="1" applyAlignment="1" applyProtection="1">
      <alignment vertical="center"/>
      <protection hidden="1"/>
    </xf>
    <xf numFmtId="165" fontId="5" fillId="4" borderId="1" xfId="0" applyNumberFormat="1" applyFont="1" applyFill="1" applyBorder="1" applyAlignment="1" applyProtection="1">
      <alignment vertical="center" wrapText="1"/>
      <protection hidden="1"/>
    </xf>
    <xf numFmtId="0" fontId="14" fillId="4" borderId="1" xfId="0" applyFont="1" applyFill="1" applyBorder="1" applyProtection="1">
      <protection hidden="1"/>
    </xf>
    <xf numFmtId="0" fontId="5" fillId="4" borderId="1" xfId="0" applyFont="1" applyFill="1" applyBorder="1" applyAlignment="1" applyProtection="1">
      <alignment vertical="center" wrapText="1"/>
      <protection hidden="1"/>
    </xf>
    <xf numFmtId="165" fontId="5" fillId="4" borderId="1" xfId="0" applyNumberFormat="1" applyFont="1" applyFill="1" applyBorder="1" applyAlignment="1" applyProtection="1">
      <alignment horizontal="center" vertical="center"/>
      <protection hidden="1"/>
    </xf>
    <xf numFmtId="165" fontId="5" fillId="4" borderId="32" xfId="0" applyNumberFormat="1" applyFont="1" applyFill="1" applyBorder="1" applyAlignment="1" applyProtection="1">
      <alignment vertical="center" wrapText="1"/>
      <protection hidden="1"/>
    </xf>
    <xf numFmtId="165" fontId="5" fillId="4" borderId="32" xfId="0" applyNumberFormat="1" applyFont="1" applyFill="1" applyBorder="1" applyAlignment="1" applyProtection="1">
      <alignment horizontal="center" vertical="center"/>
      <protection hidden="1"/>
    </xf>
    <xf numFmtId="164" fontId="24" fillId="4" borderId="1" xfId="0" applyNumberFormat="1" applyFont="1" applyFill="1" applyBorder="1" applyAlignment="1" applyProtection="1">
      <alignment horizontal="center"/>
      <protection hidden="1"/>
    </xf>
    <xf numFmtId="165" fontId="5" fillId="4" borderId="31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32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31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32" xfId="0" applyNumberFormat="1" applyFont="1" applyFill="1" applyBorder="1" applyAlignment="1" applyProtection="1">
      <alignment horizontal="center" vertical="center" wrapText="1"/>
      <protection hidden="1"/>
    </xf>
    <xf numFmtId="0" fontId="32" fillId="4" borderId="1" xfId="0" applyFont="1" applyFill="1" applyBorder="1" applyProtection="1">
      <protection hidden="1"/>
    </xf>
    <xf numFmtId="165" fontId="5" fillId="4" borderId="31" xfId="0" applyNumberFormat="1" applyFont="1" applyFill="1" applyBorder="1" applyAlignment="1" applyProtection="1">
      <alignment vertical="center" wrapText="1"/>
      <protection hidden="1"/>
    </xf>
    <xf numFmtId="0" fontId="23" fillId="4" borderId="1" xfId="0" applyFont="1" applyFill="1" applyBorder="1" applyAlignment="1" applyProtection="1">
      <alignment vertical="center" wrapText="1"/>
      <protection hidden="1"/>
    </xf>
    <xf numFmtId="0" fontId="22" fillId="4" borderId="1" xfId="0" applyFont="1" applyFill="1" applyBorder="1" applyAlignment="1" applyProtection="1">
      <alignment vertical="top"/>
      <protection hidden="1"/>
    </xf>
    <xf numFmtId="0" fontId="22" fillId="4" borderId="38" xfId="0" applyFont="1" applyFill="1" applyBorder="1" applyAlignment="1" applyProtection="1">
      <alignment vertical="top"/>
      <protection hidden="1"/>
    </xf>
    <xf numFmtId="0" fontId="9" fillId="4" borderId="38" xfId="0" applyFont="1" applyFill="1" applyBorder="1" applyAlignment="1" applyProtection="1">
      <alignment horizontal="center"/>
      <protection hidden="1"/>
    </xf>
    <xf numFmtId="0" fontId="9" fillId="4" borderId="38" xfId="0" applyFont="1" applyFill="1" applyBorder="1" applyAlignment="1" applyProtection="1">
      <alignment vertical="center"/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22" fillId="4" borderId="2" xfId="0" applyFont="1" applyFill="1" applyBorder="1" applyAlignment="1" applyProtection="1">
      <alignment vertical="top"/>
      <protection hidden="1"/>
    </xf>
    <xf numFmtId="0" fontId="22" fillId="4" borderId="2" xfId="0" applyFont="1" applyFill="1" applyBorder="1" applyAlignment="1" applyProtection="1">
      <alignment horizontal="center"/>
      <protection hidden="1"/>
    </xf>
    <xf numFmtId="0" fontId="22" fillId="4" borderId="2" xfId="0" applyFont="1" applyFill="1" applyBorder="1" applyAlignment="1" applyProtection="1">
      <alignment vertical="center"/>
      <protection hidden="1"/>
    </xf>
    <xf numFmtId="0" fontId="9" fillId="4" borderId="30" xfId="0" applyFont="1" applyFill="1" applyBorder="1" applyAlignment="1" applyProtection="1">
      <alignment vertical="center"/>
      <protection hidden="1"/>
    </xf>
    <xf numFmtId="0" fontId="9" fillId="4" borderId="29" xfId="0" applyFont="1" applyFill="1" applyBorder="1" applyAlignment="1" applyProtection="1">
      <alignment vertical="center"/>
      <protection hidden="1"/>
    </xf>
    <xf numFmtId="0" fontId="28" fillId="4" borderId="0" xfId="0" applyFont="1" applyFill="1" applyAlignment="1" applyProtection="1">
      <alignment horizontal="left" vertical="center" wrapText="1"/>
      <protection hidden="1"/>
    </xf>
    <xf numFmtId="164" fontId="24" fillId="2" borderId="35" xfId="0" applyNumberFormat="1" applyFont="1" applyFill="1" applyBorder="1" applyAlignment="1" applyProtection="1">
      <alignment vertical="center"/>
      <protection hidden="1"/>
    </xf>
    <xf numFmtId="0" fontId="6" fillId="4" borderId="2" xfId="0" applyFont="1" applyFill="1" applyBorder="1" applyProtection="1">
      <protection hidden="1"/>
    </xf>
    <xf numFmtId="0" fontId="30" fillId="4" borderId="2" xfId="0" applyFont="1" applyFill="1" applyBorder="1" applyProtection="1">
      <protection hidden="1"/>
    </xf>
    <xf numFmtId="0" fontId="28" fillId="4" borderId="2" xfId="0" applyFont="1" applyFill="1" applyBorder="1" applyAlignment="1" applyProtection="1">
      <alignment horizontal="left" vertical="center" wrapText="1"/>
      <protection hidden="1"/>
    </xf>
    <xf numFmtId="0" fontId="9" fillId="4" borderId="2" xfId="0" applyFont="1" applyFill="1" applyBorder="1" applyAlignment="1" applyProtection="1">
      <alignment horizontal="center"/>
      <protection hidden="1"/>
    </xf>
    <xf numFmtId="0" fontId="9" fillId="4" borderId="2" xfId="0" applyFont="1" applyFill="1" applyBorder="1" applyAlignment="1" applyProtection="1">
      <alignment vertical="center"/>
      <protection hidden="1"/>
    </xf>
    <xf numFmtId="0" fontId="5" fillId="0" borderId="2" xfId="0" applyFont="1" applyBorder="1" applyProtection="1">
      <protection hidden="1"/>
    </xf>
    <xf numFmtId="0" fontId="7" fillId="0" borderId="2" xfId="0" applyFont="1" applyBorder="1" applyProtection="1">
      <protection hidden="1"/>
    </xf>
    <xf numFmtId="0" fontId="9" fillId="0" borderId="3" xfId="0" applyFont="1" applyBorder="1" applyAlignment="1" applyProtection="1">
      <alignment vertical="center"/>
      <protection hidden="1"/>
    </xf>
    <xf numFmtId="0" fontId="37" fillId="2" borderId="1" xfId="0" applyFont="1" applyFill="1" applyBorder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49" fontId="39" fillId="6" borderId="1" xfId="0" applyNumberFormat="1" applyFont="1" applyFill="1" applyBorder="1" applyAlignment="1" applyProtection="1">
      <alignment horizontal="left" vertical="center"/>
      <protection hidden="1"/>
    </xf>
    <xf numFmtId="164" fontId="24" fillId="6" borderId="1" xfId="0" applyNumberFormat="1" applyFont="1" applyFill="1" applyBorder="1" applyAlignment="1" applyProtection="1">
      <alignment vertical="top"/>
      <protection hidden="1"/>
    </xf>
    <xf numFmtId="0" fontId="5" fillId="6" borderId="38" xfId="0" applyFont="1" applyFill="1" applyBorder="1" applyProtection="1">
      <protection hidden="1"/>
    </xf>
    <xf numFmtId="0" fontId="6" fillId="6" borderId="1" xfId="0" applyFont="1" applyFill="1" applyBorder="1" applyProtection="1">
      <protection hidden="1"/>
    </xf>
    <xf numFmtId="0" fontId="5" fillId="6" borderId="1" xfId="0" applyFont="1" applyFill="1" applyBorder="1" applyProtection="1">
      <protection hidden="1"/>
    </xf>
    <xf numFmtId="49" fontId="9" fillId="6" borderId="1" xfId="0" applyNumberFormat="1" applyFont="1" applyFill="1" applyBorder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49" fontId="9" fillId="6" borderId="1" xfId="0" applyNumberFormat="1" applyFont="1" applyFill="1" applyBorder="1" applyAlignment="1" applyProtection="1">
      <alignment vertical="center"/>
      <protection hidden="1"/>
    </xf>
    <xf numFmtId="49" fontId="9" fillId="6" borderId="38" xfId="0" applyNumberFormat="1" applyFont="1" applyFill="1" applyBorder="1" applyAlignment="1" applyProtection="1">
      <alignment vertical="center"/>
      <protection hidden="1"/>
    </xf>
    <xf numFmtId="0" fontId="14" fillId="2" borderId="1" xfId="0" applyFont="1" applyFill="1" applyBorder="1" applyProtection="1">
      <protection hidden="1"/>
    </xf>
    <xf numFmtId="164" fontId="38" fillId="7" borderId="0" xfId="0" applyNumberFormat="1" applyFont="1" applyFill="1" applyAlignment="1" applyProtection="1">
      <alignment horizontal="center" vertical="top"/>
      <protection hidden="1"/>
    </xf>
    <xf numFmtId="49" fontId="40" fillId="7" borderId="0" xfId="0" applyNumberFormat="1" applyFont="1" applyFill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5" fillId="0" borderId="3" xfId="0" applyFont="1" applyBorder="1" applyProtection="1">
      <protection hidden="1"/>
    </xf>
    <xf numFmtId="0" fontId="14" fillId="0" borderId="3" xfId="0" applyFont="1" applyBorder="1" applyProtection="1">
      <protection hidden="1"/>
    </xf>
    <xf numFmtId="0" fontId="18" fillId="0" borderId="3" xfId="0" applyFont="1" applyBorder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20" fillId="8" borderId="33" xfId="0" applyFont="1" applyFill="1" applyBorder="1" applyAlignment="1" applyProtection="1">
      <alignment horizontal="center" vertical="center" wrapText="1"/>
      <protection hidden="1"/>
    </xf>
    <xf numFmtId="0" fontId="20" fillId="8" borderId="26" xfId="0" applyFont="1" applyFill="1" applyBorder="1" applyAlignment="1" applyProtection="1">
      <alignment horizontal="center" vertical="center" wrapText="1"/>
      <protection hidden="1"/>
    </xf>
    <xf numFmtId="0" fontId="37" fillId="2" borderId="34" xfId="0" applyFont="1" applyFill="1" applyBorder="1" applyProtection="1">
      <protection hidden="1"/>
    </xf>
    <xf numFmtId="164" fontId="23" fillId="2" borderId="1" xfId="0" applyNumberFormat="1" applyFont="1" applyFill="1" applyBorder="1" applyAlignment="1" applyProtection="1">
      <alignment vertical="center"/>
      <protection hidden="1"/>
    </xf>
    <xf numFmtId="0" fontId="6" fillId="2" borderId="34" xfId="0" applyFont="1" applyFill="1" applyBorder="1" applyProtection="1">
      <protection hidden="1"/>
    </xf>
    <xf numFmtId="0" fontId="14" fillId="0" borderId="30" xfId="0" applyFont="1" applyBorder="1" applyProtection="1">
      <protection hidden="1"/>
    </xf>
    <xf numFmtId="0" fontId="18" fillId="0" borderId="0" xfId="0" applyFont="1" applyAlignment="1" applyProtection="1">
      <alignment horizontal="center"/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0" fontId="18" fillId="0" borderId="3" xfId="0" applyFont="1" applyBorder="1" applyAlignment="1" applyProtection="1">
      <alignment horizontal="center"/>
      <protection hidden="1"/>
    </xf>
    <xf numFmtId="0" fontId="33" fillId="2" borderId="1" xfId="0" applyFont="1" applyFill="1" applyBorder="1" applyProtection="1">
      <protection hidden="1"/>
    </xf>
    <xf numFmtId="0" fontId="5" fillId="0" borderId="29" xfId="0" applyFont="1" applyBorder="1" applyProtection="1">
      <protection hidden="1"/>
    </xf>
    <xf numFmtId="49" fontId="9" fillId="0" borderId="29" xfId="0" applyNumberFormat="1" applyFont="1" applyBorder="1" applyAlignment="1" applyProtection="1">
      <alignment vertical="center"/>
      <protection hidden="1"/>
    </xf>
    <xf numFmtId="0" fontId="9" fillId="0" borderId="29" xfId="0" applyFont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1" fillId="2" borderId="1" xfId="0" applyFont="1" applyFill="1" applyBorder="1" applyProtection="1">
      <protection hidden="1"/>
    </xf>
    <xf numFmtId="0" fontId="6" fillId="2" borderId="1" xfId="0" applyFont="1" applyFill="1" applyBorder="1" applyProtection="1">
      <protection hidden="1"/>
    </xf>
    <xf numFmtId="49" fontId="9" fillId="7" borderId="53" xfId="0" applyNumberFormat="1" applyFont="1" applyFill="1" applyBorder="1" applyAlignment="1" applyProtection="1">
      <alignment vertical="center"/>
      <protection hidden="1"/>
    </xf>
    <xf numFmtId="49" fontId="9" fillId="7" borderId="30" xfId="0" applyNumberFormat="1" applyFont="1" applyFill="1" applyBorder="1" applyAlignment="1" applyProtection="1">
      <alignment vertical="center"/>
      <protection hidden="1"/>
    </xf>
    <xf numFmtId="49" fontId="9" fillId="7" borderId="50" xfId="0" applyNumberFormat="1" applyFont="1" applyFill="1" applyBorder="1" applyAlignment="1" applyProtection="1">
      <alignment vertical="center"/>
      <protection hidden="1"/>
    </xf>
    <xf numFmtId="49" fontId="9" fillId="7" borderId="51" xfId="0" applyNumberFormat="1" applyFont="1" applyFill="1" applyBorder="1" applyAlignment="1" applyProtection="1">
      <alignment vertical="center"/>
      <protection hidden="1"/>
    </xf>
    <xf numFmtId="49" fontId="9" fillId="7" borderId="29" xfId="0" applyNumberFormat="1" applyFont="1" applyFill="1" applyBorder="1" applyAlignment="1" applyProtection="1">
      <alignment vertical="center"/>
      <protection hidden="1"/>
    </xf>
    <xf numFmtId="49" fontId="9" fillId="7" borderId="52" xfId="0" applyNumberFormat="1" applyFont="1" applyFill="1" applyBorder="1" applyAlignment="1" applyProtection="1">
      <alignment vertical="center"/>
      <protection hidden="1"/>
    </xf>
    <xf numFmtId="0" fontId="6" fillId="7" borderId="18" xfId="0" applyFont="1" applyFill="1" applyBorder="1" applyProtection="1">
      <protection hidden="1"/>
    </xf>
    <xf numFmtId="0" fontId="6" fillId="7" borderId="0" xfId="0" applyFont="1" applyFill="1" applyProtection="1">
      <protection hidden="1"/>
    </xf>
    <xf numFmtId="0" fontId="6" fillId="7" borderId="20" xfId="0" applyFont="1" applyFill="1" applyBorder="1" applyProtection="1">
      <protection hidden="1"/>
    </xf>
    <xf numFmtId="0" fontId="6" fillId="7" borderId="2" xfId="0" applyFont="1" applyFill="1" applyBorder="1" applyProtection="1">
      <protection hidden="1"/>
    </xf>
    <xf numFmtId="0" fontId="6" fillId="7" borderId="0" xfId="0" applyFont="1" applyFill="1" applyAlignment="1" applyProtection="1">
      <alignment vertical="center"/>
      <protection hidden="1"/>
    </xf>
    <xf numFmtId="49" fontId="6" fillId="7" borderId="0" xfId="0" applyNumberFormat="1" applyFont="1" applyFill="1" applyAlignment="1" applyProtection="1">
      <alignment vertical="center"/>
      <protection hidden="1"/>
    </xf>
    <xf numFmtId="0" fontId="43" fillId="0" borderId="0" xfId="0" applyFont="1" applyAlignment="1" applyProtection="1">
      <alignment horizontal="center"/>
      <protection hidden="1"/>
    </xf>
    <xf numFmtId="49" fontId="44" fillId="0" borderId="0" xfId="0" applyNumberFormat="1" applyFont="1" applyAlignment="1" applyProtection="1">
      <alignment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51" xfId="0" applyFont="1" applyBorder="1" applyAlignment="1" applyProtection="1">
      <alignment horizontal="center" vertical="center"/>
      <protection hidden="1"/>
    </xf>
    <xf numFmtId="0" fontId="9" fillId="0" borderId="52" xfId="0" applyFont="1" applyBorder="1" applyAlignment="1" applyProtection="1">
      <alignment horizontal="center" vertical="center"/>
      <protection hidden="1"/>
    </xf>
    <xf numFmtId="0" fontId="9" fillId="0" borderId="29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49" fontId="9" fillId="0" borderId="29" xfId="0" applyNumberFormat="1" applyFont="1" applyBorder="1" applyAlignment="1" applyProtection="1">
      <alignment horizontal="center" vertical="center"/>
      <protection hidden="1"/>
    </xf>
    <xf numFmtId="0" fontId="9" fillId="0" borderId="30" xfId="0" applyFont="1" applyBorder="1" applyAlignment="1" applyProtection="1">
      <alignment horizontal="center" vertical="center"/>
      <protection hidden="1"/>
    </xf>
    <xf numFmtId="0" fontId="9" fillId="0" borderId="50" xfId="0" applyFont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0" fontId="2" fillId="0" borderId="2" xfId="0" applyFont="1" applyBorder="1"/>
    <xf numFmtId="0" fontId="3" fillId="0" borderId="2" xfId="0" applyFont="1" applyBorder="1"/>
    <xf numFmtId="0" fontId="8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10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0" fillId="0" borderId="0" xfId="0" applyFont="1" applyAlignment="1"/>
    <xf numFmtId="0" fontId="3" fillId="0" borderId="13" xfId="0" applyFont="1" applyBorder="1"/>
    <xf numFmtId="49" fontId="1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center" vertical="center"/>
    </xf>
    <xf numFmtId="2" fontId="13" fillId="2" borderId="7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2" fontId="15" fillId="3" borderId="15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9" fontId="17" fillId="0" borderId="0" xfId="0" applyNumberFormat="1" applyFont="1" applyAlignment="1">
      <alignment horizontal="right" vertical="center" wrapText="1"/>
    </xf>
    <xf numFmtId="165" fontId="5" fillId="4" borderId="3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9" xfId="0" applyFont="1" applyBorder="1" applyProtection="1">
      <protection hidden="1"/>
    </xf>
    <xf numFmtId="165" fontId="26" fillId="4" borderId="30" xfId="0" applyNumberFormat="1" applyFont="1" applyFill="1" applyBorder="1" applyAlignment="1" applyProtection="1">
      <alignment horizontal="center" vertical="center" wrapText="1"/>
      <protection hidden="1"/>
    </xf>
    <xf numFmtId="164" fontId="24" fillId="4" borderId="0" xfId="0" applyNumberFormat="1" applyFont="1" applyFill="1" applyAlignment="1" applyProtection="1">
      <alignment horizontal="center"/>
      <protection hidden="1"/>
    </xf>
    <xf numFmtId="0" fontId="0" fillId="0" borderId="0" xfId="0" applyFont="1" applyAlignment="1" applyProtection="1">
      <protection hidden="1"/>
    </xf>
    <xf numFmtId="0" fontId="18" fillId="4" borderId="3" xfId="0" applyFont="1" applyFill="1" applyBorder="1" applyAlignment="1" applyProtection="1">
      <alignment horizontal="center"/>
      <protection hidden="1"/>
    </xf>
    <xf numFmtId="0" fontId="3" fillId="0" borderId="3" xfId="0" applyFont="1" applyBorder="1" applyProtection="1">
      <protection hidden="1"/>
    </xf>
    <xf numFmtId="0" fontId="33" fillId="4" borderId="3" xfId="0" applyFont="1" applyFill="1" applyBorder="1" applyAlignment="1" applyProtection="1">
      <alignment horizontal="right"/>
      <protection hidden="1"/>
    </xf>
    <xf numFmtId="165" fontId="23" fillId="4" borderId="0" xfId="0" applyNumberFormat="1" applyFont="1" applyFill="1" applyAlignment="1" applyProtection="1">
      <alignment horizontal="center" vertical="center" wrapText="1"/>
      <protection hidden="1"/>
    </xf>
    <xf numFmtId="0" fontId="23" fillId="4" borderId="0" xfId="0" applyFont="1" applyFill="1" applyAlignment="1" applyProtection="1">
      <alignment vertical="center" wrapText="1"/>
      <protection hidden="1"/>
    </xf>
    <xf numFmtId="165" fontId="5" fillId="4" borderId="4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40" xfId="0" applyFont="1" applyBorder="1" applyProtection="1">
      <protection hidden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0" fontId="23" fillId="4" borderId="3" xfId="0" applyFont="1" applyFill="1" applyBorder="1" applyAlignment="1" applyProtection="1">
      <alignment horizontal="left" vertical="center" wrapText="1"/>
      <protection hidden="1"/>
    </xf>
    <xf numFmtId="0" fontId="5" fillId="4" borderId="0" xfId="0" applyFont="1" applyFill="1" applyAlignment="1" applyProtection="1">
      <alignment horizontal="center"/>
      <protection hidden="1"/>
    </xf>
    <xf numFmtId="0" fontId="19" fillId="4" borderId="2" xfId="0" applyFont="1" applyFill="1" applyBorder="1" applyAlignment="1" applyProtection="1">
      <alignment horizontal="right"/>
      <protection hidden="1"/>
    </xf>
    <xf numFmtId="0" fontId="3" fillId="0" borderId="2" xfId="0" applyFont="1" applyBorder="1" applyProtection="1">
      <protection hidden="1"/>
    </xf>
    <xf numFmtId="165" fontId="25" fillId="4" borderId="30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0" fontId="3" fillId="0" borderId="11" xfId="0" applyFont="1" applyBorder="1" applyProtection="1">
      <protection hidden="1"/>
    </xf>
    <xf numFmtId="165" fontId="25" fillId="4" borderId="41" xfId="0" applyNumberFormat="1" applyFont="1" applyFill="1" applyBorder="1" applyAlignment="1" applyProtection="1">
      <alignment horizontal="center" vertical="center" wrapText="1"/>
      <protection hidden="1"/>
    </xf>
    <xf numFmtId="0" fontId="23" fillId="4" borderId="33" xfId="0" applyFont="1" applyFill="1" applyBorder="1" applyAlignment="1" applyProtection="1">
      <alignment horizontal="left" vertical="center" wrapText="1"/>
      <protection hidden="1"/>
    </xf>
    <xf numFmtId="165" fontId="5" fillId="4" borderId="7" xfId="0" applyNumberFormat="1" applyFont="1" applyFill="1" applyBorder="1" applyAlignment="1" applyProtection="1">
      <alignment horizontal="center" vertical="center" wrapText="1"/>
      <protection hidden="1"/>
    </xf>
    <xf numFmtId="164" fontId="24" fillId="4" borderId="7" xfId="0" applyNumberFormat="1" applyFont="1" applyFill="1" applyBorder="1" applyAlignment="1" applyProtection="1">
      <alignment horizontal="center"/>
      <protection hidden="1"/>
    </xf>
    <xf numFmtId="0" fontId="23" fillId="4" borderId="7" xfId="0" applyFont="1" applyFill="1" applyBorder="1" applyAlignment="1" applyProtection="1">
      <alignment horizontal="left" vertical="center" wrapText="1"/>
      <protection hidden="1"/>
    </xf>
    <xf numFmtId="0" fontId="28" fillId="4" borderId="7" xfId="0" applyFont="1" applyFill="1" applyBorder="1" applyAlignment="1" applyProtection="1">
      <alignment horizontal="left" vertical="center" wrapText="1"/>
      <protection hidden="1"/>
    </xf>
    <xf numFmtId="0" fontId="23" fillId="4" borderId="7" xfId="0" applyFont="1" applyFill="1" applyBorder="1" applyAlignment="1" applyProtection="1">
      <alignment vertical="center" wrapText="1"/>
      <protection hidden="1"/>
    </xf>
    <xf numFmtId="0" fontId="5" fillId="4" borderId="30" xfId="0" applyFont="1" applyFill="1" applyBorder="1" applyAlignment="1" applyProtection="1">
      <alignment horizontal="center"/>
      <protection hidden="1"/>
    </xf>
    <xf numFmtId="0" fontId="3" fillId="0" borderId="30" xfId="0" applyFont="1" applyBorder="1" applyProtection="1">
      <protection hidden="1"/>
    </xf>
    <xf numFmtId="164" fontId="24" fillId="4" borderId="33" xfId="0" applyNumberFormat="1" applyFont="1" applyFill="1" applyBorder="1" applyAlignment="1" applyProtection="1">
      <alignment horizontal="center"/>
      <protection hidden="1"/>
    </xf>
    <xf numFmtId="0" fontId="23" fillId="4" borderId="0" xfId="0" applyFont="1" applyFill="1" applyAlignment="1" applyProtection="1">
      <alignment horizontal="left" vertical="center" wrapText="1"/>
      <protection hidden="1"/>
    </xf>
    <xf numFmtId="0" fontId="28" fillId="4" borderId="0" xfId="0" applyFont="1" applyFill="1" applyAlignment="1" applyProtection="1">
      <alignment horizontal="left" vertical="center" wrapText="1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20" fillId="4" borderId="27" xfId="0" applyFont="1" applyFill="1" applyBorder="1" applyAlignment="1" applyProtection="1">
      <alignment horizontal="center" vertical="center"/>
      <protection hidden="1"/>
    </xf>
    <xf numFmtId="0" fontId="3" fillId="0" borderId="28" xfId="0" applyFont="1" applyBorder="1" applyProtection="1">
      <protection hidden="1"/>
    </xf>
    <xf numFmtId="164" fontId="24" fillId="4" borderId="3" xfId="0" applyNumberFormat="1" applyFont="1" applyFill="1" applyBorder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left"/>
      <protection hidden="1"/>
    </xf>
    <xf numFmtId="0" fontId="23" fillId="4" borderId="0" xfId="0" applyFont="1" applyFill="1" applyAlignment="1" applyProtection="1">
      <alignment horizontal="center" vertical="center" wrapText="1"/>
      <protection hidden="1"/>
    </xf>
    <xf numFmtId="0" fontId="22" fillId="4" borderId="3" xfId="0" applyFont="1" applyFill="1" applyBorder="1" applyAlignment="1" applyProtection="1">
      <alignment horizontal="left" vertical="top"/>
      <protection hidden="1"/>
    </xf>
    <xf numFmtId="0" fontId="29" fillId="4" borderId="0" xfId="0" applyFont="1" applyFill="1" applyAlignment="1" applyProtection="1">
      <alignment horizontal="center" vertical="center" wrapText="1"/>
      <protection hidden="1"/>
    </xf>
    <xf numFmtId="0" fontId="23" fillId="4" borderId="3" xfId="0" applyFont="1" applyFill="1" applyBorder="1" applyAlignment="1" applyProtection="1">
      <alignment horizontal="center" vertical="center" wrapText="1"/>
      <protection hidden="1"/>
    </xf>
    <xf numFmtId="0" fontId="27" fillId="4" borderId="0" xfId="0" applyFont="1" applyFill="1" applyAlignment="1" applyProtection="1">
      <alignment horizontal="center" vertical="center"/>
      <protection hidden="1"/>
    </xf>
    <xf numFmtId="0" fontId="23" fillId="4" borderId="30" xfId="0" applyFont="1" applyFill="1" applyBorder="1" applyAlignment="1" applyProtection="1">
      <alignment horizontal="center" vertical="center" wrapText="1"/>
      <protection hidden="1"/>
    </xf>
    <xf numFmtId="0" fontId="23" fillId="4" borderId="41" xfId="0" applyFont="1" applyFill="1" applyBorder="1" applyAlignment="1" applyProtection="1">
      <alignment horizontal="center" vertical="center" wrapText="1"/>
      <protection hidden="1"/>
    </xf>
    <xf numFmtId="0" fontId="29" fillId="4" borderId="7" xfId="0" applyFont="1" applyFill="1" applyBorder="1" applyAlignment="1" applyProtection="1">
      <alignment horizontal="center" vertical="center" wrapText="1"/>
      <protection hidden="1"/>
    </xf>
    <xf numFmtId="0" fontId="23" fillId="4" borderId="33" xfId="0" applyFont="1" applyFill="1" applyBorder="1" applyAlignment="1" applyProtection="1">
      <alignment horizontal="center" vertical="center" wrapText="1"/>
      <protection hidden="1"/>
    </xf>
    <xf numFmtId="0" fontId="22" fillId="4" borderId="33" xfId="0" applyFont="1" applyFill="1" applyBorder="1" applyAlignment="1" applyProtection="1">
      <alignment horizontal="left" vertical="top"/>
      <protection hidden="1"/>
    </xf>
    <xf numFmtId="0" fontId="3" fillId="0" borderId="37" xfId="0" applyFont="1" applyBorder="1" applyProtection="1">
      <protection hidden="1"/>
    </xf>
    <xf numFmtId="164" fontId="34" fillId="4" borderId="30" xfId="0" applyNumberFormat="1" applyFont="1" applyFill="1" applyBorder="1" applyAlignment="1" applyProtection="1">
      <alignment horizontal="center" vertical="center"/>
      <protection hidden="1"/>
    </xf>
    <xf numFmtId="0" fontId="5" fillId="4" borderId="30" xfId="0" applyFont="1" applyFill="1" applyBorder="1" applyAlignment="1" applyProtection="1">
      <alignment horizontal="center" vertical="center"/>
      <protection hidden="1"/>
    </xf>
    <xf numFmtId="165" fontId="34" fillId="4" borderId="30" xfId="0" applyNumberFormat="1" applyFont="1" applyFill="1" applyBorder="1" applyAlignment="1" applyProtection="1">
      <alignment horizontal="center" vertical="center" wrapText="1"/>
      <protection hidden="1"/>
    </xf>
    <xf numFmtId="0" fontId="22" fillId="4" borderId="0" xfId="0" applyFont="1" applyFill="1" applyAlignment="1" applyProtection="1">
      <alignment horizontal="left" vertical="top"/>
      <protection hidden="1"/>
    </xf>
    <xf numFmtId="166" fontId="26" fillId="4" borderId="30" xfId="0" applyNumberFormat="1" applyFont="1" applyFill="1" applyBorder="1" applyAlignment="1" applyProtection="1">
      <alignment horizontal="center" vertical="center"/>
      <protection hidden="1"/>
    </xf>
    <xf numFmtId="165" fontId="5" fillId="4" borderId="3" xfId="0" applyNumberFormat="1" applyFont="1" applyFill="1" applyBorder="1" applyAlignment="1" applyProtection="1">
      <alignment horizontal="center" vertical="center" wrapText="1"/>
      <protection hidden="1"/>
    </xf>
    <xf numFmtId="49" fontId="9" fillId="6" borderId="45" xfId="0" applyNumberFormat="1" applyFont="1" applyFill="1" applyBorder="1" applyAlignment="1" applyProtection="1">
      <alignment horizontal="left" vertical="center"/>
      <protection hidden="1"/>
    </xf>
    <xf numFmtId="0" fontId="3" fillId="0" borderId="23" xfId="0" applyFont="1" applyBorder="1" applyProtection="1">
      <protection hidden="1"/>
    </xf>
    <xf numFmtId="0" fontId="3" fillId="0" borderId="47" xfId="0" applyFont="1" applyBorder="1" applyProtection="1">
      <protection hidden="1"/>
    </xf>
    <xf numFmtId="164" fontId="12" fillId="3" borderId="0" xfId="0" applyNumberFormat="1" applyFont="1" applyFill="1" applyAlignment="1" applyProtection="1">
      <alignment horizontal="center" vertical="center"/>
      <protection hidden="1"/>
    </xf>
    <xf numFmtId="49" fontId="1" fillId="3" borderId="0" xfId="0" applyNumberFormat="1" applyFont="1" applyFill="1" applyAlignment="1" applyProtection="1">
      <alignment horizontal="left" vertical="center"/>
      <protection hidden="1"/>
    </xf>
    <xf numFmtId="0" fontId="3" fillId="0" borderId="43" xfId="0" applyFont="1" applyBorder="1" applyProtection="1">
      <protection hidden="1"/>
    </xf>
    <xf numFmtId="0" fontId="3" fillId="0" borderId="44" xfId="0" applyFont="1" applyBorder="1" applyProtection="1">
      <protection hidden="1"/>
    </xf>
    <xf numFmtId="49" fontId="9" fillId="6" borderId="45" xfId="0" applyNumberFormat="1" applyFont="1" applyFill="1" applyBorder="1" applyAlignment="1" applyProtection="1">
      <alignment vertical="center"/>
      <protection hidden="1"/>
    </xf>
    <xf numFmtId="0" fontId="3" fillId="0" borderId="42" xfId="0" applyFont="1" applyBorder="1" applyProtection="1">
      <protection hidden="1"/>
    </xf>
    <xf numFmtId="49" fontId="39" fillId="6" borderId="45" xfId="0" applyNumberFormat="1" applyFont="1" applyFill="1" applyBorder="1" applyAlignment="1" applyProtection="1">
      <alignment horizontal="left" vertical="center"/>
      <protection hidden="1"/>
    </xf>
    <xf numFmtId="49" fontId="38" fillId="6" borderId="7" xfId="0" applyNumberFormat="1" applyFont="1" applyFill="1" applyBorder="1" applyAlignment="1" applyProtection="1">
      <alignment horizontal="right" vertical="top"/>
      <protection hidden="1"/>
    </xf>
    <xf numFmtId="49" fontId="1" fillId="3" borderId="0" xfId="0" applyNumberFormat="1" applyFont="1" applyFill="1" applyAlignment="1" applyProtection="1">
      <alignment horizontal="left" vertical="center" wrapText="1"/>
      <protection hidden="1"/>
    </xf>
    <xf numFmtId="49" fontId="38" fillId="6" borderId="7" xfId="0" applyNumberFormat="1" applyFont="1" applyFill="1" applyBorder="1" applyAlignment="1" applyProtection="1">
      <alignment horizontal="center" vertical="top"/>
      <protection hidden="1"/>
    </xf>
    <xf numFmtId="0" fontId="3" fillId="0" borderId="46" xfId="0" applyFont="1" applyBorder="1" applyProtection="1">
      <protection hidden="1"/>
    </xf>
    <xf numFmtId="0" fontId="3" fillId="0" borderId="48" xfId="0" applyFont="1" applyBorder="1" applyProtection="1">
      <protection hidden="1"/>
    </xf>
    <xf numFmtId="49" fontId="38" fillId="6" borderId="7" xfId="0" applyNumberFormat="1" applyFont="1" applyFill="1" applyBorder="1" applyAlignment="1" applyProtection="1">
      <alignment horizontal="left" vertical="top"/>
      <protection hidden="1"/>
    </xf>
    <xf numFmtId="49" fontId="39" fillId="6" borderId="7" xfId="0" applyNumberFormat="1" applyFont="1" applyFill="1" applyBorder="1" applyAlignment="1" applyProtection="1">
      <alignment horizontal="left" vertical="center"/>
      <protection hidden="1"/>
    </xf>
    <xf numFmtId="0" fontId="5" fillId="0" borderId="2" xfId="0" applyFont="1" applyBorder="1" applyProtection="1"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20" fillId="5" borderId="42" xfId="0" applyFont="1" applyFill="1" applyBorder="1" applyAlignment="1" applyProtection="1">
      <alignment horizontal="center" vertical="center"/>
      <protection hidden="1"/>
    </xf>
    <xf numFmtId="49" fontId="1" fillId="3" borderId="0" xfId="0" applyNumberFormat="1" applyFont="1" applyFill="1" applyAlignment="1" applyProtection="1">
      <alignment horizontal="center" vertical="center"/>
      <protection hidden="1"/>
    </xf>
    <xf numFmtId="164" fontId="38" fillId="6" borderId="7" xfId="0" applyNumberFormat="1" applyFont="1" applyFill="1" applyBorder="1" applyAlignment="1" applyProtection="1">
      <alignment horizontal="center" vertical="top"/>
      <protection hidden="1"/>
    </xf>
    <xf numFmtId="49" fontId="40" fillId="6" borderId="45" xfId="0" applyNumberFormat="1" applyFont="1" applyFill="1" applyBorder="1" applyAlignment="1" applyProtection="1">
      <alignment horizontal="left" vertical="center" wrapText="1"/>
      <protection hidden="1"/>
    </xf>
    <xf numFmtId="49" fontId="40" fillId="6" borderId="45" xfId="0" applyNumberFormat="1" applyFont="1" applyFill="1" applyBorder="1" applyAlignment="1" applyProtection="1">
      <alignment horizontal="left" vertical="top" wrapText="1"/>
      <protection hidden="1"/>
    </xf>
    <xf numFmtId="0" fontId="33" fillId="0" borderId="3" xfId="0" applyFont="1" applyBorder="1" applyAlignment="1" applyProtection="1">
      <alignment horizontal="right"/>
      <protection hidden="1"/>
    </xf>
    <xf numFmtId="0" fontId="5" fillId="0" borderId="30" xfId="0" applyFont="1" applyBorder="1" applyAlignment="1" applyProtection="1">
      <alignment horizontal="center"/>
      <protection hidden="1"/>
    </xf>
    <xf numFmtId="164" fontId="38" fillId="6" borderId="7" xfId="0" applyNumberFormat="1" applyFont="1" applyFill="1" applyBorder="1" applyAlignment="1" applyProtection="1">
      <alignment horizontal="right" vertical="top"/>
      <protection hidden="1"/>
    </xf>
    <xf numFmtId="164" fontId="23" fillId="0" borderId="3" xfId="0" applyNumberFormat="1" applyFont="1" applyBorder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64" fontId="24" fillId="0" borderId="3" xfId="0" applyNumberFormat="1" applyFont="1" applyBorder="1" applyAlignment="1">
      <alignment horizontal="center" vertical="center"/>
    </xf>
    <xf numFmtId="0" fontId="5" fillId="0" borderId="2" xfId="0" applyFont="1" applyBorder="1"/>
    <xf numFmtId="0" fontId="19" fillId="0" borderId="2" xfId="0" applyFont="1" applyBorder="1" applyAlignment="1">
      <alignment horizontal="right"/>
    </xf>
    <xf numFmtId="0" fontId="20" fillId="5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9" fillId="6" borderId="49" xfId="0" applyFont="1" applyFill="1" applyBorder="1" applyAlignment="1">
      <alignment horizontal="left" vertical="center" wrapText="1"/>
    </xf>
    <xf numFmtId="0" fontId="3" fillId="0" borderId="42" xfId="0" applyFont="1" applyBorder="1"/>
    <xf numFmtId="164" fontId="24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left" vertical="center"/>
    </xf>
    <xf numFmtId="0" fontId="33" fillId="0" borderId="3" xfId="0" applyFont="1" applyBorder="1" applyAlignment="1">
      <alignment horizontal="right"/>
    </xf>
    <xf numFmtId="0" fontId="3" fillId="0" borderId="29" xfId="0" applyFont="1" applyBorder="1"/>
    <xf numFmtId="0" fontId="5" fillId="0" borderId="30" xfId="0" applyFont="1" applyBorder="1" applyAlignment="1">
      <alignment horizontal="center"/>
    </xf>
    <xf numFmtId="0" fontId="3" fillId="0" borderId="30" xfId="0" applyFont="1" applyBorder="1"/>
    <xf numFmtId="49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53" xfId="0" applyNumberFormat="1" applyFont="1" applyBorder="1" applyAlignment="1" applyProtection="1">
      <alignment horizontal="center" vertical="center"/>
      <protection hidden="1"/>
    </xf>
    <xf numFmtId="0" fontId="3" fillId="0" borderId="20" xfId="0" applyFont="1" applyBorder="1" applyProtection="1">
      <protection hidden="1"/>
    </xf>
    <xf numFmtId="0" fontId="9" fillId="0" borderId="30" xfId="0" applyFont="1" applyBorder="1" applyAlignment="1" applyProtection="1">
      <alignment horizontal="center" vertical="center"/>
      <protection hidden="1"/>
    </xf>
    <xf numFmtId="0" fontId="9" fillId="0" borderId="50" xfId="0" applyFont="1" applyBorder="1" applyAlignment="1" applyProtection="1">
      <alignment horizontal="center" vertical="center"/>
      <protection hidden="1"/>
    </xf>
    <xf numFmtId="0" fontId="3" fillId="0" borderId="21" xfId="0" applyFont="1" applyBorder="1" applyProtection="1">
      <protection hidden="1"/>
    </xf>
    <xf numFmtId="0" fontId="3" fillId="0" borderId="52" xfId="0" applyFont="1" applyBorder="1" applyProtection="1">
      <protection hidden="1"/>
    </xf>
    <xf numFmtId="0" fontId="9" fillId="0" borderId="53" xfId="0" applyFont="1" applyBorder="1" applyAlignment="1" applyProtection="1">
      <alignment horizontal="center" vertical="center"/>
      <protection hidden="1"/>
    </xf>
    <xf numFmtId="0" fontId="3" fillId="0" borderId="51" xfId="0" applyFont="1" applyBorder="1" applyProtection="1">
      <protection hidden="1"/>
    </xf>
    <xf numFmtId="0" fontId="3" fillId="0" borderId="19" xfId="0" applyFont="1" applyBorder="1" applyProtection="1">
      <protection hidden="1"/>
    </xf>
    <xf numFmtId="49" fontId="9" fillId="0" borderId="53" xfId="0" applyNumberFormat="1" applyFont="1" applyBorder="1" applyAlignment="1" applyProtection="1">
      <alignment horizontal="left" vertical="center"/>
      <protection hidden="1"/>
    </xf>
    <xf numFmtId="49" fontId="9" fillId="0" borderId="53" xfId="0" applyNumberFormat="1" applyFont="1" applyBorder="1" applyAlignment="1" applyProtection="1">
      <alignment horizontal="left" vertical="top" wrapText="1"/>
      <protection hidden="1"/>
    </xf>
    <xf numFmtId="0" fontId="3" fillId="0" borderId="18" xfId="0" applyFont="1" applyBorder="1" applyProtection="1">
      <protection hidden="1"/>
    </xf>
    <xf numFmtId="49" fontId="42" fillId="7" borderId="47" xfId="0" applyNumberFormat="1" applyFont="1" applyFill="1" applyBorder="1" applyAlignment="1" applyProtection="1">
      <alignment vertical="center"/>
      <protection hidden="1"/>
    </xf>
    <xf numFmtId="0" fontId="3" fillId="0" borderId="58" xfId="0" applyFont="1" applyBorder="1" applyProtection="1">
      <protection hidden="1"/>
    </xf>
    <xf numFmtId="0" fontId="42" fillId="7" borderId="19" xfId="0" applyFont="1" applyFill="1" applyBorder="1" applyAlignment="1" applyProtection="1">
      <alignment horizontal="center" vertical="center"/>
      <protection hidden="1"/>
    </xf>
    <xf numFmtId="49" fontId="42" fillId="7" borderId="0" xfId="0" applyNumberFormat="1" applyFont="1" applyFill="1" applyAlignment="1" applyProtection="1">
      <alignment vertical="center"/>
      <protection hidden="1"/>
    </xf>
    <xf numFmtId="49" fontId="9" fillId="7" borderId="53" xfId="0" applyNumberFormat="1" applyFont="1" applyFill="1" applyBorder="1" applyAlignment="1" applyProtection="1">
      <alignment horizontal="left" vertical="center"/>
      <protection hidden="1"/>
    </xf>
    <xf numFmtId="49" fontId="42" fillId="7" borderId="19" xfId="0" applyNumberFormat="1" applyFont="1" applyFill="1" applyBorder="1" applyAlignment="1" applyProtection="1">
      <alignment horizontal="center" vertical="center"/>
      <protection hidden="1"/>
    </xf>
    <xf numFmtId="49" fontId="9" fillId="7" borderId="30" xfId="0" applyNumberFormat="1" applyFont="1" applyFill="1" applyBorder="1" applyAlignment="1" applyProtection="1">
      <alignment horizontal="left" vertical="center"/>
      <protection hidden="1"/>
    </xf>
    <xf numFmtId="49" fontId="42" fillId="7" borderId="50" xfId="0" applyNumberFormat="1" applyFont="1" applyFill="1" applyBorder="1" applyAlignment="1" applyProtection="1">
      <alignment horizontal="center" vertical="center"/>
      <protection hidden="1"/>
    </xf>
    <xf numFmtId="49" fontId="42" fillId="7" borderId="59" xfId="0" applyNumberFormat="1" applyFont="1" applyFill="1" applyBorder="1" applyAlignment="1" applyProtection="1">
      <alignment vertical="center"/>
      <protection hidden="1"/>
    </xf>
    <xf numFmtId="0" fontId="42" fillId="7" borderId="50" xfId="0" applyFont="1" applyFill="1" applyBorder="1" applyAlignment="1" applyProtection="1">
      <alignment horizontal="center" vertical="center"/>
      <protection hidden="1"/>
    </xf>
    <xf numFmtId="49" fontId="6" fillId="7" borderId="19" xfId="0" applyNumberFormat="1" applyFont="1" applyFill="1" applyBorder="1" applyAlignment="1" applyProtection="1">
      <alignment vertical="center"/>
      <protection hidden="1"/>
    </xf>
    <xf numFmtId="49" fontId="42" fillId="7" borderId="0" xfId="0" applyNumberFormat="1" applyFont="1" applyFill="1" applyAlignment="1" applyProtection="1">
      <alignment horizontal="center" vertical="center"/>
      <protection hidden="1"/>
    </xf>
    <xf numFmtId="49" fontId="9" fillId="7" borderId="0" xfId="0" applyNumberFormat="1" applyFont="1" applyFill="1" applyProtection="1">
      <protection hidden="1"/>
    </xf>
    <xf numFmtId="49" fontId="9" fillId="7" borderId="30" xfId="0" applyNumberFormat="1" applyFont="1" applyFill="1" applyBorder="1" applyAlignment="1" applyProtection="1">
      <alignment horizontal="center"/>
      <protection hidden="1"/>
    </xf>
    <xf numFmtId="49" fontId="9" fillId="7" borderId="30" xfId="0" applyNumberFormat="1" applyFont="1" applyFill="1" applyBorder="1" applyAlignment="1" applyProtection="1">
      <protection hidden="1"/>
    </xf>
    <xf numFmtId="0" fontId="3" fillId="0" borderId="50" xfId="0" applyFont="1" applyBorder="1" applyProtection="1">
      <protection hidden="1"/>
    </xf>
    <xf numFmtId="49" fontId="9" fillId="7" borderId="30" xfId="0" applyNumberFormat="1" applyFont="1" applyFill="1" applyBorder="1" applyProtection="1">
      <protection hidden="1"/>
    </xf>
    <xf numFmtId="49" fontId="42" fillId="7" borderId="18" xfId="0" applyNumberFormat="1" applyFont="1" applyFill="1" applyBorder="1" applyProtection="1">
      <protection hidden="1"/>
    </xf>
    <xf numFmtId="49" fontId="9" fillId="7" borderId="19" xfId="0" applyNumberFormat="1" applyFont="1" applyFill="1" applyBorder="1" applyAlignment="1" applyProtection="1">
      <alignment horizontal="center"/>
      <protection hidden="1"/>
    </xf>
    <xf numFmtId="49" fontId="9" fillId="0" borderId="53" xfId="0" applyNumberFormat="1" applyFont="1" applyBorder="1" applyAlignment="1" applyProtection="1">
      <alignment horizontal="left" vertical="center" wrapText="1"/>
      <protection hidden="1"/>
    </xf>
    <xf numFmtId="49" fontId="9" fillId="7" borderId="50" xfId="0" applyNumberFormat="1" applyFont="1" applyFill="1" applyBorder="1" applyAlignment="1" applyProtection="1">
      <alignment horizontal="center"/>
      <protection hidden="1"/>
    </xf>
    <xf numFmtId="49" fontId="9" fillId="0" borderId="30" xfId="0" applyNumberFormat="1" applyFont="1" applyBorder="1" applyAlignment="1" applyProtection="1">
      <alignment horizontal="center" vertical="center"/>
      <protection hidden="1"/>
    </xf>
    <xf numFmtId="0" fontId="20" fillId="8" borderId="49" xfId="0" applyFont="1" applyFill="1" applyBorder="1" applyAlignment="1" applyProtection="1">
      <alignment horizontal="center" vertical="center" wrapText="1"/>
      <protection hidden="1"/>
    </xf>
    <xf numFmtId="49" fontId="42" fillId="7" borderId="53" xfId="0" applyNumberFormat="1" applyFont="1" applyFill="1" applyBorder="1" applyProtection="1">
      <protection hidden="1"/>
    </xf>
    <xf numFmtId="0" fontId="42" fillId="4" borderId="18" xfId="0" applyFont="1" applyFill="1" applyBorder="1" applyAlignment="1" applyProtection="1">
      <alignment horizontal="center"/>
      <protection hidden="1"/>
    </xf>
    <xf numFmtId="0" fontId="42" fillId="4" borderId="19" xfId="0" applyFont="1" applyFill="1" applyBorder="1" applyAlignment="1" applyProtection="1">
      <alignment horizontal="center"/>
      <protection hidden="1"/>
    </xf>
    <xf numFmtId="49" fontId="6" fillId="4" borderId="0" xfId="0" applyNumberFormat="1" applyFont="1" applyFill="1" applyProtection="1">
      <protection hidden="1"/>
    </xf>
    <xf numFmtId="0" fontId="9" fillId="4" borderId="19" xfId="0" applyFont="1" applyFill="1" applyBorder="1" applyAlignment="1" applyProtection="1">
      <alignment horizontal="center"/>
      <protection hidden="1"/>
    </xf>
    <xf numFmtId="0" fontId="9" fillId="7" borderId="30" xfId="0" applyFont="1" applyFill="1" applyBorder="1" applyAlignment="1" applyProtection="1">
      <alignment horizontal="center" vertical="center"/>
      <protection hidden="1"/>
    </xf>
    <xf numFmtId="49" fontId="9" fillId="7" borderId="16" xfId="0" applyNumberFormat="1" applyFont="1" applyFill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49" fontId="9" fillId="0" borderId="30" xfId="0" applyNumberFormat="1" applyFont="1" applyBorder="1" applyAlignment="1" applyProtection="1">
      <alignment vertical="center"/>
      <protection hidden="1"/>
    </xf>
    <xf numFmtId="49" fontId="1" fillId="0" borderId="53" xfId="0" applyNumberFormat="1" applyFont="1" applyBorder="1" applyAlignment="1" applyProtection="1">
      <alignment horizontal="left" vertical="center"/>
      <protection hidden="1"/>
    </xf>
    <xf numFmtId="49" fontId="6" fillId="7" borderId="30" xfId="0" applyNumberFormat="1" applyFont="1" applyFill="1" applyBorder="1" applyAlignment="1" applyProtection="1">
      <alignment vertical="center"/>
      <protection hidden="1"/>
    </xf>
    <xf numFmtId="0" fontId="41" fillId="2" borderId="45" xfId="0" applyFont="1" applyFill="1" applyBorder="1" applyAlignment="1" applyProtection="1">
      <alignment horizont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0" fontId="3" fillId="0" borderId="16" xfId="0" applyFont="1" applyBorder="1" applyProtection="1"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49" fontId="6" fillId="7" borderId="0" xfId="0" applyNumberFormat="1" applyFont="1" applyFill="1" applyAlignment="1" applyProtection="1">
      <alignment vertical="center"/>
      <protection hidden="1"/>
    </xf>
    <xf numFmtId="49" fontId="6" fillId="7" borderId="50" xfId="0" applyNumberFormat="1" applyFont="1" applyFill="1" applyBorder="1" applyAlignment="1" applyProtection="1">
      <alignment vertical="center"/>
      <protection hidden="1"/>
    </xf>
    <xf numFmtId="49" fontId="1" fillId="7" borderId="55" xfId="0" applyNumberFormat="1" applyFont="1" applyFill="1" applyBorder="1" applyAlignment="1" applyProtection="1">
      <alignment vertical="center" wrapText="1"/>
      <protection hidden="1"/>
    </xf>
    <xf numFmtId="0" fontId="3" fillId="0" borderId="56" xfId="0" applyFont="1" applyBorder="1" applyProtection="1">
      <protection hidden="1"/>
    </xf>
    <xf numFmtId="0" fontId="3" fillId="0" borderId="57" xfId="0" applyFont="1" applyBorder="1" applyProtection="1">
      <protection hidden="1"/>
    </xf>
    <xf numFmtId="49" fontId="42" fillId="7" borderId="16" xfId="0" applyNumberFormat="1" applyFont="1" applyFill="1" applyBorder="1" applyAlignment="1" applyProtection="1">
      <alignment horizontal="center" vertical="center"/>
      <protection hidden="1"/>
    </xf>
    <xf numFmtId="49" fontId="42" fillId="7" borderId="3" xfId="0" applyNumberFormat="1" applyFont="1" applyFill="1" applyBorder="1" applyAlignment="1" applyProtection="1">
      <alignment vertical="center"/>
      <protection hidden="1"/>
    </xf>
    <xf numFmtId="0" fontId="20" fillId="8" borderId="27" xfId="0" applyFont="1" applyFill="1" applyBorder="1" applyAlignment="1" applyProtection="1">
      <alignment horizontal="center" vertical="center" wrapText="1"/>
      <protection hidden="1"/>
    </xf>
    <xf numFmtId="49" fontId="42" fillId="7" borderId="30" xfId="0" applyNumberFormat="1" applyFont="1" applyFill="1" applyBorder="1" applyAlignment="1" applyProtection="1">
      <alignment horizontal="center"/>
      <protection hidden="1"/>
    </xf>
    <xf numFmtId="49" fontId="42" fillId="7" borderId="0" xfId="0" applyNumberFormat="1" applyFont="1" applyFill="1" applyProtection="1">
      <protection hidden="1"/>
    </xf>
    <xf numFmtId="49" fontId="42" fillId="7" borderId="30" xfId="0" applyNumberFormat="1" applyFont="1" applyFill="1" applyBorder="1" applyProtection="1">
      <protection hidden="1"/>
    </xf>
    <xf numFmtId="0" fontId="9" fillId="7" borderId="50" xfId="0" applyFont="1" applyFill="1" applyBorder="1" applyAlignment="1" applyProtection="1">
      <alignment horizontal="center" vertical="center"/>
      <protection hidden="1"/>
    </xf>
    <xf numFmtId="49" fontId="9" fillId="7" borderId="18" xfId="0" applyNumberFormat="1" applyFont="1" applyFill="1" applyBorder="1" applyProtection="1">
      <protection hidden="1"/>
    </xf>
    <xf numFmtId="49" fontId="9" fillId="7" borderId="0" xfId="0" applyNumberFormat="1" applyFont="1" applyFill="1" applyAlignment="1" applyProtection="1">
      <protection hidden="1"/>
    </xf>
    <xf numFmtId="49" fontId="9" fillId="7" borderId="3" xfId="0" applyNumberFormat="1" applyFont="1" applyFill="1" applyBorder="1" applyProtection="1"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49" fontId="9" fillId="7" borderId="3" xfId="0" applyNumberFormat="1" applyFont="1" applyFill="1" applyBorder="1" applyAlignment="1" applyProtection="1">
      <alignment horizontal="center"/>
      <protection hidden="1"/>
    </xf>
    <xf numFmtId="49" fontId="42" fillId="7" borderId="15" xfId="0" applyNumberFormat="1" applyFont="1" applyFill="1" applyBorder="1" applyProtection="1">
      <protection hidden="1"/>
    </xf>
    <xf numFmtId="0" fontId="9" fillId="4" borderId="0" xfId="0" applyFont="1" applyFill="1" applyAlignment="1" applyProtection="1">
      <alignment horizontal="center"/>
      <protection hidden="1"/>
    </xf>
    <xf numFmtId="49" fontId="6" fillId="4" borderId="0" xfId="0" applyNumberFormat="1" applyFont="1" applyFill="1" applyAlignment="1" applyProtection="1">
      <protection hidden="1"/>
    </xf>
    <xf numFmtId="0" fontId="9" fillId="7" borderId="30" xfId="0" applyFont="1" applyFill="1" applyBorder="1" applyAlignment="1" applyProtection="1">
      <alignment horizontal="center"/>
      <protection hidden="1"/>
    </xf>
    <xf numFmtId="0" fontId="6" fillId="4" borderId="19" xfId="0" applyFont="1" applyFill="1" applyBorder="1" applyProtection="1">
      <protection hidden="1"/>
    </xf>
    <xf numFmtId="49" fontId="42" fillId="4" borderId="0" xfId="0" applyNumberFormat="1" applyFont="1" applyFill="1" applyAlignment="1" applyProtection="1">
      <alignment horizontal="center"/>
      <protection hidden="1"/>
    </xf>
    <xf numFmtId="0" fontId="42" fillId="4" borderId="0" xfId="0" applyFont="1" applyFill="1" applyAlignment="1" applyProtection="1">
      <alignment horizontal="center"/>
      <protection hidden="1"/>
    </xf>
    <xf numFmtId="49" fontId="9" fillId="4" borderId="0" xfId="0" applyNumberFormat="1" applyFont="1" applyFill="1" applyAlignment="1" applyProtection="1">
      <alignment horizontal="center"/>
      <protection hidden="1"/>
    </xf>
    <xf numFmtId="49" fontId="9" fillId="7" borderId="30" xfId="0" applyNumberFormat="1" applyFont="1" applyFill="1" applyBorder="1" applyAlignment="1" applyProtection="1">
      <alignment horizontal="center" vertical="center"/>
      <protection hidden="1"/>
    </xf>
    <xf numFmtId="49" fontId="9" fillId="7" borderId="0" xfId="0" applyNumberFormat="1" applyFont="1" applyFill="1" applyAlignment="1" applyProtection="1">
      <alignment horizontal="center" vertical="center"/>
      <protection hidden="1"/>
    </xf>
    <xf numFmtId="0" fontId="9" fillId="7" borderId="19" xfId="0" applyFont="1" applyFill="1" applyBorder="1" applyAlignment="1" applyProtection="1">
      <alignment horizontal="center" vertical="center"/>
      <protection hidden="1"/>
    </xf>
    <xf numFmtId="49" fontId="42" fillId="4" borderId="48" xfId="0" applyNumberFormat="1" applyFont="1" applyFill="1" applyBorder="1" applyAlignment="1" applyProtection="1">
      <alignment horizontal="center"/>
      <protection hidden="1"/>
    </xf>
    <xf numFmtId="0" fontId="3" fillId="0" borderId="54" xfId="0" applyFont="1" applyBorder="1" applyProtection="1">
      <protection hidden="1"/>
    </xf>
    <xf numFmtId="49" fontId="9" fillId="4" borderId="48" xfId="0" applyNumberFormat="1" applyFont="1" applyFill="1" applyBorder="1" applyAlignment="1" applyProtection="1">
      <alignment horizontal="center"/>
      <protection hidden="1"/>
    </xf>
    <xf numFmtId="49" fontId="9" fillId="0" borderId="15" xfId="0" applyNumberFormat="1" applyFont="1" applyBorder="1" applyAlignment="1" applyProtection="1">
      <alignment horizontal="left" vertical="center" wrapText="1"/>
      <protection hidden="1"/>
    </xf>
    <xf numFmtId="0" fontId="9" fillId="4" borderId="3" xfId="0" applyFont="1" applyFill="1" applyBorder="1" applyAlignment="1" applyProtection="1">
      <alignment horizontal="center"/>
      <protection hidden="1"/>
    </xf>
    <xf numFmtId="0" fontId="42" fillId="4" borderId="3" xfId="0" applyFont="1" applyFill="1" applyBorder="1" applyAlignment="1" applyProtection="1">
      <alignment horizontal="center"/>
      <protection hidden="1"/>
    </xf>
    <xf numFmtId="0" fontId="9" fillId="4" borderId="15" xfId="0" applyFont="1" applyFill="1" applyBorder="1" applyAlignment="1" applyProtection="1">
      <alignment horizontal="center"/>
      <protection hidden="1"/>
    </xf>
    <xf numFmtId="0" fontId="9" fillId="4" borderId="16" xfId="0" applyFont="1" applyFill="1" applyBorder="1" applyAlignment="1" applyProtection="1">
      <alignment horizontal="center"/>
      <protection hidden="1"/>
    </xf>
    <xf numFmtId="49" fontId="1" fillId="7" borderId="30" xfId="0" applyNumberFormat="1" applyFont="1" applyFill="1" applyBorder="1" applyAlignment="1" applyProtection="1">
      <alignment horizontal="left" vertical="center"/>
      <protection hidden="1"/>
    </xf>
    <xf numFmtId="164" fontId="12" fillId="2" borderId="7" xfId="0" applyNumberFormat="1" applyFont="1" applyFill="1" applyBorder="1" applyAlignment="1">
      <alignment horizontal="center" vertical="center"/>
    </xf>
    <xf numFmtId="49" fontId="1" fillId="2" borderId="45" xfId="0" applyNumberFormat="1" applyFont="1" applyFill="1" applyBorder="1" applyAlignment="1">
      <alignment horizontal="left" vertical="center"/>
    </xf>
    <xf numFmtId="0" fontId="3" fillId="0" borderId="47" xfId="0" applyFont="1" applyBorder="1"/>
    <xf numFmtId="49" fontId="9" fillId="2" borderId="7" xfId="0" applyNumberFormat="1" applyFont="1" applyFill="1" applyBorder="1" applyAlignment="1">
      <alignment horizontal="center" vertical="center"/>
    </xf>
    <xf numFmtId="49" fontId="9" fillId="2" borderId="45" xfId="0" applyNumberFormat="1" applyFont="1" applyFill="1" applyBorder="1" applyAlignment="1">
      <alignment horizontal="left" vertical="center"/>
    </xf>
    <xf numFmtId="49" fontId="9" fillId="2" borderId="34" xfId="0" applyNumberFormat="1" applyFont="1" applyFill="1" applyBorder="1" applyAlignment="1">
      <alignment horizontal="left" vertical="center"/>
    </xf>
    <xf numFmtId="0" fontId="3" fillId="0" borderId="60" xfId="0" applyFont="1" applyBorder="1"/>
    <xf numFmtId="0" fontId="2" fillId="5" borderId="27" xfId="0" applyFont="1" applyFill="1" applyBorder="1" applyAlignment="1">
      <alignment horizontal="center"/>
    </xf>
    <xf numFmtId="164" fontId="1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jp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jp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3.jp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2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jp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30</xdr:row>
      <xdr:rowOff>28575</xdr:rowOff>
    </xdr:from>
    <xdr:ext cx="3114675" cy="2171700"/>
    <xdr:pic>
      <xdr:nvPicPr>
        <xdr:cNvPr id="2" name="image1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33350"/>
    <xdr:pic>
      <xdr:nvPicPr>
        <xdr:cNvPr id="3" name="image2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415</xdr:row>
      <xdr:rowOff>19050</xdr:rowOff>
    </xdr:from>
    <xdr:ext cx="1219200" cy="790575"/>
    <xdr:pic>
      <xdr:nvPicPr>
        <xdr:cNvPr id="2" name="image16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580</xdr:row>
      <xdr:rowOff>95250</xdr:rowOff>
    </xdr:from>
    <xdr:ext cx="866775" cy="1343025"/>
    <xdr:pic>
      <xdr:nvPicPr>
        <xdr:cNvPr id="3" name="image6.jp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632</xdr:row>
      <xdr:rowOff>76200</xdr:rowOff>
    </xdr:from>
    <xdr:ext cx="923925" cy="1362075"/>
    <xdr:pic>
      <xdr:nvPicPr>
        <xdr:cNvPr id="4" name="image27.jpg" title="Imagem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907</xdr:row>
      <xdr:rowOff>28575</xdr:rowOff>
    </xdr:from>
    <xdr:ext cx="962025" cy="352425"/>
    <xdr:pic>
      <xdr:nvPicPr>
        <xdr:cNvPr id="5" name="image13.jpg" title="Imagem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776</xdr:row>
      <xdr:rowOff>19050</xdr:rowOff>
    </xdr:from>
    <xdr:ext cx="1276350" cy="666750"/>
    <xdr:pic>
      <xdr:nvPicPr>
        <xdr:cNvPr id="6" name="image10.png" title="Imagem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</xdr:row>
      <xdr:rowOff>95250</xdr:rowOff>
    </xdr:from>
    <xdr:ext cx="866775" cy="714375"/>
    <xdr:pic>
      <xdr:nvPicPr>
        <xdr:cNvPr id="7" name="image3.png" title="Imagem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23</xdr:row>
      <xdr:rowOff>9525</xdr:rowOff>
    </xdr:from>
    <xdr:ext cx="866775" cy="295275"/>
    <xdr:pic>
      <xdr:nvPicPr>
        <xdr:cNvPr id="8" name="image18.png" title="Imagem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52</xdr:row>
      <xdr:rowOff>47625</xdr:rowOff>
    </xdr:from>
    <xdr:ext cx="962025" cy="447675"/>
    <xdr:pic>
      <xdr:nvPicPr>
        <xdr:cNvPr id="9" name="image1.png" title="Imagem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88</xdr:row>
      <xdr:rowOff>85725</xdr:rowOff>
    </xdr:from>
    <xdr:ext cx="638175" cy="885825"/>
    <xdr:pic>
      <xdr:nvPicPr>
        <xdr:cNvPr id="10" name="image7.png" title="Imagem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146</xdr:row>
      <xdr:rowOff>38100</xdr:rowOff>
    </xdr:from>
    <xdr:ext cx="638175" cy="1047750"/>
    <xdr:pic>
      <xdr:nvPicPr>
        <xdr:cNvPr id="11" name="image2.png" title="Imagem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208</xdr:row>
      <xdr:rowOff>38100</xdr:rowOff>
    </xdr:from>
    <xdr:ext cx="638175" cy="1181100"/>
    <xdr:pic>
      <xdr:nvPicPr>
        <xdr:cNvPr id="12" name="image12.png" title="Imagem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270</xdr:row>
      <xdr:rowOff>95250</xdr:rowOff>
    </xdr:from>
    <xdr:ext cx="752475" cy="790575"/>
    <xdr:pic>
      <xdr:nvPicPr>
        <xdr:cNvPr id="13" name="image9.png" title="Imagem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325</xdr:row>
      <xdr:rowOff>38100</xdr:rowOff>
    </xdr:from>
    <xdr:ext cx="685800" cy="790575"/>
    <xdr:pic>
      <xdr:nvPicPr>
        <xdr:cNvPr id="14" name="image8.png" title="Imagem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356</xdr:row>
      <xdr:rowOff>19050</xdr:rowOff>
    </xdr:from>
    <xdr:ext cx="923925" cy="561975"/>
    <xdr:pic>
      <xdr:nvPicPr>
        <xdr:cNvPr id="15" name="image4.png" title="Imagem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477</xdr:row>
      <xdr:rowOff>19050</xdr:rowOff>
    </xdr:from>
    <xdr:ext cx="1219200" cy="666750"/>
    <xdr:pic>
      <xdr:nvPicPr>
        <xdr:cNvPr id="16" name="image31.png" title="Imagem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539</xdr:row>
      <xdr:rowOff>19050</xdr:rowOff>
    </xdr:from>
    <xdr:ext cx="1476375" cy="561975"/>
    <xdr:pic>
      <xdr:nvPicPr>
        <xdr:cNvPr id="17" name="image15.png" title="Imagem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662</xdr:row>
      <xdr:rowOff>57150</xdr:rowOff>
    </xdr:from>
    <xdr:ext cx="923925" cy="447675"/>
    <xdr:pic>
      <xdr:nvPicPr>
        <xdr:cNvPr id="18" name="image29.png" title="Imagem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687</xdr:row>
      <xdr:rowOff>66675</xdr:rowOff>
    </xdr:from>
    <xdr:ext cx="942975" cy="352425"/>
    <xdr:pic>
      <xdr:nvPicPr>
        <xdr:cNvPr id="19" name="image5.png" title="Imagem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722</xdr:row>
      <xdr:rowOff>66675</xdr:rowOff>
    </xdr:from>
    <xdr:ext cx="942975" cy="523875"/>
    <xdr:pic>
      <xdr:nvPicPr>
        <xdr:cNvPr id="20" name="image25.png" title="Imagem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812</xdr:row>
      <xdr:rowOff>85725</xdr:rowOff>
    </xdr:from>
    <xdr:ext cx="923925" cy="714375"/>
    <xdr:pic>
      <xdr:nvPicPr>
        <xdr:cNvPr id="21" name="image17.png" title="Imagem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820</xdr:row>
      <xdr:rowOff>47625</xdr:rowOff>
    </xdr:from>
    <xdr:ext cx="866775" cy="295275"/>
    <xdr:pic>
      <xdr:nvPicPr>
        <xdr:cNvPr id="22" name="image20.png" title="Imagem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831</xdr:row>
      <xdr:rowOff>95250</xdr:rowOff>
    </xdr:from>
    <xdr:ext cx="581025" cy="1019175"/>
    <xdr:pic>
      <xdr:nvPicPr>
        <xdr:cNvPr id="23" name="image14.png" title="Imagem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843</xdr:row>
      <xdr:rowOff>47625</xdr:rowOff>
    </xdr:from>
    <xdr:ext cx="866775" cy="295275"/>
    <xdr:pic>
      <xdr:nvPicPr>
        <xdr:cNvPr id="24" name="image19.png" title="Imagem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867</xdr:row>
      <xdr:rowOff>47625</xdr:rowOff>
    </xdr:from>
    <xdr:ext cx="962025" cy="361950"/>
    <xdr:pic>
      <xdr:nvPicPr>
        <xdr:cNvPr id="25" name="image24.png" title="Imagem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872</xdr:row>
      <xdr:rowOff>38100</xdr:rowOff>
    </xdr:from>
    <xdr:ext cx="866775" cy="295275"/>
    <xdr:pic>
      <xdr:nvPicPr>
        <xdr:cNvPr id="26" name="image19.png" title="Imagem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888</xdr:row>
      <xdr:rowOff>76200</xdr:rowOff>
    </xdr:from>
    <xdr:ext cx="962025" cy="295275"/>
    <xdr:pic>
      <xdr:nvPicPr>
        <xdr:cNvPr id="27" name="image28.png" title="Imagem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891</xdr:row>
      <xdr:rowOff>85725</xdr:rowOff>
    </xdr:from>
    <xdr:ext cx="304800" cy="352425"/>
    <xdr:pic>
      <xdr:nvPicPr>
        <xdr:cNvPr id="28" name="image32.png" title="Imagem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929</xdr:row>
      <xdr:rowOff>38100</xdr:rowOff>
    </xdr:from>
    <xdr:ext cx="933450" cy="561975"/>
    <xdr:pic>
      <xdr:nvPicPr>
        <xdr:cNvPr id="29" name="image34.png" title="Imagem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947</xdr:row>
      <xdr:rowOff>47625</xdr:rowOff>
    </xdr:from>
    <xdr:ext cx="923925" cy="523875"/>
    <xdr:pic>
      <xdr:nvPicPr>
        <xdr:cNvPr id="30" name="image22.png" title="Imagem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955</xdr:row>
      <xdr:rowOff>28575</xdr:rowOff>
    </xdr:from>
    <xdr:ext cx="581025" cy="666750"/>
    <xdr:pic>
      <xdr:nvPicPr>
        <xdr:cNvPr id="31" name="image26.png" title="Imagem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962</xdr:row>
      <xdr:rowOff>85725</xdr:rowOff>
    </xdr:from>
    <xdr:ext cx="638175" cy="885825"/>
    <xdr:pic>
      <xdr:nvPicPr>
        <xdr:cNvPr id="32" name="image21.png" title="Imagem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965</xdr:row>
      <xdr:rowOff>95250</xdr:rowOff>
    </xdr:from>
    <xdr:ext cx="923925" cy="561975"/>
    <xdr:pic>
      <xdr:nvPicPr>
        <xdr:cNvPr id="33" name="image30.png" title="Imagem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33350"/>
    <xdr:pic>
      <xdr:nvPicPr>
        <xdr:cNvPr id="34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33350"/>
    <xdr:pic>
      <xdr:nvPicPr>
        <xdr:cNvPr id="35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33350"/>
    <xdr:pic>
      <xdr:nvPicPr>
        <xdr:cNvPr id="36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33350"/>
    <xdr:pic>
      <xdr:nvPicPr>
        <xdr:cNvPr id="37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33350"/>
    <xdr:pic>
      <xdr:nvPicPr>
        <xdr:cNvPr id="38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33350"/>
    <xdr:pic>
      <xdr:nvPicPr>
        <xdr:cNvPr id="39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133350"/>
    <xdr:pic>
      <xdr:nvPicPr>
        <xdr:cNvPr id="40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133350"/>
    <xdr:pic>
      <xdr:nvPicPr>
        <xdr:cNvPr id="41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133350"/>
    <xdr:pic>
      <xdr:nvPicPr>
        <xdr:cNvPr id="42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133350"/>
    <xdr:pic>
      <xdr:nvPicPr>
        <xdr:cNvPr id="43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952500" cy="133350"/>
    <xdr:pic>
      <xdr:nvPicPr>
        <xdr:cNvPr id="44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952500" cy="133350"/>
    <xdr:pic>
      <xdr:nvPicPr>
        <xdr:cNvPr id="45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732</xdr:row>
      <xdr:rowOff>0</xdr:rowOff>
    </xdr:from>
    <xdr:ext cx="952500" cy="133350"/>
    <xdr:pic>
      <xdr:nvPicPr>
        <xdr:cNvPr id="46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793</xdr:row>
      <xdr:rowOff>0</xdr:rowOff>
    </xdr:from>
    <xdr:ext cx="952500" cy="133350"/>
    <xdr:pic>
      <xdr:nvPicPr>
        <xdr:cNvPr id="47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952500" cy="133350"/>
    <xdr:pic>
      <xdr:nvPicPr>
        <xdr:cNvPr id="48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915</xdr:row>
      <xdr:rowOff>0</xdr:rowOff>
    </xdr:from>
    <xdr:ext cx="952500" cy="133350"/>
    <xdr:pic>
      <xdr:nvPicPr>
        <xdr:cNvPr id="49" name="image23.pn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9525"/>
    <xdr:pic>
      <xdr:nvPicPr>
        <xdr:cNvPr id="2" name="image3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142875"/>
    <xdr:pic>
      <xdr:nvPicPr>
        <xdr:cNvPr id="2" name="image2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66800" cy="142875"/>
    <xdr:pic>
      <xdr:nvPicPr>
        <xdr:cNvPr id="2" name="image2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66800" cy="142875"/>
    <xdr:pic>
      <xdr:nvPicPr>
        <xdr:cNvPr id="3" name="image2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66800" cy="142875"/>
    <xdr:pic>
      <xdr:nvPicPr>
        <xdr:cNvPr id="4" name="image2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066800" cy="142875"/>
    <xdr:pic>
      <xdr:nvPicPr>
        <xdr:cNvPr id="5" name="image2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33350"/>
    <xdr:pic>
      <xdr:nvPicPr>
        <xdr:cNvPr id="2" name="image2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61"/>
  <sheetViews>
    <sheetView showGridLines="0" topLeftCell="B1" workbookViewId="0">
      <selection activeCell="AF1" sqref="AF1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3.7109375" customWidth="1"/>
    <col min="21" max="31" width="3.7109375" hidden="1" customWidth="1"/>
    <col min="32" max="32" width="17" customWidth="1"/>
  </cols>
  <sheetData>
    <row r="1" spans="1:32" ht="61.5" customHeight="1">
      <c r="A1" s="1"/>
      <c r="B1" s="262"/>
      <c r="C1" s="26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4"/>
      <c r="T1" s="5"/>
      <c r="U1" s="6"/>
      <c r="V1" s="6"/>
      <c r="W1" s="6"/>
      <c r="X1" s="6"/>
      <c r="Y1" s="6"/>
      <c r="Z1" s="6"/>
      <c r="AA1" s="5"/>
      <c r="AB1" s="5"/>
      <c r="AC1" s="5"/>
      <c r="AD1" s="5"/>
      <c r="AE1" s="5"/>
      <c r="AF1" s="7"/>
    </row>
    <row r="2" spans="1:32" ht="34.5" customHeight="1">
      <c r="A2" s="1"/>
      <c r="B2" s="8"/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  <c r="R2" s="10"/>
      <c r="S2" s="11"/>
      <c r="T2" s="5"/>
      <c r="U2" s="264" t="s">
        <v>0</v>
      </c>
      <c r="V2" s="265"/>
      <c r="W2" s="265"/>
      <c r="X2" s="265"/>
      <c r="Y2" s="265"/>
      <c r="Z2" s="265"/>
      <c r="AA2" s="265"/>
      <c r="AB2" s="265"/>
      <c r="AC2" s="265"/>
      <c r="AD2" s="265"/>
      <c r="AE2" s="266"/>
      <c r="AF2" s="12"/>
    </row>
    <row r="3" spans="1:32" ht="7.5" customHeight="1">
      <c r="A3" s="267"/>
      <c r="B3" s="13"/>
      <c r="C3" s="14"/>
      <c r="D3" s="14"/>
      <c r="E3" s="14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3"/>
      <c r="R3" s="13"/>
      <c r="S3" s="14"/>
      <c r="T3" s="15"/>
      <c r="U3" s="269" t="s">
        <v>1</v>
      </c>
      <c r="V3" s="270"/>
      <c r="W3" s="270"/>
      <c r="X3" s="270"/>
      <c r="Y3" s="270"/>
      <c r="Z3" s="270"/>
      <c r="AA3" s="270"/>
      <c r="AB3" s="270"/>
      <c r="AC3" s="270"/>
      <c r="AD3" s="270"/>
      <c r="AE3" s="271"/>
      <c r="AF3" s="16"/>
    </row>
    <row r="4" spans="1:32" ht="7.5" customHeight="1">
      <c r="A4" s="268"/>
      <c r="B4" s="276"/>
      <c r="C4" s="275"/>
      <c r="D4" s="273"/>
      <c r="E4" s="276"/>
      <c r="F4" s="275"/>
      <c r="G4" s="273"/>
      <c r="H4" s="276"/>
      <c r="I4" s="276"/>
      <c r="J4" s="17"/>
      <c r="K4" s="17"/>
      <c r="L4" s="17"/>
      <c r="M4" s="17"/>
      <c r="N4" s="17"/>
      <c r="O4" s="17"/>
      <c r="P4" s="17"/>
      <c r="Q4" s="275"/>
      <c r="R4" s="273"/>
      <c r="S4" s="273"/>
      <c r="T4" s="15"/>
      <c r="U4" s="272"/>
      <c r="V4" s="273"/>
      <c r="W4" s="273"/>
      <c r="X4" s="273"/>
      <c r="Y4" s="273"/>
      <c r="Z4" s="273"/>
      <c r="AA4" s="273"/>
      <c r="AB4" s="273"/>
      <c r="AC4" s="273"/>
      <c r="AD4" s="273"/>
      <c r="AE4" s="274"/>
      <c r="AF4" s="16"/>
    </row>
    <row r="5" spans="1:32" ht="7.5" customHeight="1">
      <c r="A5" s="277"/>
      <c r="B5" s="273"/>
      <c r="C5" s="273"/>
      <c r="D5" s="273"/>
      <c r="E5" s="273"/>
      <c r="F5" s="273"/>
      <c r="G5" s="273"/>
      <c r="H5" s="273"/>
      <c r="I5" s="273"/>
      <c r="J5" s="17"/>
      <c r="K5" s="17"/>
      <c r="L5" s="17"/>
      <c r="M5" s="17"/>
      <c r="N5" s="17"/>
      <c r="O5" s="17"/>
      <c r="P5" s="17"/>
      <c r="Q5" s="273"/>
      <c r="R5" s="273"/>
      <c r="S5" s="273"/>
      <c r="T5" s="15"/>
      <c r="U5" s="272"/>
      <c r="V5" s="273"/>
      <c r="W5" s="273"/>
      <c r="X5" s="273"/>
      <c r="Y5" s="273"/>
      <c r="Z5" s="273"/>
      <c r="AA5" s="273"/>
      <c r="AB5" s="273"/>
      <c r="AC5" s="273"/>
      <c r="AD5" s="273"/>
      <c r="AE5" s="274"/>
      <c r="AF5" s="16"/>
    </row>
    <row r="6" spans="1:32" ht="7.5" customHeight="1">
      <c r="A6" s="268"/>
      <c r="B6" s="279"/>
      <c r="C6" s="278"/>
      <c r="D6" s="273"/>
      <c r="E6" s="279"/>
      <c r="F6" s="278"/>
      <c r="G6" s="273"/>
      <c r="H6" s="280"/>
      <c r="I6" s="13"/>
      <c r="J6" s="13"/>
      <c r="K6" s="13"/>
      <c r="L6" s="13"/>
      <c r="M6" s="13"/>
      <c r="N6" s="13"/>
      <c r="O6" s="13"/>
      <c r="P6" s="13"/>
      <c r="Q6" s="278"/>
      <c r="R6" s="273"/>
      <c r="S6" s="273"/>
      <c r="T6" s="15"/>
      <c r="U6" s="272"/>
      <c r="V6" s="273"/>
      <c r="W6" s="273"/>
      <c r="X6" s="273"/>
      <c r="Y6" s="273"/>
      <c r="Z6" s="273"/>
      <c r="AA6" s="273"/>
      <c r="AB6" s="273"/>
      <c r="AC6" s="273"/>
      <c r="AD6" s="273"/>
      <c r="AE6" s="274"/>
      <c r="AF6" s="16"/>
    </row>
    <row r="7" spans="1:32" ht="7.5" customHeight="1">
      <c r="A7" s="268"/>
      <c r="B7" s="273"/>
      <c r="C7" s="273"/>
      <c r="D7" s="273"/>
      <c r="E7" s="273"/>
      <c r="F7" s="273"/>
      <c r="G7" s="273"/>
      <c r="H7" s="273"/>
      <c r="I7" s="13"/>
      <c r="J7" s="13"/>
      <c r="K7" s="13"/>
      <c r="L7" s="13"/>
      <c r="M7" s="13"/>
      <c r="N7" s="13"/>
      <c r="O7" s="13"/>
      <c r="P7" s="13"/>
      <c r="Q7" s="273"/>
      <c r="R7" s="273"/>
      <c r="S7" s="273"/>
      <c r="T7" s="20"/>
      <c r="U7" s="272"/>
      <c r="V7" s="273"/>
      <c r="W7" s="273"/>
      <c r="X7" s="273"/>
      <c r="Y7" s="273"/>
      <c r="Z7" s="273"/>
      <c r="AA7" s="273"/>
      <c r="AB7" s="273"/>
      <c r="AC7" s="273"/>
      <c r="AD7" s="273"/>
      <c r="AE7" s="274"/>
      <c r="AF7" s="16"/>
    </row>
    <row r="8" spans="1:32" ht="7.5" customHeight="1">
      <c r="A8" s="20"/>
      <c r="B8" s="279"/>
      <c r="C8" s="278"/>
      <c r="D8" s="273"/>
      <c r="E8" s="279"/>
      <c r="F8" s="278"/>
      <c r="G8" s="273"/>
      <c r="H8" s="280"/>
      <c r="I8" s="13"/>
      <c r="J8" s="13"/>
      <c r="K8" s="13"/>
      <c r="L8" s="13"/>
      <c r="M8" s="13"/>
      <c r="N8" s="13"/>
      <c r="O8" s="13"/>
      <c r="P8" s="13"/>
      <c r="Q8" s="278"/>
      <c r="R8" s="273"/>
      <c r="S8" s="273"/>
      <c r="T8" s="20"/>
      <c r="U8" s="21"/>
      <c r="V8" s="22"/>
      <c r="W8" s="285">
        <v>4.2699999999999996</v>
      </c>
      <c r="X8" s="286"/>
      <c r="Y8" s="286"/>
      <c r="Z8" s="286"/>
      <c r="AA8" s="286"/>
      <c r="AB8" s="286"/>
      <c r="AC8" s="287"/>
      <c r="AD8" s="22"/>
      <c r="AE8" s="23"/>
      <c r="AF8" s="24"/>
    </row>
    <row r="9" spans="1:32" ht="7.5" customHeight="1">
      <c r="A9" s="281"/>
      <c r="B9" s="273"/>
      <c r="C9" s="273"/>
      <c r="D9" s="273"/>
      <c r="E9" s="273"/>
      <c r="F9" s="273"/>
      <c r="G9" s="273"/>
      <c r="H9" s="273"/>
      <c r="I9" s="13"/>
      <c r="J9" s="13"/>
      <c r="K9" s="13"/>
      <c r="L9" s="13"/>
      <c r="M9" s="13"/>
      <c r="N9" s="13"/>
      <c r="O9" s="13"/>
      <c r="P9" s="13"/>
      <c r="Q9" s="273"/>
      <c r="R9" s="273"/>
      <c r="S9" s="273"/>
      <c r="T9" s="20"/>
      <c r="U9" s="21"/>
      <c r="V9" s="22"/>
      <c r="W9" s="288"/>
      <c r="X9" s="273"/>
      <c r="Y9" s="273"/>
      <c r="Z9" s="273"/>
      <c r="AA9" s="273"/>
      <c r="AB9" s="273"/>
      <c r="AC9" s="289"/>
      <c r="AD9" s="25"/>
      <c r="AE9" s="23"/>
      <c r="AF9" s="24"/>
    </row>
    <row r="10" spans="1:32" ht="7.5" customHeight="1">
      <c r="A10" s="268"/>
      <c r="B10" s="279"/>
      <c r="C10" s="278"/>
      <c r="D10" s="273"/>
      <c r="E10" s="279"/>
      <c r="F10" s="278"/>
      <c r="G10" s="273"/>
      <c r="H10" s="280"/>
      <c r="I10" s="13"/>
      <c r="J10" s="13"/>
      <c r="K10" s="13"/>
      <c r="L10" s="13"/>
      <c r="M10" s="13"/>
      <c r="N10" s="13"/>
      <c r="O10" s="13"/>
      <c r="P10" s="13"/>
      <c r="Q10" s="278"/>
      <c r="R10" s="273"/>
      <c r="S10" s="273"/>
      <c r="T10" s="20"/>
      <c r="U10" s="21"/>
      <c r="V10" s="22"/>
      <c r="W10" s="288"/>
      <c r="X10" s="273"/>
      <c r="Y10" s="273"/>
      <c r="Z10" s="273"/>
      <c r="AA10" s="273"/>
      <c r="AB10" s="273"/>
      <c r="AC10" s="289"/>
      <c r="AD10" s="25"/>
      <c r="AE10" s="23"/>
      <c r="AF10" s="24"/>
    </row>
    <row r="11" spans="1:32" ht="7.5" customHeight="1">
      <c r="A11" s="268"/>
      <c r="B11" s="273"/>
      <c r="C11" s="273"/>
      <c r="D11" s="273"/>
      <c r="E11" s="273"/>
      <c r="F11" s="273"/>
      <c r="G11" s="273"/>
      <c r="H11" s="273"/>
      <c r="I11" s="13"/>
      <c r="J11" s="13"/>
      <c r="K11" s="13"/>
      <c r="L11" s="13"/>
      <c r="M11" s="13"/>
      <c r="N11" s="13"/>
      <c r="O11" s="13"/>
      <c r="P11" s="13"/>
      <c r="Q11" s="273"/>
      <c r="R11" s="273"/>
      <c r="S11" s="273"/>
      <c r="T11" s="20"/>
      <c r="U11" s="21"/>
      <c r="V11" s="22"/>
      <c r="W11" s="290"/>
      <c r="X11" s="263"/>
      <c r="Y11" s="263"/>
      <c r="Z11" s="263"/>
      <c r="AA11" s="263"/>
      <c r="AB11" s="263"/>
      <c r="AC11" s="291"/>
      <c r="AD11" s="26"/>
      <c r="AE11" s="23"/>
      <c r="AF11" s="24"/>
    </row>
    <row r="12" spans="1:32" ht="7.5" customHeight="1">
      <c r="A12" s="268"/>
      <c r="B12" s="279"/>
      <c r="C12" s="278"/>
      <c r="D12" s="273"/>
      <c r="E12" s="279"/>
      <c r="F12" s="278"/>
      <c r="G12" s="273"/>
      <c r="H12" s="280"/>
      <c r="I12" s="13"/>
      <c r="J12" s="13"/>
      <c r="K12" s="13"/>
      <c r="L12" s="13"/>
      <c r="M12" s="13"/>
      <c r="N12" s="13"/>
      <c r="O12" s="13"/>
      <c r="P12" s="13"/>
      <c r="Q12" s="278"/>
      <c r="R12" s="273"/>
      <c r="S12" s="273"/>
      <c r="T12" s="20"/>
      <c r="U12" s="282" t="s">
        <v>2</v>
      </c>
      <c r="V12" s="283"/>
      <c r="W12" s="283"/>
      <c r="X12" s="283"/>
      <c r="Y12" s="283"/>
      <c r="Z12" s="283"/>
      <c r="AA12" s="283"/>
      <c r="AB12" s="283"/>
      <c r="AC12" s="283"/>
      <c r="AD12" s="283"/>
      <c r="AE12" s="284"/>
      <c r="AF12" s="27"/>
    </row>
    <row r="13" spans="1:32" ht="7.5" customHeight="1">
      <c r="A13" s="1"/>
      <c r="B13" s="273"/>
      <c r="C13" s="273"/>
      <c r="D13" s="273"/>
      <c r="E13" s="273"/>
      <c r="F13" s="273"/>
      <c r="G13" s="273"/>
      <c r="H13" s="273"/>
      <c r="I13" s="13"/>
      <c r="J13" s="13"/>
      <c r="K13" s="13"/>
      <c r="L13" s="13"/>
      <c r="M13" s="13"/>
      <c r="N13" s="13"/>
      <c r="O13" s="13"/>
      <c r="P13" s="13"/>
      <c r="Q13" s="273"/>
      <c r="R13" s="273"/>
      <c r="S13" s="273"/>
      <c r="T13" s="20"/>
      <c r="U13" s="272"/>
      <c r="V13" s="273"/>
      <c r="W13" s="273"/>
      <c r="X13" s="273"/>
      <c r="Y13" s="273"/>
      <c r="Z13" s="273"/>
      <c r="AA13" s="273"/>
      <c r="AB13" s="273"/>
      <c r="AC13" s="273"/>
      <c r="AD13" s="273"/>
      <c r="AE13" s="274"/>
      <c r="AF13" s="27"/>
    </row>
    <row r="14" spans="1:32" ht="7.5" customHeight="1">
      <c r="A14" s="1"/>
      <c r="B14" s="279"/>
      <c r="C14" s="278"/>
      <c r="D14" s="273"/>
      <c r="E14" s="279"/>
      <c r="F14" s="278"/>
      <c r="G14" s="273"/>
      <c r="H14" s="280"/>
      <c r="I14" s="13"/>
      <c r="J14" s="13"/>
      <c r="K14" s="13"/>
      <c r="L14" s="13"/>
      <c r="M14" s="13"/>
      <c r="N14" s="13"/>
      <c r="O14" s="13"/>
      <c r="P14" s="13"/>
      <c r="Q14" s="278"/>
      <c r="R14" s="273"/>
      <c r="S14" s="273"/>
      <c r="T14" s="20"/>
      <c r="U14" s="272"/>
      <c r="V14" s="273"/>
      <c r="W14" s="273"/>
      <c r="X14" s="273"/>
      <c r="Y14" s="273"/>
      <c r="Z14" s="273"/>
      <c r="AA14" s="273"/>
      <c r="AB14" s="273"/>
      <c r="AC14" s="273"/>
      <c r="AD14" s="273"/>
      <c r="AE14" s="274"/>
      <c r="AF14" s="27"/>
    </row>
    <row r="15" spans="1:32" ht="7.5" customHeight="1">
      <c r="A15" s="1"/>
      <c r="B15" s="273"/>
      <c r="C15" s="273"/>
      <c r="D15" s="273"/>
      <c r="E15" s="273"/>
      <c r="F15" s="273"/>
      <c r="G15" s="273"/>
      <c r="H15" s="273"/>
      <c r="I15" s="13"/>
      <c r="J15" s="13"/>
      <c r="K15" s="13"/>
      <c r="L15" s="13"/>
      <c r="M15" s="13"/>
      <c r="N15" s="13"/>
      <c r="O15" s="13"/>
      <c r="P15" s="13"/>
      <c r="Q15" s="273"/>
      <c r="R15" s="273"/>
      <c r="S15" s="273"/>
      <c r="T15" s="20"/>
      <c r="U15" s="272"/>
      <c r="V15" s="273"/>
      <c r="W15" s="273"/>
      <c r="X15" s="273"/>
      <c r="Y15" s="273"/>
      <c r="Z15" s="273"/>
      <c r="AA15" s="273"/>
      <c r="AB15" s="273"/>
      <c r="AC15" s="273"/>
      <c r="AD15" s="273"/>
      <c r="AE15" s="274"/>
      <c r="AF15" s="27"/>
    </row>
    <row r="16" spans="1:32" ht="7.5" customHeight="1">
      <c r="A16" s="1"/>
      <c r="B16" s="279"/>
      <c r="C16" s="278"/>
      <c r="D16" s="273"/>
      <c r="E16" s="279"/>
      <c r="F16" s="278"/>
      <c r="G16" s="273"/>
      <c r="H16" s="280"/>
      <c r="I16" s="13"/>
      <c r="J16" s="13"/>
      <c r="K16" s="13"/>
      <c r="L16" s="13"/>
      <c r="M16" s="13"/>
      <c r="N16" s="13"/>
      <c r="O16" s="13"/>
      <c r="P16" s="13"/>
      <c r="Q16" s="278"/>
      <c r="R16" s="273"/>
      <c r="S16" s="273"/>
      <c r="T16" s="5"/>
      <c r="U16" s="272"/>
      <c r="V16" s="273"/>
      <c r="W16" s="273"/>
      <c r="X16" s="273"/>
      <c r="Y16" s="273"/>
      <c r="Z16" s="273"/>
      <c r="AA16" s="273"/>
      <c r="AB16" s="273"/>
      <c r="AC16" s="273"/>
      <c r="AD16" s="273"/>
      <c r="AE16" s="274"/>
      <c r="AF16" s="27"/>
    </row>
    <row r="17" spans="1:32" ht="7.5" customHeight="1">
      <c r="A17" s="1"/>
      <c r="B17" s="273"/>
      <c r="C17" s="273"/>
      <c r="D17" s="273"/>
      <c r="E17" s="273"/>
      <c r="F17" s="273"/>
      <c r="G17" s="273"/>
      <c r="H17" s="273"/>
      <c r="I17" s="13"/>
      <c r="J17" s="13"/>
      <c r="K17" s="13"/>
      <c r="L17" s="13"/>
      <c r="M17" s="13"/>
      <c r="N17" s="13"/>
      <c r="O17" s="13"/>
      <c r="P17" s="13"/>
      <c r="Q17" s="273"/>
      <c r="R17" s="273"/>
      <c r="S17" s="273"/>
      <c r="T17" s="20"/>
      <c r="U17" s="272"/>
      <c r="V17" s="273"/>
      <c r="W17" s="273"/>
      <c r="X17" s="273"/>
      <c r="Y17" s="273"/>
      <c r="Z17" s="273"/>
      <c r="AA17" s="273"/>
      <c r="AB17" s="273"/>
      <c r="AC17" s="273"/>
      <c r="AD17" s="273"/>
      <c r="AE17" s="274"/>
      <c r="AF17" s="27"/>
    </row>
    <row r="18" spans="1:32" ht="7.5" customHeight="1">
      <c r="A18" s="1"/>
      <c r="B18" s="279"/>
      <c r="C18" s="278"/>
      <c r="D18" s="273"/>
      <c r="E18" s="279"/>
      <c r="F18" s="278"/>
      <c r="G18" s="273"/>
      <c r="H18" s="280"/>
      <c r="I18" s="13"/>
      <c r="J18" s="13"/>
      <c r="K18" s="13"/>
      <c r="L18" s="13"/>
      <c r="M18" s="13"/>
      <c r="N18" s="13"/>
      <c r="O18" s="13"/>
      <c r="P18" s="13"/>
      <c r="Q18" s="278"/>
      <c r="R18" s="273"/>
      <c r="S18" s="273"/>
      <c r="T18" s="20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9"/>
    </row>
    <row r="19" spans="1:32" ht="7.5" customHeight="1">
      <c r="A19" s="1"/>
      <c r="B19" s="273"/>
      <c r="C19" s="273"/>
      <c r="D19" s="273"/>
      <c r="E19" s="273"/>
      <c r="F19" s="273"/>
      <c r="G19" s="273"/>
      <c r="H19" s="273"/>
      <c r="I19" s="13"/>
      <c r="J19" s="13"/>
      <c r="K19" s="13"/>
      <c r="L19" s="13"/>
      <c r="M19" s="13"/>
      <c r="N19" s="13"/>
      <c r="O19" s="13"/>
      <c r="P19" s="13"/>
      <c r="Q19" s="273"/>
      <c r="R19" s="273"/>
      <c r="S19" s="273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4"/>
    </row>
    <row r="20" spans="1:32" ht="7.5" customHeight="1">
      <c r="A20" s="1"/>
      <c r="B20" s="279"/>
      <c r="C20" s="278"/>
      <c r="D20" s="273"/>
      <c r="E20" s="279"/>
      <c r="F20" s="278"/>
      <c r="G20" s="273"/>
      <c r="H20" s="280"/>
      <c r="I20" s="13"/>
      <c r="J20" s="13"/>
      <c r="K20" s="13"/>
      <c r="L20" s="13"/>
      <c r="M20" s="13"/>
      <c r="N20" s="13"/>
      <c r="O20" s="13"/>
      <c r="P20" s="13"/>
      <c r="Q20" s="278"/>
      <c r="R20" s="273"/>
      <c r="S20" s="273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4"/>
    </row>
    <row r="21" spans="1:32" ht="7.5" customHeight="1">
      <c r="A21" s="1"/>
      <c r="B21" s="273"/>
      <c r="C21" s="273"/>
      <c r="D21" s="273"/>
      <c r="E21" s="273"/>
      <c r="F21" s="273"/>
      <c r="G21" s="273"/>
      <c r="H21" s="273"/>
      <c r="I21" s="13"/>
      <c r="J21" s="13"/>
      <c r="K21" s="13"/>
      <c r="L21" s="13"/>
      <c r="M21" s="13"/>
      <c r="N21" s="13"/>
      <c r="O21" s="13"/>
      <c r="P21" s="13"/>
      <c r="Q21" s="273"/>
      <c r="R21" s="273"/>
      <c r="S21" s="273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4"/>
    </row>
    <row r="22" spans="1:32" ht="7.5" customHeight="1">
      <c r="A22" s="1"/>
      <c r="B22" s="279"/>
      <c r="C22" s="278"/>
      <c r="D22" s="273"/>
      <c r="E22" s="279"/>
      <c r="F22" s="278"/>
      <c r="G22" s="273"/>
      <c r="H22" s="280"/>
      <c r="I22" s="13"/>
      <c r="J22" s="13"/>
      <c r="K22" s="13"/>
      <c r="L22" s="13"/>
      <c r="M22" s="13"/>
      <c r="N22" s="13"/>
      <c r="O22" s="13"/>
      <c r="P22" s="13"/>
      <c r="Q22" s="279"/>
      <c r="R22" s="273"/>
      <c r="S22" s="273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4"/>
    </row>
    <row r="23" spans="1:32" ht="7.5" customHeight="1">
      <c r="A23" s="1"/>
      <c r="B23" s="273"/>
      <c r="C23" s="273"/>
      <c r="D23" s="273"/>
      <c r="E23" s="273"/>
      <c r="F23" s="273"/>
      <c r="G23" s="273"/>
      <c r="H23" s="273"/>
      <c r="I23" s="13"/>
      <c r="J23" s="13"/>
      <c r="K23" s="13"/>
      <c r="L23" s="13"/>
      <c r="M23" s="13"/>
      <c r="N23" s="13"/>
      <c r="O23" s="13"/>
      <c r="P23" s="13"/>
      <c r="Q23" s="273"/>
      <c r="R23" s="273"/>
      <c r="S23" s="273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4"/>
    </row>
    <row r="24" spans="1:32" ht="7.5" customHeight="1">
      <c r="A24" s="1"/>
      <c r="B24" s="294" t="s">
        <v>3</v>
      </c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/>
    </row>
    <row r="25" spans="1:32" ht="7.5" customHeight="1">
      <c r="A25" s="1"/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7"/>
    </row>
    <row r="26" spans="1:32" ht="7.5" customHeight="1">
      <c r="A26" s="1"/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7"/>
    </row>
    <row r="27" spans="1:32" ht="7.5" customHeight="1">
      <c r="A27" s="1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7"/>
    </row>
    <row r="28" spans="1:32" ht="7.5" customHeight="1">
      <c r="A28" s="1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7"/>
    </row>
    <row r="29" spans="1:32" ht="7.5" customHeight="1">
      <c r="A29" s="1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4"/>
    </row>
    <row r="30" spans="1:32" ht="7.5" customHeight="1">
      <c r="A30" s="1"/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4"/>
    </row>
    <row r="31" spans="1:32" ht="7.5" customHeight="1">
      <c r="A31" s="1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4"/>
    </row>
    <row r="32" spans="1:32" ht="7.5" customHeight="1">
      <c r="A32" s="1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4"/>
    </row>
    <row r="33" spans="1:32" ht="7.5" customHeight="1">
      <c r="A33" s="1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4"/>
    </row>
    <row r="34" spans="1:32" ht="7.5" customHeight="1">
      <c r="A34" s="1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4"/>
    </row>
    <row r="35" spans="1:32" ht="7.5" customHeight="1">
      <c r="A35" s="1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4"/>
    </row>
    <row r="36" spans="1:32" ht="7.5" customHeight="1">
      <c r="A36" s="1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7"/>
    </row>
    <row r="37" spans="1:32" ht="7.5" customHeight="1">
      <c r="A37" s="1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7"/>
    </row>
    <row r="38" spans="1:32" ht="7.5" customHeight="1">
      <c r="A38" s="1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7"/>
    </row>
    <row r="39" spans="1:32" ht="7.5" customHeight="1">
      <c r="A39" s="1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7"/>
    </row>
    <row r="40" spans="1:32" ht="7.5" customHeight="1">
      <c r="A40" s="1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7"/>
    </row>
    <row r="41" spans="1:32" ht="7.5" customHeight="1">
      <c r="A41" s="1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7"/>
    </row>
    <row r="42" spans="1:32" ht="7.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7"/>
    </row>
    <row r="43" spans="1:32" ht="7.5" customHeight="1">
      <c r="A43" s="1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7"/>
    </row>
    <row r="44" spans="1:32" ht="7.5" customHeight="1">
      <c r="A44" s="1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7"/>
    </row>
    <row r="45" spans="1:32" ht="7.5" customHeight="1">
      <c r="A45" s="1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7"/>
    </row>
    <row r="46" spans="1:32" ht="7.5" customHeight="1">
      <c r="A46" s="1"/>
      <c r="B46" s="30"/>
      <c r="C46" s="19"/>
      <c r="D46" s="19"/>
      <c r="E46" s="18"/>
      <c r="F46" s="19"/>
      <c r="G46" s="19"/>
      <c r="H46" s="19"/>
      <c r="I46" s="18"/>
      <c r="J46" s="18"/>
      <c r="K46" s="18"/>
      <c r="L46" s="18"/>
      <c r="M46" s="18"/>
      <c r="N46" s="18"/>
      <c r="O46" s="18"/>
      <c r="P46" s="18"/>
      <c r="Q46" s="31"/>
      <c r="R46" s="32"/>
      <c r="S46" s="19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7"/>
    </row>
    <row r="47" spans="1:32" ht="7.5" customHeight="1">
      <c r="A47" s="1"/>
      <c r="B47" s="30"/>
      <c r="C47" s="19"/>
      <c r="D47" s="19"/>
      <c r="E47" s="18"/>
      <c r="F47" s="19"/>
      <c r="G47" s="19"/>
      <c r="H47" s="19"/>
      <c r="I47" s="18"/>
      <c r="J47" s="18"/>
      <c r="K47" s="18"/>
      <c r="L47" s="18"/>
      <c r="M47" s="18"/>
      <c r="N47" s="18"/>
      <c r="O47" s="18"/>
      <c r="P47" s="18"/>
      <c r="Q47" s="31"/>
      <c r="R47" s="32"/>
      <c r="S47" s="19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7"/>
    </row>
    <row r="48" spans="1:32" ht="7.5" customHeight="1">
      <c r="A48" s="1"/>
      <c r="B48" s="30"/>
      <c r="C48" s="19"/>
      <c r="D48" s="19"/>
      <c r="E48" s="18"/>
      <c r="F48" s="19"/>
      <c r="G48" s="19"/>
      <c r="H48" s="19"/>
      <c r="I48" s="18"/>
      <c r="J48" s="18"/>
      <c r="K48" s="18"/>
      <c r="L48" s="18"/>
      <c r="M48" s="18"/>
      <c r="N48" s="18"/>
      <c r="O48" s="18"/>
      <c r="P48" s="18"/>
      <c r="Q48" s="31"/>
      <c r="R48" s="32"/>
      <c r="S48" s="19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7"/>
    </row>
    <row r="49" spans="1:32" ht="7.5" customHeight="1">
      <c r="A49" s="1"/>
      <c r="B49" s="30"/>
      <c r="C49" s="19"/>
      <c r="D49" s="19"/>
      <c r="E49" s="18"/>
      <c r="F49" s="19"/>
      <c r="G49" s="19"/>
      <c r="H49" s="19"/>
      <c r="I49" s="18"/>
      <c r="J49" s="18"/>
      <c r="K49" s="18"/>
      <c r="L49" s="18"/>
      <c r="M49" s="18"/>
      <c r="N49" s="18"/>
      <c r="O49" s="18"/>
      <c r="P49" s="18"/>
      <c r="Q49" s="31"/>
      <c r="R49" s="32"/>
      <c r="S49" s="19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7"/>
    </row>
    <row r="50" spans="1:32" ht="7.5" customHeight="1">
      <c r="A50" s="1"/>
      <c r="B50" s="30"/>
      <c r="C50" s="19"/>
      <c r="D50" s="19"/>
      <c r="E50" s="18"/>
      <c r="F50" s="19"/>
      <c r="G50" s="19"/>
      <c r="H50" s="19"/>
      <c r="I50" s="18"/>
      <c r="J50" s="18"/>
      <c r="K50" s="18"/>
      <c r="L50" s="18"/>
      <c r="M50" s="18"/>
      <c r="N50" s="18"/>
      <c r="O50" s="18"/>
      <c r="P50" s="18"/>
      <c r="Q50" s="31"/>
      <c r="R50" s="32"/>
      <c r="S50" s="19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7"/>
    </row>
    <row r="51" spans="1:32" ht="7.5" customHeight="1">
      <c r="A51" s="1"/>
      <c r="B51" s="30"/>
      <c r="C51" s="279"/>
      <c r="D51" s="273"/>
      <c r="E51" s="279"/>
      <c r="F51" s="278"/>
      <c r="G51" s="273"/>
      <c r="H51" s="273"/>
      <c r="I51" s="279"/>
      <c r="J51" s="18"/>
      <c r="K51" s="18"/>
      <c r="L51" s="18"/>
      <c r="M51" s="18"/>
      <c r="N51" s="18"/>
      <c r="O51" s="18"/>
      <c r="P51" s="18"/>
      <c r="Q51" s="292"/>
      <c r="R51" s="293"/>
      <c r="S51" s="278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7"/>
    </row>
    <row r="52" spans="1:32" ht="7.5" customHeight="1">
      <c r="A52" s="1"/>
      <c r="B52" s="30"/>
      <c r="C52" s="273"/>
      <c r="D52" s="273"/>
      <c r="E52" s="273"/>
      <c r="F52" s="273"/>
      <c r="G52" s="273"/>
      <c r="H52" s="273"/>
      <c r="I52" s="273"/>
      <c r="J52" s="18"/>
      <c r="K52" s="18"/>
      <c r="L52" s="18"/>
      <c r="M52" s="18"/>
      <c r="N52" s="18"/>
      <c r="O52" s="18"/>
      <c r="P52" s="18"/>
      <c r="Q52" s="273"/>
      <c r="R52" s="273"/>
      <c r="S52" s="273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7"/>
    </row>
    <row r="53" spans="1:32" ht="7.5" customHeight="1">
      <c r="A53" s="1"/>
      <c r="B53" s="30"/>
      <c r="C53" s="279"/>
      <c r="D53" s="273"/>
      <c r="E53" s="279"/>
      <c r="F53" s="278"/>
      <c r="G53" s="273"/>
      <c r="H53" s="273"/>
      <c r="I53" s="279"/>
      <c r="J53" s="18"/>
      <c r="K53" s="18"/>
      <c r="L53" s="18"/>
      <c r="M53" s="18"/>
      <c r="N53" s="18"/>
      <c r="O53" s="18"/>
      <c r="P53" s="18"/>
      <c r="Q53" s="292"/>
      <c r="R53" s="293"/>
      <c r="S53" s="278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7"/>
    </row>
    <row r="54" spans="1:32" ht="7.5" customHeight="1">
      <c r="A54" s="1"/>
      <c r="B54" s="30"/>
      <c r="C54" s="273"/>
      <c r="D54" s="273"/>
      <c r="E54" s="273"/>
      <c r="F54" s="273"/>
      <c r="G54" s="273"/>
      <c r="H54" s="273"/>
      <c r="I54" s="273"/>
      <c r="J54" s="18"/>
      <c r="K54" s="18"/>
      <c r="L54" s="18"/>
      <c r="M54" s="18"/>
      <c r="N54" s="18"/>
      <c r="O54" s="18"/>
      <c r="P54" s="18"/>
      <c r="Q54" s="273"/>
      <c r="R54" s="273"/>
      <c r="S54" s="273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7"/>
    </row>
    <row r="55" spans="1:32" ht="7.5" customHeight="1">
      <c r="A55" s="1"/>
      <c r="B55" s="33" t="s">
        <v>4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7"/>
    </row>
    <row r="56" spans="1:32" ht="7.5" customHeight="1">
      <c r="A56" s="1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7"/>
    </row>
    <row r="57" spans="1:32" ht="7.5" customHeight="1">
      <c r="A57" s="1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7"/>
    </row>
    <row r="58" spans="1:32" ht="7.5" customHeight="1">
      <c r="A58" s="1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7"/>
    </row>
    <row r="59" spans="1:32" ht="11.25" customHeight="1">
      <c r="A59" s="1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4"/>
    </row>
    <row r="60" spans="1:32" ht="11.25" customHeight="1">
      <c r="A60" s="1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7"/>
    </row>
    <row r="61" spans="1:32" ht="11.25" customHeight="1">
      <c r="A61" s="1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4"/>
    </row>
  </sheetData>
  <sheetProtection password="FB1E" sheet="1" objects="1" scenarios="1"/>
  <mergeCells count="84">
    <mergeCell ref="E18:E19"/>
    <mergeCell ref="B14:B15"/>
    <mergeCell ref="B16:B17"/>
    <mergeCell ref="F18:G19"/>
    <mergeCell ref="C16:D17"/>
    <mergeCell ref="E16:E17"/>
    <mergeCell ref="C14:D15"/>
    <mergeCell ref="E14:E15"/>
    <mergeCell ref="F16:G17"/>
    <mergeCell ref="H18:H19"/>
    <mergeCell ref="E22:E23"/>
    <mergeCell ref="F22:G23"/>
    <mergeCell ref="B24:S39"/>
    <mergeCell ref="B20:B21"/>
    <mergeCell ref="C20:D21"/>
    <mergeCell ref="E20:E21"/>
    <mergeCell ref="F20:G21"/>
    <mergeCell ref="H20:H21"/>
    <mergeCell ref="B22:B23"/>
    <mergeCell ref="C22:D23"/>
    <mergeCell ref="H22:H23"/>
    <mergeCell ref="Q20:S21"/>
    <mergeCell ref="Q22:S23"/>
    <mergeCell ref="B18:B19"/>
    <mergeCell ref="C18:D19"/>
    <mergeCell ref="H16:H17"/>
    <mergeCell ref="E12:E13"/>
    <mergeCell ref="F12:G13"/>
    <mergeCell ref="H12:H13"/>
    <mergeCell ref="F14:G15"/>
    <mergeCell ref="H14:H15"/>
    <mergeCell ref="Q53:Q54"/>
    <mergeCell ref="R53:R54"/>
    <mergeCell ref="S53:S54"/>
    <mergeCell ref="C51:D52"/>
    <mergeCell ref="E51:E52"/>
    <mergeCell ref="F51:H52"/>
    <mergeCell ref="I51:I52"/>
    <mergeCell ref="Q51:Q52"/>
    <mergeCell ref="R51:R52"/>
    <mergeCell ref="S51:S52"/>
    <mergeCell ref="C53:D54"/>
    <mergeCell ref="E53:E54"/>
    <mergeCell ref="F53:H54"/>
    <mergeCell ref="I53:I54"/>
    <mergeCell ref="H8:H9"/>
    <mergeCell ref="W8:AC11"/>
    <mergeCell ref="F10:G11"/>
    <mergeCell ref="H10:H11"/>
    <mergeCell ref="Q8:S9"/>
    <mergeCell ref="Q10:S11"/>
    <mergeCell ref="Q12:S13"/>
    <mergeCell ref="U12:AE17"/>
    <mergeCell ref="Q14:S15"/>
    <mergeCell ref="Q16:S17"/>
    <mergeCell ref="Q18:S19"/>
    <mergeCell ref="B8:B9"/>
    <mergeCell ref="A9:A12"/>
    <mergeCell ref="B10:B11"/>
    <mergeCell ref="B12:B13"/>
    <mergeCell ref="F4:G5"/>
    <mergeCell ref="B4:B5"/>
    <mergeCell ref="F6:G7"/>
    <mergeCell ref="F8:G9"/>
    <mergeCell ref="C12:D13"/>
    <mergeCell ref="C6:D7"/>
    <mergeCell ref="E6:E7"/>
    <mergeCell ref="C8:D9"/>
    <mergeCell ref="E8:E9"/>
    <mergeCell ref="C10:D11"/>
    <mergeCell ref="E10:E11"/>
    <mergeCell ref="B1:C1"/>
    <mergeCell ref="U2:AE2"/>
    <mergeCell ref="A3:A4"/>
    <mergeCell ref="U3:AE7"/>
    <mergeCell ref="C4:D5"/>
    <mergeCell ref="E4:E5"/>
    <mergeCell ref="A5:A7"/>
    <mergeCell ref="Q6:S7"/>
    <mergeCell ref="B6:B7"/>
    <mergeCell ref="H4:H5"/>
    <mergeCell ref="I4:I5"/>
    <mergeCell ref="Q4:S5"/>
    <mergeCell ref="H6:H7"/>
  </mergeCells>
  <pageMargins left="0.78740157480314954" right="0.75590551181102361" top="0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976"/>
  <sheetViews>
    <sheetView showGridLines="0" topLeftCell="B1" workbookViewId="0">
      <selection activeCell="I10" sqref="I10:I11"/>
    </sheetView>
  </sheetViews>
  <sheetFormatPr defaultColWidth="14.42578125" defaultRowHeight="15" customHeight="1"/>
  <cols>
    <col min="1" max="1" width="12.85546875" style="73" hidden="1" customWidth="1"/>
    <col min="2" max="3" width="14.28515625" style="73" customWidth="1"/>
    <col min="4" max="4" width="11.42578125" style="73" customWidth="1"/>
    <col min="5" max="5" width="6" style="73" customWidth="1"/>
    <col min="6" max="6" width="10" style="73" hidden="1" customWidth="1"/>
    <col min="7" max="7" width="9.7109375" style="73" customWidth="1"/>
    <col min="8" max="8" width="9.7109375" style="73" hidden="1" customWidth="1"/>
    <col min="9" max="9" width="9.7109375" style="73" customWidth="1"/>
    <col min="10" max="10" width="9.7109375" style="73" hidden="1" customWidth="1"/>
    <col min="11" max="11" width="9.7109375" style="73" customWidth="1"/>
    <col min="12" max="12" width="9.7109375" style="73" hidden="1" customWidth="1"/>
    <col min="13" max="13" width="9.7109375" style="73" customWidth="1"/>
    <col min="14" max="14" width="9.7109375" style="73" hidden="1" customWidth="1"/>
    <col min="15" max="15" width="9.7109375" style="73" customWidth="1"/>
    <col min="16" max="16" width="9.7109375" style="73" hidden="1" customWidth="1"/>
    <col min="17" max="17" width="9.7109375" style="73" customWidth="1"/>
    <col min="18" max="18" width="2" style="73" customWidth="1"/>
    <col min="19" max="19" width="32.7109375" style="73" customWidth="1"/>
    <col min="20" max="20" width="61.5703125" style="73" hidden="1" customWidth="1"/>
    <col min="21" max="16384" width="14.42578125" style="73"/>
  </cols>
  <sheetData>
    <row r="1" spans="1:20" ht="61.5" customHeight="1">
      <c r="A1" s="70"/>
      <c r="B1" s="331"/>
      <c r="C1" s="31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310" t="s">
        <v>5</v>
      </c>
      <c r="P1" s="311"/>
      <c r="Q1" s="311"/>
      <c r="R1" s="311"/>
      <c r="S1" s="311"/>
      <c r="T1" s="72"/>
    </row>
    <row r="2" spans="1:20" ht="34.5" customHeight="1">
      <c r="A2" s="70"/>
      <c r="B2" s="74" t="s">
        <v>6</v>
      </c>
      <c r="C2" s="74" t="s">
        <v>7</v>
      </c>
      <c r="D2" s="74" t="s">
        <v>8</v>
      </c>
      <c r="E2" s="74" t="s">
        <v>9</v>
      </c>
      <c r="F2" s="75" t="s">
        <v>10</v>
      </c>
      <c r="G2" s="74" t="s">
        <v>11</v>
      </c>
      <c r="H2" s="75" t="s">
        <v>10</v>
      </c>
      <c r="I2" s="74" t="s">
        <v>11</v>
      </c>
      <c r="J2" s="75" t="s">
        <v>10</v>
      </c>
      <c r="K2" s="74" t="s">
        <v>11</v>
      </c>
      <c r="L2" s="75" t="s">
        <v>10</v>
      </c>
      <c r="M2" s="74" t="s">
        <v>11</v>
      </c>
      <c r="N2" s="75" t="s">
        <v>10</v>
      </c>
      <c r="O2" s="74" t="s">
        <v>11</v>
      </c>
      <c r="P2" s="75" t="s">
        <v>10</v>
      </c>
      <c r="Q2" s="74" t="s">
        <v>11</v>
      </c>
      <c r="R2" s="328" t="s">
        <v>12</v>
      </c>
      <c r="S2" s="329"/>
      <c r="T2" s="76"/>
    </row>
    <row r="3" spans="1:20" ht="7.5" customHeight="1">
      <c r="A3" s="70"/>
      <c r="B3" s="333" t="s">
        <v>13</v>
      </c>
      <c r="C3" s="335" t="s">
        <v>14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330" t="s">
        <v>15</v>
      </c>
      <c r="S3" s="308" t="s">
        <v>16</v>
      </c>
      <c r="T3" s="72"/>
    </row>
    <row r="4" spans="1:20" ht="7.5" customHeight="1">
      <c r="A4" s="70"/>
      <c r="B4" s="299"/>
      <c r="C4" s="299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299"/>
      <c r="S4" s="299"/>
      <c r="T4" s="72"/>
    </row>
    <row r="5" spans="1:20" ht="7.5" customHeight="1">
      <c r="A5" s="70"/>
      <c r="B5" s="299"/>
      <c r="C5" s="299"/>
      <c r="D5" s="78"/>
      <c r="E5" s="78"/>
      <c r="F5" s="78"/>
      <c r="G5" s="78"/>
      <c r="H5" s="78"/>
      <c r="I5" s="307" t="s">
        <v>17</v>
      </c>
      <c r="J5" s="78"/>
      <c r="K5" s="307" t="s">
        <v>18</v>
      </c>
      <c r="L5" s="78"/>
      <c r="M5" s="307" t="s">
        <v>19</v>
      </c>
      <c r="N5" s="79"/>
      <c r="O5" s="307" t="s">
        <v>20</v>
      </c>
      <c r="P5" s="78"/>
      <c r="Q5" s="78"/>
      <c r="R5" s="80"/>
      <c r="S5" s="299"/>
      <c r="T5" s="72"/>
    </row>
    <row r="6" spans="1:20" ht="7.5" customHeight="1">
      <c r="A6" s="70"/>
      <c r="B6" s="299"/>
      <c r="C6" s="299"/>
      <c r="D6" s="81"/>
      <c r="E6" s="81"/>
      <c r="F6" s="81"/>
      <c r="G6" s="81"/>
      <c r="H6" s="81"/>
      <c r="I6" s="299"/>
      <c r="J6" s="81"/>
      <c r="K6" s="299"/>
      <c r="L6" s="81"/>
      <c r="M6" s="299"/>
      <c r="N6" s="79"/>
      <c r="O6" s="299"/>
      <c r="P6" s="81"/>
      <c r="Q6" s="81"/>
      <c r="R6" s="82"/>
      <c r="S6" s="299"/>
      <c r="T6" s="72"/>
    </row>
    <row r="7" spans="1:20" ht="7.5" customHeight="1">
      <c r="A7" s="70"/>
      <c r="B7" s="299"/>
      <c r="C7" s="299"/>
      <c r="D7" s="78"/>
      <c r="E7" s="78"/>
      <c r="F7" s="78"/>
      <c r="G7" s="78"/>
      <c r="H7" s="78"/>
      <c r="I7" s="299"/>
      <c r="J7" s="78"/>
      <c r="K7" s="299"/>
      <c r="L7" s="79"/>
      <c r="M7" s="299"/>
      <c r="N7" s="79"/>
      <c r="O7" s="299"/>
      <c r="P7" s="78"/>
      <c r="Q7" s="78"/>
      <c r="R7" s="80"/>
      <c r="S7" s="299"/>
      <c r="T7" s="72"/>
    </row>
    <row r="8" spans="1:20" ht="7.5" customHeight="1">
      <c r="A8" s="70"/>
      <c r="B8" s="299"/>
      <c r="C8" s="299"/>
      <c r="D8" s="82"/>
      <c r="E8" s="81"/>
      <c r="F8" s="81"/>
      <c r="G8" s="81"/>
      <c r="H8" s="81"/>
      <c r="I8" s="299"/>
      <c r="J8" s="81"/>
      <c r="K8" s="299"/>
      <c r="L8" s="79"/>
      <c r="M8" s="299"/>
      <c r="N8" s="79"/>
      <c r="O8" s="299"/>
      <c r="P8" s="81"/>
      <c r="Q8" s="81"/>
      <c r="R8" s="298"/>
      <c r="S8" s="299"/>
      <c r="T8" s="72"/>
    </row>
    <row r="9" spans="1:20" ht="7.5" customHeight="1">
      <c r="A9" s="70"/>
      <c r="B9" s="299"/>
      <c r="C9" s="299"/>
      <c r="D9" s="82"/>
      <c r="E9" s="81"/>
      <c r="F9" s="81"/>
      <c r="G9" s="81"/>
      <c r="H9" s="81"/>
      <c r="I9" s="296"/>
      <c r="J9" s="81"/>
      <c r="K9" s="296"/>
      <c r="L9" s="81"/>
      <c r="M9" s="296"/>
      <c r="N9" s="81"/>
      <c r="O9" s="296"/>
      <c r="P9" s="81"/>
      <c r="Q9" s="81"/>
      <c r="R9" s="299"/>
      <c r="S9" s="299"/>
      <c r="T9" s="72"/>
    </row>
    <row r="10" spans="1:20" ht="7.5" customHeight="1">
      <c r="A10" s="70"/>
      <c r="B10" s="299"/>
      <c r="C10" s="299"/>
      <c r="D10" s="327" t="s">
        <v>21</v>
      </c>
      <c r="E10" s="295" t="s">
        <v>22</v>
      </c>
      <c r="F10" s="83"/>
      <c r="G10" s="295" t="s">
        <v>22</v>
      </c>
      <c r="H10" s="83"/>
      <c r="I10" s="295">
        <f>ROUND(K10*1.1,0)</f>
        <v>3276</v>
      </c>
      <c r="J10" s="312">
        <v>697.53410999999971</v>
      </c>
      <c r="K10" s="295">
        <f>ROUND(J10*mark_up,0)</f>
        <v>2978</v>
      </c>
      <c r="L10" s="83"/>
      <c r="M10" s="295">
        <f>ROUND((I10-K10)+O10,0)</f>
        <v>5658</v>
      </c>
      <c r="N10" s="83"/>
      <c r="O10" s="295">
        <f>ROUND(K10*1.8,0)</f>
        <v>5360</v>
      </c>
      <c r="P10" s="83"/>
      <c r="Q10" s="295" t="s">
        <v>22</v>
      </c>
      <c r="R10" s="82"/>
      <c r="S10" s="299"/>
      <c r="T10" s="72"/>
    </row>
    <row r="11" spans="1:20" ht="13.5" customHeight="1">
      <c r="A11" s="70"/>
      <c r="B11" s="299"/>
      <c r="C11" s="299"/>
      <c r="D11" s="299"/>
      <c r="E11" s="296"/>
      <c r="F11" s="84"/>
      <c r="G11" s="296"/>
      <c r="H11" s="84"/>
      <c r="I11" s="296"/>
      <c r="J11" s="296"/>
      <c r="K11" s="296"/>
      <c r="L11" s="84"/>
      <c r="M11" s="296"/>
      <c r="N11" s="84"/>
      <c r="O11" s="296"/>
      <c r="P11" s="84"/>
      <c r="Q11" s="296"/>
      <c r="R11" s="82"/>
      <c r="S11" s="299"/>
      <c r="T11" s="72"/>
    </row>
    <row r="12" spans="1:20" ht="7.5" customHeight="1">
      <c r="A12" s="70"/>
      <c r="B12" s="299"/>
      <c r="C12" s="299"/>
      <c r="D12" s="327" t="s">
        <v>23</v>
      </c>
      <c r="E12" s="295" t="s">
        <v>22</v>
      </c>
      <c r="F12" s="295"/>
      <c r="G12" s="295" t="s">
        <v>22</v>
      </c>
      <c r="H12" s="295"/>
      <c r="I12" s="295">
        <f>ROUND(K12*1.1,0)</f>
        <v>3405</v>
      </c>
      <c r="J12" s="297">
        <f t="shared" ref="J12:K12" si="0">ROUND(J10*1.039325,0)</f>
        <v>725</v>
      </c>
      <c r="K12" s="295">
        <f t="shared" si="0"/>
        <v>3095</v>
      </c>
      <c r="L12" s="295"/>
      <c r="M12" s="295">
        <f>ROUND((I12-K12)+O12,0)</f>
        <v>5881</v>
      </c>
      <c r="N12" s="295"/>
      <c r="O12" s="295">
        <f>ROUND(K12*1.8,0)</f>
        <v>5571</v>
      </c>
      <c r="P12" s="295"/>
      <c r="Q12" s="295" t="s">
        <v>22</v>
      </c>
      <c r="R12" s="298" t="s">
        <v>15</v>
      </c>
      <c r="S12" s="325" t="s">
        <v>24</v>
      </c>
      <c r="T12" s="72"/>
    </row>
    <row r="13" spans="1:20" ht="7.5" customHeight="1">
      <c r="A13" s="70"/>
      <c r="B13" s="299"/>
      <c r="C13" s="299"/>
      <c r="D13" s="299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9"/>
      <c r="S13" s="299"/>
      <c r="T13" s="72"/>
    </row>
    <row r="14" spans="1:20" ht="7.5" customHeight="1">
      <c r="A14" s="70"/>
      <c r="B14" s="299"/>
      <c r="C14" s="299"/>
      <c r="D14" s="327" t="s">
        <v>25</v>
      </c>
      <c r="E14" s="295" t="s">
        <v>22</v>
      </c>
      <c r="F14" s="295"/>
      <c r="G14" s="295" t="s">
        <v>22</v>
      </c>
      <c r="H14" s="295"/>
      <c r="I14" s="295">
        <f>ROUND(K14*1.1,0)</f>
        <v>4252</v>
      </c>
      <c r="J14" s="297">
        <f t="shared" ref="J14:K14" si="1">ROUND(J10*1.2977528,0)</f>
        <v>905</v>
      </c>
      <c r="K14" s="295">
        <f t="shared" si="1"/>
        <v>3865</v>
      </c>
      <c r="L14" s="295"/>
      <c r="M14" s="295">
        <f>ROUND((I14-K14)+O14,0)</f>
        <v>7344</v>
      </c>
      <c r="N14" s="295"/>
      <c r="O14" s="295">
        <f>ROUND(K14*1.8,0)</f>
        <v>6957</v>
      </c>
      <c r="P14" s="295"/>
      <c r="Q14" s="295" t="s">
        <v>22</v>
      </c>
      <c r="R14" s="82"/>
      <c r="S14" s="299"/>
      <c r="T14" s="72"/>
    </row>
    <row r="15" spans="1:20" ht="7.5" customHeight="1">
      <c r="A15" s="70"/>
      <c r="B15" s="299"/>
      <c r="C15" s="299"/>
      <c r="D15" s="299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8" t="s">
        <v>15</v>
      </c>
      <c r="S15" s="325" t="s">
        <v>26</v>
      </c>
      <c r="T15" s="72"/>
    </row>
    <row r="16" spans="1:20" ht="7.5" customHeight="1">
      <c r="A16" s="70"/>
      <c r="B16" s="299"/>
      <c r="C16" s="299"/>
      <c r="D16" s="327" t="s">
        <v>27</v>
      </c>
      <c r="E16" s="295" t="s">
        <v>22</v>
      </c>
      <c r="F16" s="295"/>
      <c r="G16" s="295" t="s">
        <v>22</v>
      </c>
      <c r="H16" s="295"/>
      <c r="I16" s="295">
        <f>ROUND(K16*1.1,0)</f>
        <v>4370</v>
      </c>
      <c r="J16" s="297">
        <f t="shared" ref="J16:K16" si="2">ROUND(J10*1.33426,0)</f>
        <v>931</v>
      </c>
      <c r="K16" s="295">
        <f t="shared" si="2"/>
        <v>3973</v>
      </c>
      <c r="L16" s="295"/>
      <c r="M16" s="295">
        <f>ROUND((I16-K16)+O16,0)</f>
        <v>7548</v>
      </c>
      <c r="N16" s="295"/>
      <c r="O16" s="295">
        <f>ROUND(K16*1.8,0)</f>
        <v>7151</v>
      </c>
      <c r="P16" s="295"/>
      <c r="Q16" s="295" t="s">
        <v>22</v>
      </c>
      <c r="R16" s="299"/>
      <c r="S16" s="299"/>
      <c r="T16" s="72"/>
    </row>
    <row r="17" spans="1:20" ht="7.5" customHeight="1">
      <c r="A17" s="70"/>
      <c r="B17" s="299"/>
      <c r="C17" s="299"/>
      <c r="D17" s="299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85"/>
      <c r="S17" s="299"/>
      <c r="T17" s="72"/>
    </row>
    <row r="18" spans="1:20" ht="7.5" customHeight="1">
      <c r="A18" s="70"/>
      <c r="B18" s="299"/>
      <c r="C18" s="299"/>
      <c r="D18" s="327" t="s">
        <v>28</v>
      </c>
      <c r="E18" s="295" t="s">
        <v>22</v>
      </c>
      <c r="F18" s="295"/>
      <c r="G18" s="295" t="s">
        <v>22</v>
      </c>
      <c r="H18" s="295"/>
      <c r="I18" s="295">
        <f>ROUND(K18*1.1,0)</f>
        <v>5152</v>
      </c>
      <c r="J18" s="297">
        <f t="shared" ref="J18:K18" si="3">ROUND(J10*1.5730337,0)</f>
        <v>1097</v>
      </c>
      <c r="K18" s="295">
        <f t="shared" si="3"/>
        <v>4684</v>
      </c>
      <c r="L18" s="295"/>
      <c r="M18" s="295">
        <f>ROUND((I18-K18)+O18,0)</f>
        <v>8899</v>
      </c>
      <c r="N18" s="295"/>
      <c r="O18" s="295">
        <f>ROUND(K18*1.8,0)</f>
        <v>8431</v>
      </c>
      <c r="P18" s="295"/>
      <c r="Q18" s="295" t="s">
        <v>22</v>
      </c>
      <c r="R18" s="298" t="s">
        <v>15</v>
      </c>
      <c r="S18" s="325" t="s">
        <v>29</v>
      </c>
      <c r="T18" s="72"/>
    </row>
    <row r="19" spans="1:20" ht="7.5" customHeight="1">
      <c r="A19" s="70"/>
      <c r="B19" s="299"/>
      <c r="C19" s="299"/>
      <c r="D19" s="299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9"/>
      <c r="S19" s="299"/>
      <c r="T19" s="72"/>
    </row>
    <row r="20" spans="1:20" ht="7.5" customHeight="1">
      <c r="A20" s="70"/>
      <c r="B20" s="299"/>
      <c r="C20" s="299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298" t="s">
        <v>15</v>
      </c>
      <c r="S20" s="325" t="s">
        <v>30</v>
      </c>
      <c r="T20" s="72"/>
    </row>
    <row r="21" spans="1:20" ht="7.5" customHeight="1">
      <c r="A21" s="70"/>
      <c r="B21" s="299"/>
      <c r="C21" s="299"/>
      <c r="D21" s="87"/>
      <c r="E21" s="88"/>
      <c r="F21" s="88"/>
      <c r="G21" s="89"/>
      <c r="H21" s="89"/>
      <c r="I21" s="89"/>
      <c r="J21" s="89"/>
      <c r="K21" s="89"/>
      <c r="L21" s="89"/>
      <c r="M21" s="90"/>
      <c r="N21" s="90"/>
      <c r="O21" s="90"/>
      <c r="P21" s="90"/>
      <c r="Q21" s="90"/>
      <c r="R21" s="299"/>
      <c r="S21" s="299"/>
      <c r="T21" s="72"/>
    </row>
    <row r="22" spans="1:20" ht="7.5" customHeight="1">
      <c r="A22" s="70"/>
      <c r="B22" s="299"/>
      <c r="C22" s="299"/>
      <c r="D22" s="87"/>
      <c r="E22" s="88"/>
      <c r="F22" s="88"/>
      <c r="G22" s="89"/>
      <c r="H22" s="89"/>
      <c r="I22" s="89"/>
      <c r="J22" s="89"/>
      <c r="K22" s="89"/>
      <c r="L22" s="89"/>
      <c r="M22" s="90"/>
      <c r="N22" s="90"/>
      <c r="O22" s="90"/>
      <c r="P22" s="90"/>
      <c r="Q22" s="90"/>
      <c r="R22" s="298" t="s">
        <v>15</v>
      </c>
      <c r="S22" s="326" t="s">
        <v>31</v>
      </c>
      <c r="T22" s="72"/>
    </row>
    <row r="23" spans="1:20" ht="7.5" customHeight="1">
      <c r="A23" s="70"/>
      <c r="B23" s="299"/>
      <c r="C23" s="299"/>
      <c r="D23" s="87"/>
      <c r="E23" s="88"/>
      <c r="F23" s="88"/>
      <c r="G23" s="89"/>
      <c r="H23" s="89"/>
      <c r="I23" s="89"/>
      <c r="J23" s="89"/>
      <c r="K23" s="89"/>
      <c r="L23" s="89"/>
      <c r="M23" s="90"/>
      <c r="N23" s="90"/>
      <c r="O23" s="90"/>
      <c r="P23" s="90"/>
      <c r="Q23" s="90"/>
      <c r="R23" s="299"/>
      <c r="S23" s="299"/>
      <c r="T23" s="72"/>
    </row>
    <row r="24" spans="1:20" ht="7.5" customHeight="1">
      <c r="A24" s="70"/>
      <c r="B24" s="299"/>
      <c r="C24" s="299"/>
      <c r="D24" s="87"/>
      <c r="E24" s="88"/>
      <c r="F24" s="88"/>
      <c r="G24" s="89"/>
      <c r="H24" s="89"/>
      <c r="I24" s="89"/>
      <c r="J24" s="89"/>
      <c r="K24" s="89"/>
      <c r="L24" s="89"/>
      <c r="M24" s="90"/>
      <c r="N24" s="90"/>
      <c r="O24" s="90"/>
      <c r="P24" s="90"/>
      <c r="Q24" s="90"/>
      <c r="R24" s="82"/>
      <c r="S24" s="299"/>
      <c r="T24" s="72"/>
    </row>
    <row r="25" spans="1:20" ht="7.5" customHeight="1">
      <c r="A25" s="70"/>
      <c r="B25" s="299"/>
      <c r="C25" s="334" t="s">
        <v>32</v>
      </c>
      <c r="D25" s="87"/>
      <c r="E25" s="88"/>
      <c r="F25" s="88"/>
      <c r="G25" s="89"/>
      <c r="H25" s="89"/>
      <c r="I25" s="89"/>
      <c r="J25" s="89"/>
      <c r="K25" s="89"/>
      <c r="L25" s="89"/>
      <c r="M25" s="90"/>
      <c r="N25" s="90"/>
      <c r="O25" s="90"/>
      <c r="P25" s="90"/>
      <c r="Q25" s="90"/>
      <c r="R25" s="91"/>
      <c r="S25" s="92"/>
      <c r="T25" s="72"/>
    </row>
    <row r="26" spans="1:20" ht="7.5" customHeight="1">
      <c r="A26" s="70"/>
      <c r="B26" s="299"/>
      <c r="C26" s="299"/>
      <c r="D26" s="87"/>
      <c r="E26" s="88"/>
      <c r="F26" s="88"/>
      <c r="G26" s="89"/>
      <c r="H26" s="89"/>
      <c r="I26" s="89"/>
      <c r="J26" s="89"/>
      <c r="K26" s="89"/>
      <c r="L26" s="89"/>
      <c r="M26" s="90"/>
      <c r="N26" s="90"/>
      <c r="O26" s="90"/>
      <c r="P26" s="90"/>
      <c r="Q26" s="90"/>
      <c r="R26" s="91"/>
      <c r="S26" s="92"/>
      <c r="T26" s="72"/>
    </row>
    <row r="27" spans="1:20" ht="7.5" customHeight="1">
      <c r="A27" s="70"/>
      <c r="B27" s="311"/>
      <c r="C27" s="31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93"/>
      <c r="R27" s="94"/>
      <c r="S27" s="95"/>
      <c r="T27" s="72"/>
    </row>
    <row r="28" spans="1:20" ht="7.5" customHeight="1">
      <c r="A28" s="70"/>
      <c r="B28" s="333" t="s">
        <v>13</v>
      </c>
      <c r="C28" s="335" t="s">
        <v>33</v>
      </c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81"/>
      <c r="R28" s="298" t="s">
        <v>15</v>
      </c>
      <c r="S28" s="325" t="s">
        <v>34</v>
      </c>
      <c r="T28" s="72"/>
    </row>
    <row r="29" spans="1:20" ht="7.5" customHeight="1">
      <c r="A29" s="70"/>
      <c r="B29" s="299"/>
      <c r="C29" s="299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299"/>
      <c r="S29" s="299"/>
      <c r="T29" s="72"/>
    </row>
    <row r="30" spans="1:20" ht="7.5" customHeight="1">
      <c r="A30" s="70"/>
      <c r="B30" s="299"/>
      <c r="C30" s="299"/>
      <c r="D30" s="78"/>
      <c r="E30" s="78"/>
      <c r="F30" s="78"/>
      <c r="G30" s="78"/>
      <c r="H30" s="78"/>
      <c r="I30" s="307" t="s">
        <v>35</v>
      </c>
      <c r="J30" s="78"/>
      <c r="K30" s="307" t="s">
        <v>36</v>
      </c>
      <c r="L30" s="78"/>
      <c r="M30" s="307" t="s">
        <v>19</v>
      </c>
      <c r="N30" s="78"/>
      <c r="O30" s="307" t="s">
        <v>20</v>
      </c>
      <c r="P30" s="78"/>
      <c r="Q30" s="78"/>
      <c r="R30" s="85"/>
      <c r="S30" s="299"/>
      <c r="T30" s="72"/>
    </row>
    <row r="31" spans="1:20" ht="7.5" customHeight="1">
      <c r="A31" s="70"/>
      <c r="B31" s="299"/>
      <c r="C31" s="299"/>
      <c r="D31" s="78"/>
      <c r="E31" s="78"/>
      <c r="F31" s="78"/>
      <c r="G31" s="78"/>
      <c r="H31" s="78"/>
      <c r="I31" s="299"/>
      <c r="J31" s="78"/>
      <c r="K31" s="299"/>
      <c r="L31" s="79"/>
      <c r="M31" s="299"/>
      <c r="N31" s="78"/>
      <c r="O31" s="299"/>
      <c r="P31" s="78"/>
      <c r="Q31" s="78"/>
      <c r="R31" s="80"/>
      <c r="S31" s="299"/>
      <c r="T31" s="72"/>
    </row>
    <row r="32" spans="1:20" ht="7.5" customHeight="1">
      <c r="A32" s="70"/>
      <c r="B32" s="299"/>
      <c r="C32" s="299"/>
      <c r="D32" s="82"/>
      <c r="E32" s="81"/>
      <c r="F32" s="81"/>
      <c r="G32" s="81"/>
      <c r="H32" s="81"/>
      <c r="I32" s="299"/>
      <c r="J32" s="81"/>
      <c r="K32" s="299"/>
      <c r="L32" s="79"/>
      <c r="M32" s="299"/>
      <c r="N32" s="81"/>
      <c r="O32" s="299"/>
      <c r="P32" s="81"/>
      <c r="Q32" s="81"/>
      <c r="R32" s="82"/>
      <c r="S32" s="299"/>
      <c r="T32" s="72"/>
    </row>
    <row r="33" spans="1:20" ht="7.5" customHeight="1">
      <c r="A33" s="70"/>
      <c r="B33" s="299"/>
      <c r="C33" s="299"/>
      <c r="D33" s="82"/>
      <c r="E33" s="81"/>
      <c r="F33" s="81"/>
      <c r="G33" s="81"/>
      <c r="H33" s="81"/>
      <c r="I33" s="296"/>
      <c r="J33" s="81"/>
      <c r="K33" s="296"/>
      <c r="L33" s="81"/>
      <c r="M33" s="296"/>
      <c r="N33" s="81"/>
      <c r="O33" s="296"/>
      <c r="P33" s="81"/>
      <c r="Q33" s="81"/>
      <c r="R33" s="80"/>
      <c r="S33" s="299"/>
      <c r="T33" s="72"/>
    </row>
    <row r="34" spans="1:20" ht="7.5" customHeight="1">
      <c r="A34" s="70"/>
      <c r="B34" s="299"/>
      <c r="C34" s="299"/>
      <c r="D34" s="327" t="s">
        <v>37</v>
      </c>
      <c r="E34" s="307" t="s">
        <v>22</v>
      </c>
      <c r="F34" s="83"/>
      <c r="G34" s="295" t="s">
        <v>22</v>
      </c>
      <c r="H34" s="83"/>
      <c r="I34" s="295">
        <f>ROUND(K34*1.1,0)</f>
        <v>9110</v>
      </c>
      <c r="J34" s="312">
        <v>1939.5718874999995</v>
      </c>
      <c r="K34" s="295">
        <f>ROUND(J34*mark_up,0)</f>
        <v>8282</v>
      </c>
      <c r="L34" s="83"/>
      <c r="M34" s="295">
        <f>ROUND((I34-K34)+O34,0)</f>
        <v>16556</v>
      </c>
      <c r="N34" s="83"/>
      <c r="O34" s="295">
        <f>ROUND(K34*1.8990918,0)</f>
        <v>15728</v>
      </c>
      <c r="P34" s="83"/>
      <c r="Q34" s="295" t="s">
        <v>22</v>
      </c>
      <c r="R34" s="82"/>
      <c r="S34" s="299"/>
      <c r="T34" s="72"/>
    </row>
    <row r="35" spans="1:20" ht="7.5" customHeight="1">
      <c r="A35" s="70"/>
      <c r="B35" s="299"/>
      <c r="C35" s="299"/>
      <c r="D35" s="299"/>
      <c r="E35" s="299"/>
      <c r="F35" s="84"/>
      <c r="G35" s="296"/>
      <c r="H35" s="84"/>
      <c r="I35" s="296"/>
      <c r="J35" s="296"/>
      <c r="K35" s="296"/>
      <c r="L35" s="84"/>
      <c r="M35" s="296"/>
      <c r="N35" s="84"/>
      <c r="O35" s="296"/>
      <c r="P35" s="84"/>
      <c r="Q35" s="296"/>
      <c r="R35" s="82"/>
      <c r="S35" s="299"/>
      <c r="T35" s="72"/>
    </row>
    <row r="36" spans="1:20" ht="7.5" customHeight="1">
      <c r="A36" s="70"/>
      <c r="B36" s="299"/>
      <c r="C36" s="299"/>
      <c r="D36" s="82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298" t="s">
        <v>15</v>
      </c>
      <c r="S36" s="325" t="s">
        <v>38</v>
      </c>
      <c r="T36" s="72"/>
    </row>
    <row r="37" spans="1:20" ht="7.5" customHeight="1">
      <c r="A37" s="70"/>
      <c r="B37" s="299"/>
      <c r="C37" s="299"/>
      <c r="D37" s="327" t="s">
        <v>39</v>
      </c>
      <c r="E37" s="307" t="s">
        <v>22</v>
      </c>
      <c r="F37" s="295"/>
      <c r="G37" s="295" t="s">
        <v>22</v>
      </c>
      <c r="H37" s="295"/>
      <c r="I37" s="295">
        <f>ROUND(K37*1.1,0)</f>
        <v>10043</v>
      </c>
      <c r="J37" s="297">
        <f t="shared" ref="J37:K37" si="4">ROUND(J34*1.10241,0)</f>
        <v>2138</v>
      </c>
      <c r="K37" s="295">
        <f t="shared" si="4"/>
        <v>9130</v>
      </c>
      <c r="L37" s="295"/>
      <c r="M37" s="295">
        <f>ROUND((I37-K37)+O37,0)</f>
        <v>18252</v>
      </c>
      <c r="N37" s="295"/>
      <c r="O37" s="295">
        <f>ROUND(K37*1.8990918,0)</f>
        <v>17339</v>
      </c>
      <c r="P37" s="295"/>
      <c r="Q37" s="295" t="s">
        <v>22</v>
      </c>
      <c r="R37" s="299"/>
      <c r="S37" s="299"/>
      <c r="T37" s="72"/>
    </row>
    <row r="38" spans="1:20" ht="7.5" customHeight="1">
      <c r="A38" s="70"/>
      <c r="B38" s="299"/>
      <c r="C38" s="334" t="s">
        <v>40</v>
      </c>
      <c r="D38" s="299"/>
      <c r="E38" s="299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82"/>
      <c r="S38" s="299"/>
      <c r="T38" s="72"/>
    </row>
    <row r="39" spans="1:20" ht="7.5" customHeight="1">
      <c r="A39" s="70"/>
      <c r="B39" s="299"/>
      <c r="C39" s="299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298" t="s">
        <v>15</v>
      </c>
      <c r="S39" s="304" t="s">
        <v>24</v>
      </c>
      <c r="T39" s="72"/>
    </row>
    <row r="40" spans="1:20" ht="7.5" customHeight="1">
      <c r="A40" s="70"/>
      <c r="B40" s="299"/>
      <c r="C40" s="299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299"/>
      <c r="S40" s="299"/>
      <c r="T40" s="72"/>
    </row>
    <row r="41" spans="1:20" ht="7.5" customHeight="1">
      <c r="A41" s="70"/>
      <c r="B41" s="299"/>
      <c r="C41" s="9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82"/>
      <c r="S41" s="299"/>
      <c r="T41" s="72"/>
    </row>
    <row r="42" spans="1:20" ht="7.5" customHeight="1">
      <c r="A42" s="70"/>
      <c r="B42" s="299"/>
      <c r="C42" s="332" t="s">
        <v>41</v>
      </c>
      <c r="D42" s="82"/>
      <c r="E42" s="81"/>
      <c r="F42" s="81"/>
      <c r="G42" s="307" t="s">
        <v>42</v>
      </c>
      <c r="H42" s="78"/>
      <c r="I42" s="307" t="s">
        <v>43</v>
      </c>
      <c r="J42" s="99"/>
      <c r="K42" s="307" t="s">
        <v>44</v>
      </c>
      <c r="L42" s="99"/>
      <c r="M42" s="307" t="s">
        <v>45</v>
      </c>
      <c r="N42" s="81"/>
      <c r="O42" s="307" t="s">
        <v>46</v>
      </c>
      <c r="P42" s="81"/>
      <c r="Q42" s="100"/>
      <c r="R42" s="298" t="s">
        <v>15</v>
      </c>
      <c r="S42" s="326" t="s">
        <v>31</v>
      </c>
      <c r="T42" s="72"/>
    </row>
    <row r="43" spans="1:20" ht="7.5" customHeight="1">
      <c r="A43" s="70"/>
      <c r="B43" s="299"/>
      <c r="C43" s="299"/>
      <c r="D43" s="81"/>
      <c r="E43" s="81"/>
      <c r="F43" s="81"/>
      <c r="G43" s="299"/>
      <c r="H43" s="101"/>
      <c r="I43" s="299"/>
      <c r="J43" s="99"/>
      <c r="K43" s="299"/>
      <c r="L43" s="99"/>
      <c r="M43" s="299"/>
      <c r="N43" s="81"/>
      <c r="O43" s="299"/>
      <c r="P43" s="81"/>
      <c r="Q43" s="100"/>
      <c r="R43" s="299"/>
      <c r="S43" s="299"/>
      <c r="T43" s="72"/>
    </row>
    <row r="44" spans="1:20" ht="7.5" customHeight="1">
      <c r="A44" s="70"/>
      <c r="B44" s="299"/>
      <c r="C44" s="299"/>
      <c r="D44" s="81"/>
      <c r="E44" s="81"/>
      <c r="F44" s="81"/>
      <c r="G44" s="296"/>
      <c r="H44" s="102"/>
      <c r="I44" s="296"/>
      <c r="J44" s="99"/>
      <c r="K44" s="296"/>
      <c r="L44" s="99"/>
      <c r="M44" s="296"/>
      <c r="N44" s="81"/>
      <c r="O44" s="296"/>
      <c r="P44" s="81"/>
      <c r="Q44" s="103"/>
      <c r="R44" s="82"/>
      <c r="S44" s="299"/>
      <c r="T44" s="72"/>
    </row>
    <row r="45" spans="1:20" ht="7.5" customHeight="1">
      <c r="A45" s="70"/>
      <c r="B45" s="299"/>
      <c r="C45" s="299"/>
      <c r="D45" s="327" t="s">
        <v>37</v>
      </c>
      <c r="E45" s="307" t="s">
        <v>47</v>
      </c>
      <c r="F45" s="312">
        <v>618.52769549999982</v>
      </c>
      <c r="G45" s="295">
        <f>ROUND(F45*mark_up,0)</f>
        <v>2641</v>
      </c>
      <c r="H45" s="83"/>
      <c r="I45" s="295">
        <f>ROUND(G45*1.02258064516129,0)</f>
        <v>2701</v>
      </c>
      <c r="J45" s="83"/>
      <c r="K45" s="295">
        <f>ROUND(G45*1.53225806451612,0)</f>
        <v>4047</v>
      </c>
      <c r="L45" s="83"/>
      <c r="M45" s="295">
        <f>ROUND(G45*2.5886,0)</f>
        <v>6836</v>
      </c>
      <c r="N45" s="83"/>
      <c r="O45" s="295">
        <f>ROUND(G45*4.44936,0)</f>
        <v>11751</v>
      </c>
      <c r="P45" s="83"/>
      <c r="Q45" s="295" t="s">
        <v>22</v>
      </c>
      <c r="R45" s="104"/>
      <c r="S45" s="104"/>
      <c r="T45" s="72"/>
    </row>
    <row r="46" spans="1:20" ht="7.5" customHeight="1">
      <c r="A46" s="70"/>
      <c r="B46" s="299"/>
      <c r="C46" s="299"/>
      <c r="D46" s="299"/>
      <c r="E46" s="299"/>
      <c r="F46" s="296"/>
      <c r="G46" s="296"/>
      <c r="H46" s="84"/>
      <c r="I46" s="296"/>
      <c r="J46" s="84"/>
      <c r="K46" s="296"/>
      <c r="L46" s="84"/>
      <c r="M46" s="296"/>
      <c r="N46" s="84"/>
      <c r="O46" s="296"/>
      <c r="P46" s="84"/>
      <c r="Q46" s="296"/>
      <c r="R46" s="105"/>
      <c r="S46" s="92"/>
      <c r="T46" s="72"/>
    </row>
    <row r="47" spans="1:20" ht="7.5" customHeight="1">
      <c r="A47" s="70"/>
      <c r="B47" s="299"/>
      <c r="C47" s="299"/>
      <c r="D47" s="327" t="s">
        <v>39</v>
      </c>
      <c r="E47" s="299"/>
      <c r="F47" s="297">
        <f t="shared" ref="F47:G47" si="5">ROUND(F45*1.15457413249211,0)</f>
        <v>714</v>
      </c>
      <c r="G47" s="295">
        <f t="shared" si="5"/>
        <v>3049</v>
      </c>
      <c r="H47" s="295"/>
      <c r="I47" s="295">
        <f>ROUND(G47*1.02234636871508,0)</f>
        <v>3117</v>
      </c>
      <c r="J47" s="106"/>
      <c r="K47" s="295">
        <f>ROUND(G47*1.53072625698324,0)</f>
        <v>4667</v>
      </c>
      <c r="L47" s="106"/>
      <c r="M47" s="295">
        <f>ROUND(G47*2.5726,0)</f>
        <v>7844</v>
      </c>
      <c r="N47" s="106"/>
      <c r="O47" s="295">
        <f>ROUND(G47*4.41369,0)</f>
        <v>13457</v>
      </c>
      <c r="P47" s="295"/>
      <c r="Q47" s="295" t="s">
        <v>22</v>
      </c>
      <c r="R47" s="91"/>
      <c r="S47" s="92"/>
      <c r="T47" s="72"/>
    </row>
    <row r="48" spans="1:20" ht="7.5" customHeight="1">
      <c r="A48" s="70"/>
      <c r="B48" s="299"/>
      <c r="C48" s="299"/>
      <c r="D48" s="299"/>
      <c r="E48" s="299"/>
      <c r="F48" s="296"/>
      <c r="G48" s="296"/>
      <c r="H48" s="296"/>
      <c r="I48" s="296"/>
      <c r="J48" s="107"/>
      <c r="K48" s="296"/>
      <c r="L48" s="107"/>
      <c r="M48" s="296"/>
      <c r="N48" s="107"/>
      <c r="O48" s="296"/>
      <c r="P48" s="296"/>
      <c r="Q48" s="296"/>
      <c r="R48" s="91"/>
      <c r="S48" s="92"/>
      <c r="T48" s="72"/>
    </row>
    <row r="49" spans="1:20" ht="7.5" customHeight="1">
      <c r="A49" s="70"/>
      <c r="B49" s="299"/>
      <c r="C49" s="299"/>
      <c r="D49" s="108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5"/>
      <c r="S49" s="109"/>
      <c r="T49" s="72"/>
    </row>
    <row r="50" spans="1:20" ht="7.5" customHeight="1">
      <c r="A50" s="70"/>
      <c r="B50" s="299"/>
      <c r="C50" s="299"/>
      <c r="D50" s="108"/>
      <c r="E50" s="81"/>
      <c r="F50" s="81"/>
      <c r="G50" s="307" t="s">
        <v>48</v>
      </c>
      <c r="H50" s="81"/>
      <c r="I50" s="307" t="s">
        <v>49</v>
      </c>
      <c r="J50" s="81"/>
      <c r="K50" s="307" t="s">
        <v>50</v>
      </c>
      <c r="L50" s="81"/>
      <c r="M50" s="81"/>
      <c r="N50" s="81"/>
      <c r="O50" s="81"/>
      <c r="P50" s="81"/>
      <c r="Q50" s="81"/>
      <c r="R50" s="82"/>
      <c r="S50" s="109"/>
      <c r="T50" s="72"/>
    </row>
    <row r="51" spans="1:20" ht="7.5" customHeight="1">
      <c r="A51" s="70"/>
      <c r="B51" s="299"/>
      <c r="C51" s="299"/>
      <c r="D51" s="108"/>
      <c r="E51" s="81"/>
      <c r="F51" s="81"/>
      <c r="G51" s="299"/>
      <c r="H51" s="81"/>
      <c r="I51" s="299"/>
      <c r="J51" s="81"/>
      <c r="K51" s="299"/>
      <c r="L51" s="81"/>
      <c r="M51" s="81"/>
      <c r="N51" s="81"/>
      <c r="O51" s="81"/>
      <c r="P51" s="81"/>
      <c r="Q51" s="81"/>
      <c r="R51" s="82"/>
      <c r="S51" s="109"/>
      <c r="T51" s="72"/>
    </row>
    <row r="52" spans="1:20" ht="7.5" customHeight="1">
      <c r="A52" s="70"/>
      <c r="B52" s="299"/>
      <c r="C52" s="299"/>
      <c r="D52" s="108"/>
      <c r="E52" s="81"/>
      <c r="F52" s="81"/>
      <c r="G52" s="299"/>
      <c r="H52" s="81"/>
      <c r="I52" s="299"/>
      <c r="J52" s="81"/>
      <c r="K52" s="299"/>
      <c r="L52" s="81"/>
      <c r="M52" s="81"/>
      <c r="N52" s="81"/>
      <c r="O52" s="81"/>
      <c r="P52" s="81"/>
      <c r="Q52" s="81"/>
      <c r="R52" s="82"/>
      <c r="S52" s="110"/>
      <c r="T52" s="72"/>
    </row>
    <row r="53" spans="1:20" ht="7.5" customHeight="1">
      <c r="A53" s="70"/>
      <c r="B53" s="299"/>
      <c r="C53" s="299"/>
      <c r="D53" s="327" t="s">
        <v>37</v>
      </c>
      <c r="E53" s="307" t="s">
        <v>51</v>
      </c>
      <c r="F53" s="312">
        <v>734.01229687500006</v>
      </c>
      <c r="G53" s="295">
        <f>ROUND(F53*mark_up,0)</f>
        <v>3134</v>
      </c>
      <c r="H53" s="98"/>
      <c r="I53" s="295">
        <f>ROUND(G53*1.28533,0)</f>
        <v>4028</v>
      </c>
      <c r="J53" s="98"/>
      <c r="K53" s="295">
        <f>ROUND(G53*1.472,0)</f>
        <v>4613</v>
      </c>
      <c r="L53" s="98"/>
      <c r="M53" s="295" t="s">
        <v>22</v>
      </c>
      <c r="N53" s="98"/>
      <c r="O53" s="295" t="s">
        <v>22</v>
      </c>
      <c r="P53" s="98"/>
      <c r="Q53" s="295" t="s">
        <v>22</v>
      </c>
      <c r="R53" s="82"/>
      <c r="S53" s="108"/>
      <c r="T53" s="72"/>
    </row>
    <row r="54" spans="1:20" ht="7.5" customHeight="1">
      <c r="A54" s="70"/>
      <c r="B54" s="299"/>
      <c r="C54" s="299"/>
      <c r="D54" s="299"/>
      <c r="E54" s="299"/>
      <c r="F54" s="296"/>
      <c r="G54" s="296"/>
      <c r="H54" s="111"/>
      <c r="I54" s="296"/>
      <c r="J54" s="111"/>
      <c r="K54" s="296"/>
      <c r="L54" s="111"/>
      <c r="M54" s="296"/>
      <c r="N54" s="111"/>
      <c r="O54" s="296"/>
      <c r="P54" s="111"/>
      <c r="Q54" s="296"/>
      <c r="R54" s="112"/>
      <c r="S54" s="113"/>
      <c r="T54" s="72"/>
    </row>
    <row r="55" spans="1:20" ht="7.5" customHeight="1">
      <c r="A55" s="70"/>
      <c r="B55" s="299"/>
      <c r="C55" s="299"/>
      <c r="D55" s="327" t="s">
        <v>39</v>
      </c>
      <c r="E55" s="299"/>
      <c r="F55" s="297">
        <f t="shared" ref="F55:G55" si="6">ROUND(F53*1.152,0)</f>
        <v>846</v>
      </c>
      <c r="G55" s="295">
        <f t="shared" si="6"/>
        <v>3610</v>
      </c>
      <c r="H55" s="98"/>
      <c r="I55" s="295">
        <f>ROUND(G55*1.28472,0)</f>
        <v>4638</v>
      </c>
      <c r="J55" s="98"/>
      <c r="K55" s="295">
        <f>ROUND(G55*1.47222,0)</f>
        <v>5315</v>
      </c>
      <c r="L55" s="98"/>
      <c r="M55" s="295" t="s">
        <v>22</v>
      </c>
      <c r="N55" s="98"/>
      <c r="O55" s="295" t="s">
        <v>22</v>
      </c>
      <c r="P55" s="98"/>
      <c r="Q55" s="295" t="s">
        <v>22</v>
      </c>
      <c r="R55" s="112"/>
      <c r="S55" s="113"/>
      <c r="T55" s="72"/>
    </row>
    <row r="56" spans="1:20" ht="7.5" customHeight="1">
      <c r="A56" s="70"/>
      <c r="B56" s="299"/>
      <c r="C56" s="334" t="s">
        <v>52</v>
      </c>
      <c r="D56" s="299"/>
      <c r="E56" s="299"/>
      <c r="F56" s="296"/>
      <c r="G56" s="296"/>
      <c r="H56" s="111"/>
      <c r="I56" s="296"/>
      <c r="J56" s="111"/>
      <c r="K56" s="296"/>
      <c r="L56" s="111"/>
      <c r="M56" s="296"/>
      <c r="N56" s="111"/>
      <c r="O56" s="296"/>
      <c r="P56" s="111"/>
      <c r="Q56" s="296"/>
      <c r="R56" s="112"/>
      <c r="S56" s="113"/>
      <c r="T56" s="72"/>
    </row>
    <row r="57" spans="1:20" ht="7.5" customHeight="1">
      <c r="A57" s="70"/>
      <c r="B57" s="299"/>
      <c r="C57" s="299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5"/>
      <c r="S57" s="113"/>
      <c r="T57" s="72"/>
    </row>
    <row r="58" spans="1:20" ht="7.5" customHeight="1">
      <c r="A58" s="70"/>
      <c r="B58" s="299"/>
      <c r="C58" s="31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112"/>
      <c r="S58" s="113"/>
      <c r="T58" s="72"/>
    </row>
    <row r="59" spans="1:20" ht="11.25" customHeight="1">
      <c r="A59" s="70"/>
      <c r="B59" s="300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2" t="s">
        <v>53</v>
      </c>
      <c r="T59" s="72"/>
    </row>
    <row r="60" spans="1:20" ht="11.25" customHeight="1">
      <c r="A60" s="70"/>
      <c r="B60" s="111"/>
      <c r="C60" s="116"/>
      <c r="D60" s="117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7"/>
      <c r="S60" s="296"/>
      <c r="T60" s="72"/>
    </row>
    <row r="61" spans="1:20" ht="11.25" customHeight="1">
      <c r="A61" s="70"/>
      <c r="B61" s="322" t="s">
        <v>54</v>
      </c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72"/>
    </row>
    <row r="62" spans="1:20" ht="61.5" customHeight="1">
      <c r="A62" s="70"/>
      <c r="B62" s="331"/>
      <c r="C62" s="31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310" t="s">
        <v>5</v>
      </c>
      <c r="P62" s="311"/>
      <c r="Q62" s="311"/>
      <c r="R62" s="311"/>
      <c r="S62" s="311"/>
      <c r="T62" s="72"/>
    </row>
    <row r="63" spans="1:20" ht="34.5" customHeight="1">
      <c r="A63" s="70"/>
      <c r="B63" s="118" t="s">
        <v>6</v>
      </c>
      <c r="C63" s="118" t="s">
        <v>7</v>
      </c>
      <c r="D63" s="74" t="s">
        <v>8</v>
      </c>
      <c r="E63" s="74" t="s">
        <v>9</v>
      </c>
      <c r="F63" s="75" t="s">
        <v>10</v>
      </c>
      <c r="G63" s="74" t="s">
        <v>11</v>
      </c>
      <c r="H63" s="75" t="s">
        <v>10</v>
      </c>
      <c r="I63" s="74" t="s">
        <v>11</v>
      </c>
      <c r="J63" s="75" t="s">
        <v>10</v>
      </c>
      <c r="K63" s="74" t="s">
        <v>11</v>
      </c>
      <c r="L63" s="75" t="s">
        <v>10</v>
      </c>
      <c r="M63" s="74" t="s">
        <v>11</v>
      </c>
      <c r="N63" s="75" t="s">
        <v>10</v>
      </c>
      <c r="O63" s="74" t="s">
        <v>11</v>
      </c>
      <c r="P63" s="75" t="s">
        <v>10</v>
      </c>
      <c r="Q63" s="74" t="s">
        <v>11</v>
      </c>
      <c r="R63" s="328" t="s">
        <v>12</v>
      </c>
      <c r="S63" s="329"/>
      <c r="T63" s="76"/>
    </row>
    <row r="64" spans="1:20" ht="7.5" customHeight="1">
      <c r="A64" s="119"/>
      <c r="B64" s="333" t="s">
        <v>13</v>
      </c>
      <c r="C64" s="120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330" t="s">
        <v>15</v>
      </c>
      <c r="S64" s="308" t="s">
        <v>55</v>
      </c>
      <c r="T64" s="72"/>
    </row>
    <row r="65" spans="1:20" ht="7.5" customHeight="1">
      <c r="A65" s="119"/>
      <c r="B65" s="299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299"/>
      <c r="S65" s="299"/>
      <c r="T65" s="72"/>
    </row>
    <row r="66" spans="1:20" ht="7.5" customHeight="1">
      <c r="A66" s="119"/>
      <c r="B66" s="299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80"/>
      <c r="S66" s="299"/>
      <c r="T66" s="72"/>
    </row>
    <row r="67" spans="1:20" ht="7.5" customHeight="1">
      <c r="A67" s="119"/>
      <c r="B67" s="299"/>
      <c r="C67" s="332" t="s">
        <v>56</v>
      </c>
      <c r="D67" s="82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2"/>
      <c r="S67" s="299"/>
      <c r="T67" s="72"/>
    </row>
    <row r="68" spans="1:20" ht="7.5" customHeight="1">
      <c r="A68" s="119"/>
      <c r="B68" s="299"/>
      <c r="C68" s="299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0"/>
      <c r="S68" s="299"/>
      <c r="T68" s="72"/>
    </row>
    <row r="69" spans="1:20" ht="7.5" customHeight="1">
      <c r="A69" s="119"/>
      <c r="B69" s="299"/>
      <c r="C69" s="299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5"/>
      <c r="S69" s="299"/>
      <c r="T69" s="72"/>
    </row>
    <row r="70" spans="1:20" ht="7.5" customHeight="1">
      <c r="A70" s="119"/>
      <c r="B70" s="299"/>
      <c r="C70" s="299"/>
      <c r="D70" s="81"/>
      <c r="E70" s="81"/>
      <c r="F70" s="81"/>
      <c r="G70" s="81"/>
      <c r="H70" s="81"/>
      <c r="I70" s="307" t="s">
        <v>35</v>
      </c>
      <c r="J70" s="81"/>
      <c r="K70" s="307" t="s">
        <v>36</v>
      </c>
      <c r="L70" s="81"/>
      <c r="M70" s="307" t="s">
        <v>19</v>
      </c>
      <c r="N70" s="81"/>
      <c r="O70" s="307" t="s">
        <v>20</v>
      </c>
      <c r="P70" s="81"/>
      <c r="Q70" s="81"/>
      <c r="R70" s="82"/>
      <c r="S70" s="299"/>
      <c r="T70" s="72"/>
    </row>
    <row r="71" spans="1:20" ht="7.5" customHeight="1">
      <c r="A71" s="119"/>
      <c r="B71" s="299"/>
      <c r="C71" s="299"/>
      <c r="D71" s="108"/>
      <c r="E71" s="99"/>
      <c r="F71" s="99"/>
      <c r="G71" s="100"/>
      <c r="H71" s="78"/>
      <c r="I71" s="299"/>
      <c r="J71" s="99"/>
      <c r="K71" s="299"/>
      <c r="L71" s="79"/>
      <c r="M71" s="299"/>
      <c r="N71" s="99"/>
      <c r="O71" s="299"/>
      <c r="P71" s="99"/>
      <c r="Q71" s="99"/>
      <c r="R71" s="82"/>
      <c r="S71" s="299"/>
      <c r="T71" s="72"/>
    </row>
    <row r="72" spans="1:20" ht="7.5" customHeight="1">
      <c r="A72" s="119"/>
      <c r="B72" s="299"/>
      <c r="C72" s="299"/>
      <c r="D72" s="108"/>
      <c r="E72" s="81"/>
      <c r="F72" s="99"/>
      <c r="G72" s="100"/>
      <c r="H72" s="101"/>
      <c r="I72" s="299"/>
      <c r="J72" s="99"/>
      <c r="K72" s="299"/>
      <c r="L72" s="79"/>
      <c r="M72" s="299"/>
      <c r="N72" s="99"/>
      <c r="O72" s="299"/>
      <c r="P72" s="99"/>
      <c r="Q72" s="99"/>
      <c r="R72" s="82"/>
      <c r="S72" s="299"/>
      <c r="T72" s="72"/>
    </row>
    <row r="73" spans="1:20" ht="7.5" customHeight="1">
      <c r="A73" s="119"/>
      <c r="B73" s="299"/>
      <c r="C73" s="299"/>
      <c r="D73" s="81"/>
      <c r="E73" s="81"/>
      <c r="F73" s="99"/>
      <c r="G73" s="103"/>
      <c r="H73" s="102"/>
      <c r="I73" s="296"/>
      <c r="J73" s="99"/>
      <c r="K73" s="296"/>
      <c r="L73" s="81"/>
      <c r="M73" s="296"/>
      <c r="N73" s="121"/>
      <c r="O73" s="296"/>
      <c r="P73" s="99"/>
      <c r="Q73" s="99"/>
      <c r="R73" s="82"/>
      <c r="S73" s="299"/>
      <c r="T73" s="72"/>
    </row>
    <row r="74" spans="1:20" ht="7.5" customHeight="1">
      <c r="A74" s="119"/>
      <c r="B74" s="299"/>
      <c r="C74" s="299"/>
      <c r="D74" s="327" t="s">
        <v>57</v>
      </c>
      <c r="E74" s="307" t="s">
        <v>22</v>
      </c>
      <c r="F74" s="295"/>
      <c r="G74" s="295" t="s">
        <v>22</v>
      </c>
      <c r="H74" s="295"/>
      <c r="I74" s="295">
        <f>ROUND(K74*1.1,0)</f>
        <v>4522</v>
      </c>
      <c r="J74" s="312">
        <v>962.66824874999975</v>
      </c>
      <c r="K74" s="295">
        <f>ROUND(J74*mark_up,0)</f>
        <v>4111</v>
      </c>
      <c r="L74" s="295"/>
      <c r="M74" s="295">
        <f>ROUND((I74-K74)+O74,0)</f>
        <v>9433</v>
      </c>
      <c r="N74" s="295"/>
      <c r="O74" s="295">
        <f>ROUND(K74*2.1946169,0)</f>
        <v>9022</v>
      </c>
      <c r="P74" s="83"/>
      <c r="Q74" s="295" t="s">
        <v>22</v>
      </c>
      <c r="R74" s="298" t="s">
        <v>15</v>
      </c>
      <c r="S74" s="325" t="s">
        <v>58</v>
      </c>
      <c r="T74" s="72"/>
    </row>
    <row r="75" spans="1:20" ht="7.5" customHeight="1">
      <c r="A75" s="119"/>
      <c r="B75" s="299"/>
      <c r="C75" s="299"/>
      <c r="D75" s="299"/>
      <c r="E75" s="299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84"/>
      <c r="Q75" s="296"/>
      <c r="R75" s="299"/>
      <c r="S75" s="299"/>
      <c r="T75" s="72"/>
    </row>
    <row r="76" spans="1:20" ht="7.5" customHeight="1">
      <c r="A76" s="119"/>
      <c r="B76" s="299"/>
      <c r="C76" s="299"/>
      <c r="D76" s="122"/>
      <c r="E76" s="114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14"/>
      <c r="Q76" s="123"/>
      <c r="R76" s="82"/>
      <c r="S76" s="299"/>
      <c r="T76" s="72"/>
    </row>
    <row r="77" spans="1:20" ht="7.5" customHeight="1">
      <c r="A77" s="119"/>
      <c r="B77" s="299"/>
      <c r="C77" s="334" t="s">
        <v>59</v>
      </c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298" t="s">
        <v>15</v>
      </c>
      <c r="S77" s="325" t="s">
        <v>24</v>
      </c>
      <c r="T77" s="72"/>
    </row>
    <row r="78" spans="1:20" ht="7.5" customHeight="1">
      <c r="A78" s="119"/>
      <c r="B78" s="299"/>
      <c r="C78" s="299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299"/>
      <c r="S78" s="299"/>
      <c r="T78" s="72"/>
    </row>
    <row r="79" spans="1:20" ht="7.5" customHeight="1">
      <c r="A79" s="119"/>
      <c r="B79" s="299"/>
      <c r="C79" s="299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82"/>
      <c r="S79" s="299"/>
      <c r="T79" s="72"/>
    </row>
    <row r="80" spans="1:20" ht="7.5" customHeight="1">
      <c r="A80" s="119"/>
      <c r="B80" s="299"/>
      <c r="C80" s="332" t="s">
        <v>60</v>
      </c>
      <c r="D80" s="122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298" t="s">
        <v>15</v>
      </c>
      <c r="S80" s="325" t="s">
        <v>61</v>
      </c>
      <c r="T80" s="72"/>
    </row>
    <row r="81" spans="1:20" ht="7.5" customHeight="1">
      <c r="A81" s="119"/>
      <c r="B81" s="299"/>
      <c r="C81" s="299"/>
      <c r="D81" s="122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299"/>
      <c r="S81" s="299"/>
      <c r="T81" s="72"/>
    </row>
    <row r="82" spans="1:20" ht="7.5" customHeight="1">
      <c r="A82" s="119"/>
      <c r="B82" s="299"/>
      <c r="C82" s="299"/>
      <c r="D82" s="81"/>
      <c r="E82" s="81"/>
      <c r="F82" s="99"/>
      <c r="G82" s="307" t="s">
        <v>42</v>
      </c>
      <c r="H82" s="78"/>
      <c r="I82" s="307" t="s">
        <v>43</v>
      </c>
      <c r="J82" s="99"/>
      <c r="K82" s="307" t="s">
        <v>44</v>
      </c>
      <c r="L82" s="99"/>
      <c r="M82" s="307" t="s">
        <v>45</v>
      </c>
      <c r="N82" s="81"/>
      <c r="O82" s="307" t="s">
        <v>46</v>
      </c>
      <c r="P82" s="81"/>
      <c r="Q82" s="100"/>
      <c r="R82" s="82"/>
      <c r="S82" s="299"/>
      <c r="T82" s="72"/>
    </row>
    <row r="83" spans="1:20" ht="7.5" customHeight="1">
      <c r="A83" s="119"/>
      <c r="B83" s="299"/>
      <c r="C83" s="299"/>
      <c r="D83" s="81"/>
      <c r="E83" s="99"/>
      <c r="F83" s="99"/>
      <c r="G83" s="299"/>
      <c r="H83" s="101"/>
      <c r="I83" s="299"/>
      <c r="J83" s="99"/>
      <c r="K83" s="299"/>
      <c r="L83" s="99"/>
      <c r="M83" s="299"/>
      <c r="N83" s="81"/>
      <c r="O83" s="299"/>
      <c r="P83" s="81"/>
      <c r="Q83" s="100"/>
      <c r="R83" s="82"/>
      <c r="S83" s="299"/>
      <c r="T83" s="72"/>
    </row>
    <row r="84" spans="1:20" ht="7.5" customHeight="1">
      <c r="A84" s="119"/>
      <c r="B84" s="299"/>
      <c r="C84" s="299"/>
      <c r="D84" s="81"/>
      <c r="E84" s="307" t="s">
        <v>47</v>
      </c>
      <c r="F84" s="99"/>
      <c r="G84" s="296"/>
      <c r="H84" s="102"/>
      <c r="I84" s="296"/>
      <c r="J84" s="99"/>
      <c r="K84" s="296"/>
      <c r="L84" s="99"/>
      <c r="M84" s="296"/>
      <c r="N84" s="81"/>
      <c r="O84" s="296"/>
      <c r="P84" s="81"/>
      <c r="Q84" s="103"/>
      <c r="R84" s="82"/>
      <c r="S84" s="299"/>
      <c r="T84" s="72"/>
    </row>
    <row r="85" spans="1:20" ht="7.5" customHeight="1">
      <c r="A85" s="119"/>
      <c r="B85" s="299"/>
      <c r="C85" s="299"/>
      <c r="D85" s="327" t="s">
        <v>62</v>
      </c>
      <c r="E85" s="299"/>
      <c r="F85" s="312">
        <v>479.55470062499978</v>
      </c>
      <c r="G85" s="295">
        <f>ROUND(F85*mark_up,0)</f>
        <v>2048</v>
      </c>
      <c r="H85" s="83"/>
      <c r="I85" s="295">
        <f>ROUND(G85*1.03333333333333,0)</f>
        <v>2116</v>
      </c>
      <c r="J85" s="106"/>
      <c r="K85" s="295">
        <f>ROUND(G85*1.34583333333333,0)</f>
        <v>2756</v>
      </c>
      <c r="L85" s="106"/>
      <c r="M85" s="295">
        <f>ROUND(G85*2.23673,0)</f>
        <v>4581</v>
      </c>
      <c r="N85" s="106"/>
      <c r="O85" s="295">
        <f>ROUND(G85*3.6653,0)</f>
        <v>7507</v>
      </c>
      <c r="P85" s="83"/>
      <c r="Q85" s="295" t="s">
        <v>22</v>
      </c>
      <c r="R85" s="298" t="s">
        <v>15</v>
      </c>
      <c r="S85" s="325" t="s">
        <v>63</v>
      </c>
      <c r="T85" s="72"/>
    </row>
    <row r="86" spans="1:20" ht="7.5" customHeight="1">
      <c r="A86" s="119"/>
      <c r="B86" s="299"/>
      <c r="C86" s="299"/>
      <c r="D86" s="299"/>
      <c r="E86" s="299"/>
      <c r="F86" s="296"/>
      <c r="G86" s="296"/>
      <c r="H86" s="84"/>
      <c r="I86" s="296"/>
      <c r="J86" s="107"/>
      <c r="K86" s="296"/>
      <c r="L86" s="107"/>
      <c r="M86" s="296"/>
      <c r="N86" s="107"/>
      <c r="O86" s="296"/>
      <c r="P86" s="84"/>
      <c r="Q86" s="296"/>
      <c r="R86" s="299"/>
      <c r="S86" s="299"/>
      <c r="T86" s="72"/>
    </row>
    <row r="87" spans="1:20" ht="7.5" customHeight="1">
      <c r="A87" s="119"/>
      <c r="B87" s="299"/>
      <c r="C87" s="299"/>
      <c r="D87" s="299"/>
      <c r="E87" s="299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104"/>
      <c r="S87" s="299"/>
      <c r="T87" s="72"/>
    </row>
    <row r="88" spans="1:20" ht="7.5" customHeight="1">
      <c r="A88" s="119"/>
      <c r="B88" s="299"/>
      <c r="C88" s="299"/>
      <c r="D88" s="299"/>
      <c r="E88" s="81"/>
      <c r="F88" s="99"/>
      <c r="G88" s="307" t="s">
        <v>48</v>
      </c>
      <c r="H88" s="81"/>
      <c r="I88" s="307" t="s">
        <v>49</v>
      </c>
      <c r="J88" s="99"/>
      <c r="K88" s="307" t="s">
        <v>50</v>
      </c>
      <c r="L88" s="99"/>
      <c r="M88" s="100"/>
      <c r="N88" s="81"/>
      <c r="O88" s="100"/>
      <c r="P88" s="81"/>
      <c r="Q88" s="81"/>
      <c r="R88" s="104"/>
      <c r="S88" s="299"/>
      <c r="T88" s="72"/>
    </row>
    <row r="89" spans="1:20" ht="7.5" customHeight="1">
      <c r="A89" s="119"/>
      <c r="B89" s="299"/>
      <c r="C89" s="299"/>
      <c r="D89" s="299"/>
      <c r="E89" s="81"/>
      <c r="F89" s="99"/>
      <c r="G89" s="299"/>
      <c r="H89" s="81"/>
      <c r="I89" s="299"/>
      <c r="J89" s="99"/>
      <c r="K89" s="299"/>
      <c r="L89" s="99"/>
      <c r="M89" s="100"/>
      <c r="N89" s="81"/>
      <c r="O89" s="100"/>
      <c r="P89" s="81"/>
      <c r="Q89" s="81"/>
      <c r="R89" s="104"/>
      <c r="S89" s="299"/>
      <c r="T89" s="72"/>
    </row>
    <row r="90" spans="1:20" ht="7.5" customHeight="1">
      <c r="A90" s="119"/>
      <c r="B90" s="299"/>
      <c r="C90" s="299"/>
      <c r="D90" s="299"/>
      <c r="E90" s="307" t="s">
        <v>51</v>
      </c>
      <c r="F90" s="99"/>
      <c r="G90" s="299"/>
      <c r="H90" s="81"/>
      <c r="I90" s="299"/>
      <c r="J90" s="99"/>
      <c r="K90" s="299"/>
      <c r="L90" s="99"/>
      <c r="M90" s="103"/>
      <c r="N90" s="81"/>
      <c r="O90" s="103"/>
      <c r="P90" s="81"/>
      <c r="Q90" s="81"/>
      <c r="R90" s="82"/>
      <c r="S90" s="299"/>
      <c r="T90" s="72"/>
    </row>
    <row r="91" spans="1:20" ht="7.5" customHeight="1">
      <c r="A91" s="119"/>
      <c r="B91" s="299"/>
      <c r="C91" s="299"/>
      <c r="D91" s="299"/>
      <c r="E91" s="299"/>
      <c r="F91" s="312">
        <v>540.23305049999988</v>
      </c>
      <c r="G91" s="295">
        <f>ROUND(F91*mark_up,0)</f>
        <v>2307</v>
      </c>
      <c r="H91" s="83"/>
      <c r="I91" s="295">
        <f>ROUND(G91*1.21376,0)</f>
        <v>2800</v>
      </c>
      <c r="J91" s="106"/>
      <c r="K91" s="295">
        <f>ROUND(G91*1.35507,0)</f>
        <v>3126</v>
      </c>
      <c r="L91" s="106"/>
      <c r="M91" s="295" t="s">
        <v>22</v>
      </c>
      <c r="N91" s="106"/>
      <c r="O91" s="295" t="s">
        <v>22</v>
      </c>
      <c r="P91" s="83"/>
      <c r="Q91" s="295" t="s">
        <v>22</v>
      </c>
      <c r="R91" s="82"/>
      <c r="S91" s="299"/>
      <c r="T91" s="72"/>
    </row>
    <row r="92" spans="1:20" ht="7.5" customHeight="1">
      <c r="A92" s="119"/>
      <c r="B92" s="299"/>
      <c r="C92" s="299"/>
      <c r="D92" s="299"/>
      <c r="E92" s="299"/>
      <c r="F92" s="296"/>
      <c r="G92" s="296"/>
      <c r="H92" s="84"/>
      <c r="I92" s="296"/>
      <c r="J92" s="107"/>
      <c r="K92" s="296"/>
      <c r="L92" s="107"/>
      <c r="M92" s="296"/>
      <c r="N92" s="107"/>
      <c r="O92" s="296"/>
      <c r="P92" s="84"/>
      <c r="Q92" s="296"/>
      <c r="R92" s="82"/>
      <c r="S92" s="299"/>
      <c r="T92" s="72"/>
    </row>
    <row r="93" spans="1:20" ht="7.5" customHeight="1">
      <c r="A93" s="119"/>
      <c r="B93" s="299"/>
      <c r="C93" s="299"/>
      <c r="D93" s="108"/>
      <c r="E93" s="299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2"/>
      <c r="S93" s="299"/>
      <c r="T93" s="72"/>
    </row>
    <row r="94" spans="1:20" ht="7.5" customHeight="1">
      <c r="A94" s="119"/>
      <c r="B94" s="104"/>
      <c r="C94" s="334" t="s">
        <v>64</v>
      </c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104"/>
      <c r="S94" s="299"/>
      <c r="T94" s="124"/>
    </row>
    <row r="95" spans="1:20" ht="7.5" customHeight="1">
      <c r="A95" s="119"/>
      <c r="B95" s="104"/>
      <c r="C95" s="299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104"/>
      <c r="S95" s="299"/>
      <c r="T95" s="124"/>
    </row>
    <row r="96" spans="1:20" ht="7.5" customHeight="1">
      <c r="A96" s="70"/>
      <c r="B96" s="104"/>
      <c r="C96" s="299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298" t="s">
        <v>15</v>
      </c>
      <c r="S96" s="326" t="s">
        <v>31</v>
      </c>
      <c r="T96" s="72"/>
    </row>
    <row r="97" spans="1:20" ht="7.5" customHeight="1">
      <c r="A97" s="70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299"/>
      <c r="S97" s="299"/>
      <c r="T97" s="72"/>
    </row>
    <row r="98" spans="1:20" ht="7.5" customHeight="1">
      <c r="A98" s="70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85"/>
      <c r="S98" s="299"/>
      <c r="T98" s="72"/>
    </row>
    <row r="99" spans="1:20" ht="7.5" customHeight="1">
      <c r="A99" s="70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72"/>
    </row>
    <row r="100" spans="1:20" ht="7.5" customHeight="1">
      <c r="A100" s="70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72"/>
    </row>
    <row r="101" spans="1:20" ht="7.5" customHeight="1">
      <c r="A101" s="7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72"/>
    </row>
    <row r="102" spans="1:20" ht="7.5" customHeight="1">
      <c r="A102" s="70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72"/>
    </row>
    <row r="103" spans="1:20" ht="7.5" customHeight="1">
      <c r="A103" s="70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72"/>
    </row>
    <row r="104" spans="1:20" ht="7.5" customHeight="1">
      <c r="A104" s="70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72"/>
    </row>
    <row r="105" spans="1:20" ht="7.5" customHeight="1">
      <c r="A105" s="70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72"/>
    </row>
    <row r="106" spans="1:20" ht="7.5" customHeight="1">
      <c r="A106" s="70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72"/>
    </row>
    <row r="107" spans="1:20" ht="7.5" customHeight="1">
      <c r="A107" s="70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72"/>
    </row>
    <row r="108" spans="1:20" ht="7.5" customHeight="1">
      <c r="A108" s="70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72"/>
    </row>
    <row r="109" spans="1:20" ht="7.5" customHeight="1">
      <c r="A109" s="70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72"/>
    </row>
    <row r="110" spans="1:20" ht="7.5" customHeight="1">
      <c r="A110" s="70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72"/>
    </row>
    <row r="111" spans="1:20" ht="7.5" customHeight="1">
      <c r="A111" s="70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72"/>
    </row>
    <row r="112" spans="1:20" ht="7.5" customHeight="1">
      <c r="A112" s="70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72"/>
    </row>
    <row r="113" spans="1:20" ht="7.5" customHeight="1">
      <c r="A113" s="70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72"/>
    </row>
    <row r="114" spans="1:20" ht="7.5" customHeight="1">
      <c r="A114" s="70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72"/>
    </row>
    <row r="115" spans="1:20" ht="7.5" customHeight="1">
      <c r="A115" s="70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72"/>
    </row>
    <row r="116" spans="1:20" ht="7.5" customHeight="1">
      <c r="A116" s="70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72"/>
    </row>
    <row r="117" spans="1:20" ht="7.5" customHeight="1">
      <c r="A117" s="70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72"/>
    </row>
    <row r="118" spans="1:20" ht="7.5" customHeight="1">
      <c r="A118" s="70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72"/>
    </row>
    <row r="119" spans="1:20" ht="7.5" customHeight="1">
      <c r="A119" s="70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72"/>
    </row>
    <row r="120" spans="1:20" ht="11.25" customHeight="1">
      <c r="A120" s="70"/>
      <c r="B120" s="300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2" t="s">
        <v>53</v>
      </c>
      <c r="T120" s="72"/>
    </row>
    <row r="121" spans="1:20" ht="11.25" customHeight="1">
      <c r="A121" s="70"/>
      <c r="B121" s="111"/>
      <c r="C121" s="116"/>
      <c r="D121" s="117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7"/>
      <c r="S121" s="296"/>
      <c r="T121" s="72"/>
    </row>
    <row r="122" spans="1:20" ht="11.25" customHeight="1">
      <c r="A122" s="70"/>
      <c r="B122" s="322" t="s">
        <v>65</v>
      </c>
      <c r="C122" s="323"/>
      <c r="D122" s="323"/>
      <c r="E122" s="323"/>
      <c r="F122" s="323"/>
      <c r="G122" s="323"/>
      <c r="H122" s="323"/>
      <c r="I122" s="323"/>
      <c r="J122" s="323"/>
      <c r="K122" s="323"/>
      <c r="L122" s="323"/>
      <c r="M122" s="323"/>
      <c r="N122" s="323"/>
      <c r="O122" s="323"/>
      <c r="P122" s="323"/>
      <c r="Q122" s="323"/>
      <c r="R122" s="323"/>
      <c r="S122" s="323"/>
      <c r="T122" s="72"/>
    </row>
    <row r="123" spans="1:20" ht="61.5" customHeight="1">
      <c r="A123" s="70"/>
      <c r="B123" s="331"/>
      <c r="C123" s="31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310" t="s">
        <v>5</v>
      </c>
      <c r="P123" s="311"/>
      <c r="Q123" s="311"/>
      <c r="R123" s="311"/>
      <c r="S123" s="311"/>
      <c r="T123" s="72"/>
    </row>
    <row r="124" spans="1:20" ht="34.5" customHeight="1">
      <c r="A124" s="70"/>
      <c r="B124" s="118" t="s">
        <v>6</v>
      </c>
      <c r="C124" s="118" t="s">
        <v>7</v>
      </c>
      <c r="D124" s="74" t="s">
        <v>8</v>
      </c>
      <c r="E124" s="74" t="s">
        <v>9</v>
      </c>
      <c r="F124" s="75" t="s">
        <v>10</v>
      </c>
      <c r="G124" s="74" t="s">
        <v>11</v>
      </c>
      <c r="H124" s="75" t="s">
        <v>10</v>
      </c>
      <c r="I124" s="74" t="s">
        <v>11</v>
      </c>
      <c r="J124" s="75" t="s">
        <v>10</v>
      </c>
      <c r="K124" s="74" t="s">
        <v>11</v>
      </c>
      <c r="L124" s="75" t="s">
        <v>10</v>
      </c>
      <c r="M124" s="74" t="s">
        <v>11</v>
      </c>
      <c r="N124" s="75" t="s">
        <v>10</v>
      </c>
      <c r="O124" s="74" t="s">
        <v>11</v>
      </c>
      <c r="P124" s="75" t="s">
        <v>10</v>
      </c>
      <c r="Q124" s="74" t="s">
        <v>11</v>
      </c>
      <c r="R124" s="328" t="s">
        <v>12</v>
      </c>
      <c r="S124" s="329"/>
      <c r="T124" s="76"/>
    </row>
    <row r="125" spans="1:20" ht="7.5" customHeight="1">
      <c r="A125" s="119"/>
      <c r="B125" s="333" t="s">
        <v>13</v>
      </c>
      <c r="C125" s="120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298" t="s">
        <v>15</v>
      </c>
      <c r="S125" s="325" t="s">
        <v>55</v>
      </c>
      <c r="T125" s="72"/>
    </row>
    <row r="126" spans="1:20" ht="7.5" customHeight="1">
      <c r="A126" s="119"/>
      <c r="B126" s="299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299"/>
      <c r="S126" s="299"/>
      <c r="T126" s="72"/>
    </row>
    <row r="127" spans="1:20" ht="7.5" customHeight="1">
      <c r="A127" s="119"/>
      <c r="B127" s="299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80"/>
      <c r="S127" s="299"/>
      <c r="T127" s="72"/>
    </row>
    <row r="128" spans="1:20" ht="7.5" customHeight="1">
      <c r="A128" s="119"/>
      <c r="B128" s="299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82"/>
      <c r="S128" s="299"/>
      <c r="T128" s="72"/>
    </row>
    <row r="129" spans="1:20" ht="7.5" customHeight="1">
      <c r="A129" s="119"/>
      <c r="B129" s="299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80"/>
      <c r="S129" s="299"/>
      <c r="T129" s="72"/>
    </row>
    <row r="130" spans="1:20" ht="7.5" customHeight="1">
      <c r="A130" s="119"/>
      <c r="B130" s="299"/>
      <c r="C130" s="332" t="s">
        <v>66</v>
      </c>
      <c r="D130" s="82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5"/>
      <c r="S130" s="299"/>
      <c r="T130" s="72"/>
    </row>
    <row r="131" spans="1:20" ht="7.5" customHeight="1">
      <c r="A131" s="119"/>
      <c r="B131" s="299"/>
      <c r="C131" s="299"/>
      <c r="D131" s="81"/>
      <c r="E131" s="81"/>
      <c r="F131" s="81"/>
      <c r="G131" s="81"/>
      <c r="H131" s="81"/>
      <c r="I131" s="307" t="s">
        <v>35</v>
      </c>
      <c r="J131" s="81"/>
      <c r="K131" s="307" t="s">
        <v>36</v>
      </c>
      <c r="L131" s="81"/>
      <c r="M131" s="307" t="s">
        <v>19</v>
      </c>
      <c r="N131" s="81"/>
      <c r="O131" s="307" t="s">
        <v>20</v>
      </c>
      <c r="P131" s="81"/>
      <c r="Q131" s="81"/>
      <c r="R131" s="82"/>
      <c r="S131" s="299"/>
      <c r="T131" s="72"/>
    </row>
    <row r="132" spans="1:20" ht="7.5" customHeight="1">
      <c r="A132" s="119"/>
      <c r="B132" s="299"/>
      <c r="C132" s="299"/>
      <c r="D132" s="81"/>
      <c r="E132" s="81"/>
      <c r="F132" s="99"/>
      <c r="G132" s="100"/>
      <c r="H132" s="78"/>
      <c r="I132" s="299"/>
      <c r="J132" s="99"/>
      <c r="K132" s="299"/>
      <c r="L132" s="79"/>
      <c r="M132" s="299"/>
      <c r="N132" s="99"/>
      <c r="O132" s="299"/>
      <c r="P132" s="99"/>
      <c r="Q132" s="99"/>
      <c r="R132" s="82"/>
      <c r="S132" s="299"/>
      <c r="T132" s="72"/>
    </row>
    <row r="133" spans="1:20" ht="7.5" customHeight="1">
      <c r="A133" s="119"/>
      <c r="B133" s="299"/>
      <c r="C133" s="299"/>
      <c r="D133" s="81"/>
      <c r="E133" s="99"/>
      <c r="F133" s="99"/>
      <c r="G133" s="100"/>
      <c r="H133" s="101"/>
      <c r="I133" s="299"/>
      <c r="J133" s="99"/>
      <c r="K133" s="299"/>
      <c r="L133" s="79"/>
      <c r="M133" s="299"/>
      <c r="N133" s="99"/>
      <c r="O133" s="299"/>
      <c r="P133" s="99"/>
      <c r="Q133" s="99"/>
      <c r="R133" s="82"/>
      <c r="S133" s="299"/>
      <c r="T133" s="72"/>
    </row>
    <row r="134" spans="1:20" ht="7.5" customHeight="1">
      <c r="A134" s="119"/>
      <c r="B134" s="299"/>
      <c r="C134" s="299"/>
      <c r="D134" s="81"/>
      <c r="E134" s="81"/>
      <c r="F134" s="99"/>
      <c r="G134" s="103"/>
      <c r="H134" s="102"/>
      <c r="I134" s="296"/>
      <c r="J134" s="99"/>
      <c r="K134" s="296"/>
      <c r="L134" s="81"/>
      <c r="M134" s="296"/>
      <c r="N134" s="99"/>
      <c r="O134" s="296"/>
      <c r="P134" s="99"/>
      <c r="Q134" s="99"/>
      <c r="R134" s="82"/>
      <c r="S134" s="299"/>
      <c r="T134" s="72"/>
    </row>
    <row r="135" spans="1:20" ht="7.5" customHeight="1">
      <c r="A135" s="119"/>
      <c r="B135" s="299"/>
      <c r="C135" s="299"/>
      <c r="D135" s="327" t="s">
        <v>67</v>
      </c>
      <c r="E135" s="307" t="s">
        <v>22</v>
      </c>
      <c r="F135" s="295"/>
      <c r="G135" s="295" t="s">
        <v>22</v>
      </c>
      <c r="H135" s="295"/>
      <c r="I135" s="295">
        <f>ROUND(K135*1.1,0)</f>
        <v>5424</v>
      </c>
      <c r="J135" s="312">
        <v>1154.8460137499994</v>
      </c>
      <c r="K135" s="295">
        <f>ROUND(J135*mark_up,0)</f>
        <v>4931</v>
      </c>
      <c r="L135" s="295"/>
      <c r="M135" s="295">
        <f>ROUND((I135-K135)+O135,0)</f>
        <v>10355</v>
      </c>
      <c r="N135" s="295"/>
      <c r="O135" s="295">
        <f>ROUND(K135*2,0)</f>
        <v>9862</v>
      </c>
      <c r="P135" s="83"/>
      <c r="Q135" s="295" t="s">
        <v>22</v>
      </c>
      <c r="R135" s="298" t="s">
        <v>15</v>
      </c>
      <c r="S135" s="325" t="s">
        <v>58</v>
      </c>
      <c r="T135" s="72"/>
    </row>
    <row r="136" spans="1:20" ht="7.5" customHeight="1">
      <c r="A136" s="119"/>
      <c r="B136" s="299"/>
      <c r="C136" s="299"/>
      <c r="D136" s="299"/>
      <c r="E136" s="299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84"/>
      <c r="Q136" s="296"/>
      <c r="R136" s="299"/>
      <c r="S136" s="299"/>
      <c r="T136" s="72"/>
    </row>
    <row r="137" spans="1:20" ht="7.5" customHeight="1">
      <c r="A137" s="119"/>
      <c r="B137" s="299"/>
      <c r="C137" s="334" t="s">
        <v>68</v>
      </c>
      <c r="D137" s="122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82"/>
      <c r="S137" s="299"/>
      <c r="T137" s="72"/>
    </row>
    <row r="138" spans="1:20" ht="7.5" customHeight="1">
      <c r="A138" s="119"/>
      <c r="B138" s="299"/>
      <c r="C138" s="299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298" t="s">
        <v>15</v>
      </c>
      <c r="S138" s="304" t="s">
        <v>24</v>
      </c>
      <c r="T138" s="72"/>
    </row>
    <row r="139" spans="1:20" ht="7.5" customHeight="1">
      <c r="A139" s="119"/>
      <c r="B139" s="299"/>
      <c r="C139" s="299"/>
      <c r="D139" s="125"/>
      <c r="E139" s="12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299"/>
      <c r="S139" s="299"/>
      <c r="T139" s="72"/>
    </row>
    <row r="140" spans="1:20" ht="7.5" customHeight="1">
      <c r="A140" s="119"/>
      <c r="B140" s="299"/>
      <c r="C140" s="332" t="s">
        <v>69</v>
      </c>
      <c r="D140" s="122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82"/>
      <c r="S140" s="299"/>
      <c r="T140" s="72"/>
    </row>
    <row r="141" spans="1:20" ht="7.5" customHeight="1">
      <c r="A141" s="119"/>
      <c r="B141" s="299"/>
      <c r="C141" s="299"/>
      <c r="D141" s="108"/>
      <c r="E141" s="81"/>
      <c r="F141" s="99"/>
      <c r="G141" s="307" t="s">
        <v>42</v>
      </c>
      <c r="H141" s="81"/>
      <c r="I141" s="307" t="s">
        <v>43</v>
      </c>
      <c r="J141" s="99"/>
      <c r="K141" s="307" t="s">
        <v>44</v>
      </c>
      <c r="L141" s="99"/>
      <c r="M141" s="307" t="s">
        <v>45</v>
      </c>
      <c r="N141" s="81"/>
      <c r="O141" s="307" t="s">
        <v>46</v>
      </c>
      <c r="P141" s="81"/>
      <c r="Q141" s="81"/>
      <c r="R141" s="298" t="s">
        <v>15</v>
      </c>
      <c r="S141" s="325" t="s">
        <v>61</v>
      </c>
      <c r="T141" s="72"/>
    </row>
    <row r="142" spans="1:20" ht="7.5" customHeight="1">
      <c r="A142" s="119"/>
      <c r="B142" s="299"/>
      <c r="C142" s="299"/>
      <c r="D142" s="108"/>
      <c r="E142" s="99"/>
      <c r="F142" s="99"/>
      <c r="G142" s="299"/>
      <c r="H142" s="81"/>
      <c r="I142" s="299"/>
      <c r="J142" s="99"/>
      <c r="K142" s="299"/>
      <c r="L142" s="99"/>
      <c r="M142" s="299"/>
      <c r="N142" s="81"/>
      <c r="O142" s="299"/>
      <c r="P142" s="81"/>
      <c r="Q142" s="81"/>
      <c r="R142" s="299"/>
      <c r="S142" s="299"/>
      <c r="T142" s="72"/>
    </row>
    <row r="143" spans="1:20" ht="7.5" customHeight="1">
      <c r="A143" s="119"/>
      <c r="B143" s="299"/>
      <c r="C143" s="299"/>
      <c r="D143" s="108"/>
      <c r="E143" s="307" t="s">
        <v>47</v>
      </c>
      <c r="F143" s="99"/>
      <c r="G143" s="296"/>
      <c r="H143" s="102"/>
      <c r="I143" s="296"/>
      <c r="J143" s="99"/>
      <c r="K143" s="296"/>
      <c r="L143" s="99"/>
      <c r="M143" s="296"/>
      <c r="N143" s="81"/>
      <c r="O143" s="296"/>
      <c r="P143" s="81"/>
      <c r="Q143" s="81"/>
      <c r="R143" s="82"/>
      <c r="S143" s="299"/>
      <c r="T143" s="72"/>
    </row>
    <row r="144" spans="1:20" ht="7.5" customHeight="1">
      <c r="A144" s="119"/>
      <c r="B144" s="299"/>
      <c r="C144" s="299"/>
      <c r="D144" s="327" t="s">
        <v>67</v>
      </c>
      <c r="E144" s="299"/>
      <c r="F144" s="312">
        <v>473.68260225</v>
      </c>
      <c r="G144" s="295">
        <f>ROUND(F144*mark_up,0)</f>
        <v>2023</v>
      </c>
      <c r="H144" s="83"/>
      <c r="I144" s="295">
        <f>ROUND(G144*1.03333333333333,0)</f>
        <v>2090</v>
      </c>
      <c r="J144" s="106"/>
      <c r="K144" s="295">
        <f>ROUND(G144*1.41304347826087,0)</f>
        <v>2859</v>
      </c>
      <c r="L144" s="106"/>
      <c r="M144" s="295">
        <f>ROUND(G144*2.25206,0)</f>
        <v>4556</v>
      </c>
      <c r="N144" s="106"/>
      <c r="O144" s="295">
        <f>ROUND(G144*3.69834,0)</f>
        <v>7482</v>
      </c>
      <c r="P144" s="83"/>
      <c r="Q144" s="295" t="s">
        <v>22</v>
      </c>
      <c r="R144" s="82"/>
      <c r="S144" s="299"/>
      <c r="T144" s="72"/>
    </row>
    <row r="145" spans="1:20" ht="7.5" customHeight="1">
      <c r="A145" s="119"/>
      <c r="B145" s="299"/>
      <c r="C145" s="299"/>
      <c r="D145" s="299"/>
      <c r="E145" s="299"/>
      <c r="F145" s="296"/>
      <c r="G145" s="296"/>
      <c r="H145" s="84"/>
      <c r="I145" s="296"/>
      <c r="J145" s="107"/>
      <c r="K145" s="296"/>
      <c r="L145" s="107"/>
      <c r="M145" s="296"/>
      <c r="N145" s="107"/>
      <c r="O145" s="296"/>
      <c r="P145" s="84"/>
      <c r="Q145" s="296"/>
      <c r="R145" s="82"/>
      <c r="S145" s="299"/>
      <c r="T145" s="72"/>
    </row>
    <row r="146" spans="1:20" ht="7.5" customHeight="1">
      <c r="A146" s="119"/>
      <c r="B146" s="299"/>
      <c r="C146" s="299"/>
      <c r="D146" s="299"/>
      <c r="E146" s="299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298" t="s">
        <v>15</v>
      </c>
      <c r="S146" s="325" t="s">
        <v>70</v>
      </c>
      <c r="T146" s="72"/>
    </row>
    <row r="147" spans="1:20" ht="7.5" customHeight="1">
      <c r="A147" s="119"/>
      <c r="B147" s="299"/>
      <c r="C147" s="299"/>
      <c r="D147" s="299"/>
      <c r="E147" s="81"/>
      <c r="F147" s="81"/>
      <c r="G147" s="307" t="s">
        <v>48</v>
      </c>
      <c r="H147" s="81"/>
      <c r="I147" s="307" t="s">
        <v>49</v>
      </c>
      <c r="J147" s="81"/>
      <c r="K147" s="307" t="s">
        <v>50</v>
      </c>
      <c r="L147" s="81"/>
      <c r="M147" s="81"/>
      <c r="N147" s="81"/>
      <c r="O147" s="81"/>
      <c r="P147" s="81"/>
      <c r="Q147" s="81"/>
      <c r="R147" s="299"/>
      <c r="S147" s="299"/>
      <c r="T147" s="72"/>
    </row>
    <row r="148" spans="1:20" ht="7.5" customHeight="1">
      <c r="A148" s="119"/>
      <c r="B148" s="299"/>
      <c r="C148" s="299"/>
      <c r="D148" s="299"/>
      <c r="E148" s="81"/>
      <c r="F148" s="81"/>
      <c r="G148" s="299"/>
      <c r="H148" s="81"/>
      <c r="I148" s="299"/>
      <c r="J148" s="81"/>
      <c r="K148" s="299"/>
      <c r="L148" s="81"/>
      <c r="M148" s="81"/>
      <c r="N148" s="81"/>
      <c r="O148" s="81"/>
      <c r="P148" s="81"/>
      <c r="Q148" s="81"/>
      <c r="R148" s="104"/>
      <c r="S148" s="299"/>
      <c r="T148" s="72"/>
    </row>
    <row r="149" spans="1:20" ht="7.5" customHeight="1">
      <c r="A149" s="119"/>
      <c r="B149" s="299"/>
      <c r="C149" s="299"/>
      <c r="D149" s="299"/>
      <c r="E149" s="307" t="s">
        <v>51</v>
      </c>
      <c r="F149" s="81"/>
      <c r="G149" s="299"/>
      <c r="H149" s="81"/>
      <c r="I149" s="299"/>
      <c r="J149" s="81"/>
      <c r="K149" s="299"/>
      <c r="L149" s="81"/>
      <c r="M149" s="81"/>
      <c r="N149" s="81"/>
      <c r="O149" s="81"/>
      <c r="P149" s="81"/>
      <c r="Q149" s="81"/>
      <c r="R149" s="104"/>
      <c r="S149" s="299"/>
      <c r="T149" s="72"/>
    </row>
    <row r="150" spans="1:20" ht="7.5" customHeight="1">
      <c r="A150" s="119"/>
      <c r="B150" s="299"/>
      <c r="C150" s="299"/>
      <c r="D150" s="299"/>
      <c r="E150" s="299"/>
      <c r="F150" s="312">
        <v>536.31831824999995</v>
      </c>
      <c r="G150" s="295">
        <f>ROUND(F150*mark_up,0)</f>
        <v>2290</v>
      </c>
      <c r="H150" s="83"/>
      <c r="I150" s="295">
        <f>ROUND(G150*1.215328,0)</f>
        <v>2783</v>
      </c>
      <c r="J150" s="83"/>
      <c r="K150" s="295">
        <f>ROUND(G150*1.35766,0)</f>
        <v>3109</v>
      </c>
      <c r="L150" s="83"/>
      <c r="M150" s="295" t="s">
        <v>22</v>
      </c>
      <c r="N150" s="83"/>
      <c r="O150" s="295" t="s">
        <v>22</v>
      </c>
      <c r="P150" s="83"/>
      <c r="Q150" s="295" t="s">
        <v>22</v>
      </c>
      <c r="R150" s="104"/>
      <c r="S150" s="299"/>
      <c r="T150" s="72"/>
    </row>
    <row r="151" spans="1:20" ht="7.5" customHeight="1">
      <c r="A151" s="119"/>
      <c r="B151" s="126"/>
      <c r="C151" s="299"/>
      <c r="D151" s="299"/>
      <c r="E151" s="299"/>
      <c r="F151" s="296"/>
      <c r="G151" s="296"/>
      <c r="H151" s="84"/>
      <c r="I151" s="296"/>
      <c r="J151" s="84"/>
      <c r="K151" s="296"/>
      <c r="L151" s="84"/>
      <c r="M151" s="296"/>
      <c r="N151" s="84"/>
      <c r="O151" s="296"/>
      <c r="P151" s="84"/>
      <c r="Q151" s="296"/>
      <c r="R151" s="82"/>
      <c r="S151" s="299"/>
      <c r="T151" s="124"/>
    </row>
    <row r="152" spans="1:20" ht="7.5" customHeight="1">
      <c r="A152" s="70"/>
      <c r="B152" s="126"/>
      <c r="C152" s="299"/>
      <c r="D152" s="81"/>
      <c r="E152" s="299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2"/>
      <c r="S152" s="299"/>
      <c r="T152" s="72"/>
    </row>
    <row r="153" spans="1:20" ht="7.5" customHeight="1">
      <c r="A153" s="70"/>
      <c r="B153" s="126"/>
      <c r="C153" s="334" t="s">
        <v>71</v>
      </c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2"/>
      <c r="S153" s="299"/>
      <c r="T153" s="72"/>
    </row>
    <row r="154" spans="1:20" ht="7.5" customHeight="1">
      <c r="A154" s="70"/>
      <c r="B154" s="126"/>
      <c r="C154" s="299"/>
      <c r="D154" s="82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2"/>
      <c r="S154" s="299"/>
      <c r="T154" s="72"/>
    </row>
    <row r="155" spans="1:20" ht="7.5" customHeight="1">
      <c r="A155" s="70"/>
      <c r="B155" s="126"/>
      <c r="C155" s="299"/>
      <c r="D155" s="82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104"/>
      <c r="S155" s="299"/>
      <c r="T155" s="72"/>
    </row>
    <row r="156" spans="1:20" ht="7.5" customHeight="1">
      <c r="A156" s="70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04"/>
      <c r="S156" s="299"/>
      <c r="T156" s="72"/>
    </row>
    <row r="157" spans="1:20" ht="7.5" customHeight="1">
      <c r="A157" s="70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298" t="s">
        <v>15</v>
      </c>
      <c r="S157" s="326" t="s">
        <v>31</v>
      </c>
      <c r="T157" s="72"/>
    </row>
    <row r="158" spans="1:20" ht="7.5" customHeight="1">
      <c r="A158" s="70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299"/>
      <c r="S158" s="299"/>
      <c r="T158" s="72"/>
    </row>
    <row r="159" spans="1:20" ht="7.5" customHeight="1">
      <c r="A159" s="70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85"/>
      <c r="S159" s="299"/>
      <c r="T159" s="72"/>
    </row>
    <row r="160" spans="1:20" ht="7.5" customHeight="1">
      <c r="A160" s="70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72"/>
    </row>
    <row r="161" spans="1:20" ht="7.5" customHeight="1">
      <c r="A161" s="70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72"/>
    </row>
    <row r="162" spans="1:20" ht="7.5" customHeight="1">
      <c r="A162" s="70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72"/>
    </row>
    <row r="163" spans="1:20" ht="7.5" customHeight="1">
      <c r="A163" s="70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72"/>
    </row>
    <row r="164" spans="1:20" ht="7.5" customHeight="1">
      <c r="A164" s="70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72"/>
    </row>
    <row r="165" spans="1:20" ht="7.5" customHeight="1">
      <c r="A165" s="70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72"/>
    </row>
    <row r="166" spans="1:20" ht="7.5" customHeight="1">
      <c r="A166" s="70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72"/>
    </row>
    <row r="167" spans="1:20" ht="7.5" customHeight="1">
      <c r="A167" s="70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72"/>
    </row>
    <row r="168" spans="1:20" ht="7.5" customHeight="1">
      <c r="A168" s="70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72"/>
    </row>
    <row r="169" spans="1:20" ht="7.5" customHeight="1">
      <c r="A169" s="70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72"/>
    </row>
    <row r="170" spans="1:20" ht="7.5" customHeight="1">
      <c r="A170" s="70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72"/>
    </row>
    <row r="171" spans="1:20" ht="7.5" customHeight="1">
      <c r="A171" s="70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04"/>
      <c r="S171" s="104"/>
      <c r="T171" s="72"/>
    </row>
    <row r="172" spans="1:20" ht="7.5" customHeight="1">
      <c r="A172" s="70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04"/>
      <c r="S172" s="104"/>
      <c r="T172" s="72"/>
    </row>
    <row r="173" spans="1:20" ht="7.5" customHeight="1">
      <c r="A173" s="70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04"/>
      <c r="S173" s="104"/>
      <c r="T173" s="72"/>
    </row>
    <row r="174" spans="1:20" ht="7.5" customHeight="1">
      <c r="A174" s="70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72"/>
    </row>
    <row r="175" spans="1:20" ht="7.5" customHeight="1">
      <c r="A175" s="70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72"/>
    </row>
    <row r="176" spans="1:20" ht="7.5" customHeight="1">
      <c r="A176" s="70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72"/>
    </row>
    <row r="177" spans="1:20" ht="7.5" customHeight="1">
      <c r="A177" s="70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72"/>
    </row>
    <row r="178" spans="1:20" ht="7.5" customHeight="1">
      <c r="A178" s="70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72"/>
    </row>
    <row r="179" spans="1:20" ht="7.5" customHeight="1">
      <c r="A179" s="70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72"/>
    </row>
    <row r="180" spans="1:20" ht="7.5" customHeight="1">
      <c r="A180" s="70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72"/>
    </row>
    <row r="181" spans="1:20" ht="11.25" customHeight="1">
      <c r="A181" s="70"/>
      <c r="B181" s="300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2" t="s">
        <v>53</v>
      </c>
      <c r="T181" s="72"/>
    </row>
    <row r="182" spans="1:20" ht="11.25" customHeight="1">
      <c r="A182" s="70"/>
      <c r="B182" s="111"/>
      <c r="C182" s="116"/>
      <c r="D182" s="117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7"/>
      <c r="S182" s="296"/>
      <c r="T182" s="72"/>
    </row>
    <row r="183" spans="1:20" ht="11.25" customHeight="1">
      <c r="A183" s="70"/>
      <c r="B183" s="322" t="s">
        <v>72</v>
      </c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72"/>
    </row>
    <row r="184" spans="1:20" ht="61.5" customHeight="1">
      <c r="A184" s="70"/>
      <c r="B184" s="331"/>
      <c r="C184" s="31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310" t="s">
        <v>5</v>
      </c>
      <c r="P184" s="311"/>
      <c r="Q184" s="311"/>
      <c r="R184" s="311"/>
      <c r="S184" s="311"/>
      <c r="T184" s="72"/>
    </row>
    <row r="185" spans="1:20" ht="34.5" customHeight="1">
      <c r="A185" s="70"/>
      <c r="B185" s="118" t="s">
        <v>6</v>
      </c>
      <c r="C185" s="118" t="s">
        <v>7</v>
      </c>
      <c r="D185" s="74" t="s">
        <v>8</v>
      </c>
      <c r="E185" s="74" t="s">
        <v>9</v>
      </c>
      <c r="F185" s="75" t="s">
        <v>10</v>
      </c>
      <c r="G185" s="74" t="s">
        <v>11</v>
      </c>
      <c r="H185" s="75" t="s">
        <v>10</v>
      </c>
      <c r="I185" s="74" t="s">
        <v>11</v>
      </c>
      <c r="J185" s="75" t="s">
        <v>10</v>
      </c>
      <c r="K185" s="74" t="s">
        <v>11</v>
      </c>
      <c r="L185" s="75" t="s">
        <v>10</v>
      </c>
      <c r="M185" s="74" t="s">
        <v>11</v>
      </c>
      <c r="N185" s="75" t="s">
        <v>10</v>
      </c>
      <c r="O185" s="74" t="s">
        <v>11</v>
      </c>
      <c r="P185" s="75" t="s">
        <v>10</v>
      </c>
      <c r="Q185" s="74" t="s">
        <v>11</v>
      </c>
      <c r="R185" s="328" t="s">
        <v>12</v>
      </c>
      <c r="S185" s="329"/>
      <c r="T185" s="76"/>
    </row>
    <row r="186" spans="1:20" ht="7.5" customHeight="1">
      <c r="A186" s="119"/>
      <c r="B186" s="333" t="s">
        <v>13</v>
      </c>
      <c r="C186" s="120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330" t="s">
        <v>15</v>
      </c>
      <c r="S186" s="308" t="s">
        <v>55</v>
      </c>
      <c r="T186" s="72"/>
    </row>
    <row r="187" spans="1:20" ht="7.5" customHeight="1">
      <c r="A187" s="119"/>
      <c r="B187" s="299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299"/>
      <c r="S187" s="299"/>
      <c r="T187" s="72"/>
    </row>
    <row r="188" spans="1:20" ht="7.5" customHeight="1">
      <c r="A188" s="119"/>
      <c r="B188" s="299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80"/>
      <c r="S188" s="299"/>
      <c r="T188" s="72"/>
    </row>
    <row r="189" spans="1:20" ht="7.5" customHeight="1">
      <c r="A189" s="119"/>
      <c r="B189" s="299"/>
      <c r="C189" s="332" t="s">
        <v>73</v>
      </c>
      <c r="D189" s="82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2"/>
      <c r="S189" s="299"/>
      <c r="T189" s="72"/>
    </row>
    <row r="190" spans="1:20" ht="7.5" customHeight="1">
      <c r="A190" s="119"/>
      <c r="B190" s="299"/>
      <c r="C190" s="299"/>
      <c r="D190" s="129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0"/>
      <c r="S190" s="299"/>
      <c r="T190" s="72"/>
    </row>
    <row r="191" spans="1:20" ht="7.5" customHeight="1">
      <c r="A191" s="119"/>
      <c r="B191" s="299"/>
      <c r="C191" s="299"/>
      <c r="D191" s="81"/>
      <c r="E191" s="81"/>
      <c r="F191" s="81"/>
      <c r="G191" s="81"/>
      <c r="H191" s="81"/>
      <c r="I191" s="307" t="s">
        <v>35</v>
      </c>
      <c r="J191" s="81"/>
      <c r="K191" s="307" t="s">
        <v>36</v>
      </c>
      <c r="L191" s="81"/>
      <c r="M191" s="307" t="s">
        <v>19</v>
      </c>
      <c r="N191" s="81"/>
      <c r="O191" s="307" t="s">
        <v>20</v>
      </c>
      <c r="P191" s="81"/>
      <c r="Q191" s="81"/>
      <c r="R191" s="85"/>
      <c r="S191" s="299"/>
      <c r="T191" s="72"/>
    </row>
    <row r="192" spans="1:20" ht="7.5" customHeight="1">
      <c r="A192" s="119"/>
      <c r="B192" s="299"/>
      <c r="C192" s="299"/>
      <c r="D192" s="130"/>
      <c r="E192" s="81"/>
      <c r="F192" s="99"/>
      <c r="G192" s="100"/>
      <c r="H192" s="78"/>
      <c r="I192" s="299"/>
      <c r="J192" s="99"/>
      <c r="K192" s="299"/>
      <c r="L192" s="79"/>
      <c r="M192" s="299"/>
      <c r="N192" s="99"/>
      <c r="O192" s="299"/>
      <c r="P192" s="99"/>
      <c r="Q192" s="99"/>
      <c r="R192" s="82"/>
      <c r="S192" s="299"/>
      <c r="T192" s="72"/>
    </row>
    <row r="193" spans="1:20" ht="7.5" customHeight="1">
      <c r="A193" s="119"/>
      <c r="B193" s="299"/>
      <c r="C193" s="299"/>
      <c r="D193" s="129"/>
      <c r="E193" s="99"/>
      <c r="F193" s="99"/>
      <c r="G193" s="100"/>
      <c r="H193" s="101"/>
      <c r="I193" s="299"/>
      <c r="J193" s="99"/>
      <c r="K193" s="299"/>
      <c r="L193" s="79"/>
      <c r="M193" s="299"/>
      <c r="N193" s="99"/>
      <c r="O193" s="299"/>
      <c r="P193" s="99"/>
      <c r="Q193" s="99"/>
      <c r="R193" s="82"/>
      <c r="S193" s="299"/>
      <c r="T193" s="72"/>
    </row>
    <row r="194" spans="1:20" ht="7.5" customHeight="1">
      <c r="A194" s="119"/>
      <c r="B194" s="299"/>
      <c r="C194" s="299"/>
      <c r="D194" s="129"/>
      <c r="E194" s="81"/>
      <c r="F194" s="99"/>
      <c r="G194" s="103"/>
      <c r="H194" s="102"/>
      <c r="I194" s="296"/>
      <c r="J194" s="99"/>
      <c r="K194" s="296"/>
      <c r="L194" s="81"/>
      <c r="M194" s="296"/>
      <c r="N194" s="99"/>
      <c r="O194" s="296"/>
      <c r="P194" s="99"/>
      <c r="Q194" s="99"/>
      <c r="R194" s="82"/>
      <c r="S194" s="299"/>
      <c r="T194" s="72"/>
    </row>
    <row r="195" spans="1:20" ht="7.5" customHeight="1">
      <c r="A195" s="119"/>
      <c r="B195" s="299"/>
      <c r="C195" s="299"/>
      <c r="D195" s="327" t="s">
        <v>74</v>
      </c>
      <c r="E195" s="307" t="s">
        <v>22</v>
      </c>
      <c r="F195" s="295"/>
      <c r="G195" s="295" t="s">
        <v>22</v>
      </c>
      <c r="H195" s="295"/>
      <c r="I195" s="295">
        <f>ROUND(K195*1.1,0)</f>
        <v>7171</v>
      </c>
      <c r="J195" s="312">
        <v>1526.7455774999996</v>
      </c>
      <c r="K195" s="295">
        <f>ROUND(J195*mark_up,0)</f>
        <v>6519</v>
      </c>
      <c r="L195" s="295"/>
      <c r="M195" s="295">
        <f>ROUND((I195-K195)+O195,0)</f>
        <v>13038</v>
      </c>
      <c r="N195" s="295"/>
      <c r="O195" s="295">
        <f>ROUND(K195*1.9,0)</f>
        <v>12386</v>
      </c>
      <c r="P195" s="83"/>
      <c r="Q195" s="295" t="s">
        <v>22</v>
      </c>
      <c r="R195" s="298" t="s">
        <v>15</v>
      </c>
      <c r="S195" s="325" t="s">
        <v>58</v>
      </c>
      <c r="T195" s="72"/>
    </row>
    <row r="196" spans="1:20" ht="7.5" customHeight="1">
      <c r="A196" s="119"/>
      <c r="B196" s="299"/>
      <c r="C196" s="299"/>
      <c r="D196" s="299"/>
      <c r="E196" s="299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84"/>
      <c r="Q196" s="296"/>
      <c r="R196" s="299"/>
      <c r="S196" s="299"/>
      <c r="T196" s="72"/>
    </row>
    <row r="197" spans="1:20" ht="7.5" customHeight="1">
      <c r="A197" s="119"/>
      <c r="B197" s="299"/>
      <c r="C197" s="299"/>
      <c r="D197" s="122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82"/>
      <c r="S197" s="299"/>
      <c r="T197" s="72"/>
    </row>
    <row r="198" spans="1:20" ht="7.5" customHeight="1">
      <c r="A198" s="119"/>
      <c r="B198" s="299"/>
      <c r="C198" s="334" t="s">
        <v>75</v>
      </c>
      <c r="D198" s="129"/>
      <c r="E198" s="99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298" t="s">
        <v>15</v>
      </c>
      <c r="S198" s="304" t="s">
        <v>24</v>
      </c>
      <c r="T198" s="72"/>
    </row>
    <row r="199" spans="1:20" ht="7.5" customHeight="1">
      <c r="A199" s="119"/>
      <c r="B199" s="299"/>
      <c r="C199" s="299"/>
      <c r="D199" s="129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299"/>
      <c r="S199" s="299"/>
      <c r="T199" s="72"/>
    </row>
    <row r="200" spans="1:20" ht="7.5" customHeight="1">
      <c r="A200" s="119"/>
      <c r="B200" s="299"/>
      <c r="C200" s="299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82"/>
      <c r="S200" s="299"/>
      <c r="T200" s="72"/>
    </row>
    <row r="201" spans="1:20" ht="7.5" customHeight="1">
      <c r="A201" s="119"/>
      <c r="B201" s="299"/>
      <c r="C201" s="13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298" t="s">
        <v>15</v>
      </c>
      <c r="S201" s="325" t="s">
        <v>76</v>
      </c>
      <c r="T201" s="72"/>
    </row>
    <row r="202" spans="1:20" ht="7.5" customHeight="1">
      <c r="A202" s="119"/>
      <c r="B202" s="299"/>
      <c r="C202" s="332" t="s">
        <v>77</v>
      </c>
      <c r="D202" s="81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299"/>
      <c r="S202" s="299"/>
      <c r="T202" s="72"/>
    </row>
    <row r="203" spans="1:20" ht="7.5" customHeight="1">
      <c r="A203" s="119"/>
      <c r="B203" s="299"/>
      <c r="C203" s="299"/>
      <c r="D203" s="81"/>
      <c r="E203" s="81"/>
      <c r="F203" s="99"/>
      <c r="G203" s="307" t="s">
        <v>42</v>
      </c>
      <c r="H203" s="78"/>
      <c r="I203" s="307" t="s">
        <v>43</v>
      </c>
      <c r="J203" s="99"/>
      <c r="K203" s="307" t="s">
        <v>44</v>
      </c>
      <c r="L203" s="99"/>
      <c r="M203" s="307" t="s">
        <v>45</v>
      </c>
      <c r="N203" s="81"/>
      <c r="O203" s="307" t="s">
        <v>46</v>
      </c>
      <c r="P203" s="81"/>
      <c r="Q203" s="81"/>
      <c r="R203" s="82"/>
      <c r="S203" s="299"/>
      <c r="T203" s="72"/>
    </row>
    <row r="204" spans="1:20" ht="7.5" customHeight="1">
      <c r="A204" s="119"/>
      <c r="B204" s="299"/>
      <c r="C204" s="299"/>
      <c r="D204" s="81"/>
      <c r="E204" s="99"/>
      <c r="F204" s="99"/>
      <c r="G204" s="299"/>
      <c r="H204" s="101"/>
      <c r="I204" s="299"/>
      <c r="J204" s="99"/>
      <c r="K204" s="299"/>
      <c r="L204" s="99"/>
      <c r="M204" s="299"/>
      <c r="N204" s="81"/>
      <c r="O204" s="299"/>
      <c r="P204" s="81"/>
      <c r="Q204" s="81"/>
      <c r="R204" s="82"/>
      <c r="S204" s="299"/>
      <c r="T204" s="72"/>
    </row>
    <row r="205" spans="1:20" ht="7.5" customHeight="1">
      <c r="A205" s="119"/>
      <c r="B205" s="299"/>
      <c r="C205" s="299"/>
      <c r="D205" s="327" t="s">
        <v>78</v>
      </c>
      <c r="E205" s="307" t="s">
        <v>47</v>
      </c>
      <c r="F205" s="99"/>
      <c r="G205" s="296"/>
      <c r="H205" s="102"/>
      <c r="I205" s="296"/>
      <c r="J205" s="99"/>
      <c r="K205" s="296"/>
      <c r="L205" s="99"/>
      <c r="M205" s="296"/>
      <c r="N205" s="81"/>
      <c r="O205" s="296"/>
      <c r="P205" s="81"/>
      <c r="Q205" s="81"/>
      <c r="R205" s="82"/>
      <c r="S205" s="299"/>
      <c r="T205" s="72"/>
    </row>
    <row r="206" spans="1:20" ht="7.5" customHeight="1">
      <c r="A206" s="119"/>
      <c r="B206" s="299"/>
      <c r="C206" s="299"/>
      <c r="D206" s="299"/>
      <c r="E206" s="299"/>
      <c r="F206" s="312">
        <v>473.68260225</v>
      </c>
      <c r="G206" s="295">
        <f>ROUND(F206*mark_up,0)</f>
        <v>2023</v>
      </c>
      <c r="H206" s="83"/>
      <c r="I206" s="295">
        <f>ROUND(G206*1.03333333333333,0)</f>
        <v>2090</v>
      </c>
      <c r="J206" s="106"/>
      <c r="K206" s="295">
        <f>ROUND(G206*1.41304347826087,0)</f>
        <v>2859</v>
      </c>
      <c r="L206" s="106"/>
      <c r="M206" s="295">
        <f>ROUND(G206*2.25206,0)</f>
        <v>4556</v>
      </c>
      <c r="N206" s="106"/>
      <c r="O206" s="295">
        <f>ROUND(G206*3.69834,0)</f>
        <v>7482</v>
      </c>
      <c r="P206" s="83"/>
      <c r="Q206" s="295" t="s">
        <v>22</v>
      </c>
      <c r="R206" s="298" t="s">
        <v>15</v>
      </c>
      <c r="S206" s="325" t="s">
        <v>79</v>
      </c>
      <c r="T206" s="72"/>
    </row>
    <row r="207" spans="1:20" ht="7.5" customHeight="1">
      <c r="A207" s="119"/>
      <c r="B207" s="299"/>
      <c r="C207" s="299"/>
      <c r="D207" s="299"/>
      <c r="E207" s="299"/>
      <c r="F207" s="296"/>
      <c r="G207" s="296"/>
      <c r="H207" s="84"/>
      <c r="I207" s="296"/>
      <c r="J207" s="107"/>
      <c r="K207" s="296"/>
      <c r="L207" s="107"/>
      <c r="M207" s="296"/>
      <c r="N207" s="107"/>
      <c r="O207" s="296"/>
      <c r="P207" s="84"/>
      <c r="Q207" s="296"/>
      <c r="R207" s="299"/>
      <c r="S207" s="299"/>
      <c r="T207" s="72"/>
    </row>
    <row r="208" spans="1:20" ht="7.5" customHeight="1">
      <c r="A208" s="119"/>
      <c r="B208" s="299"/>
      <c r="C208" s="299"/>
      <c r="D208" s="299"/>
      <c r="E208" s="299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104"/>
      <c r="S208" s="299"/>
      <c r="T208" s="72"/>
    </row>
    <row r="209" spans="1:20" ht="7.5" customHeight="1">
      <c r="A209" s="119"/>
      <c r="B209" s="299"/>
      <c r="C209" s="299"/>
      <c r="D209" s="299"/>
      <c r="E209" s="81"/>
      <c r="F209" s="81"/>
      <c r="G209" s="307" t="s">
        <v>48</v>
      </c>
      <c r="H209" s="81"/>
      <c r="I209" s="307" t="s">
        <v>49</v>
      </c>
      <c r="J209" s="81"/>
      <c r="K209" s="307" t="s">
        <v>50</v>
      </c>
      <c r="L209" s="81"/>
      <c r="M209" s="81"/>
      <c r="N209" s="81"/>
      <c r="O209" s="81"/>
      <c r="P209" s="81"/>
      <c r="Q209" s="81"/>
      <c r="R209" s="104"/>
      <c r="S209" s="299"/>
      <c r="T209" s="72"/>
    </row>
    <row r="210" spans="1:20" ht="7.5" customHeight="1">
      <c r="A210" s="119"/>
      <c r="B210" s="299"/>
      <c r="C210" s="299"/>
      <c r="D210" s="299"/>
      <c r="E210" s="81"/>
      <c r="F210" s="81"/>
      <c r="G210" s="299"/>
      <c r="H210" s="81"/>
      <c r="I210" s="299"/>
      <c r="J210" s="81"/>
      <c r="K210" s="299"/>
      <c r="L210" s="81"/>
      <c r="M210" s="81"/>
      <c r="N210" s="81"/>
      <c r="O210" s="81"/>
      <c r="P210" s="81"/>
      <c r="Q210" s="81"/>
      <c r="R210" s="104"/>
      <c r="S210" s="299"/>
      <c r="T210" s="72"/>
    </row>
    <row r="211" spans="1:20" ht="7.5" customHeight="1">
      <c r="A211" s="119"/>
      <c r="B211" s="299"/>
      <c r="C211" s="299"/>
      <c r="D211" s="299"/>
      <c r="E211" s="307" t="s">
        <v>51</v>
      </c>
      <c r="F211" s="81"/>
      <c r="G211" s="299"/>
      <c r="H211" s="81"/>
      <c r="I211" s="299"/>
      <c r="J211" s="81"/>
      <c r="K211" s="299"/>
      <c r="L211" s="81"/>
      <c r="M211" s="81"/>
      <c r="N211" s="81"/>
      <c r="O211" s="81"/>
      <c r="P211" s="81"/>
      <c r="Q211" s="81"/>
      <c r="R211" s="82"/>
      <c r="S211" s="299"/>
      <c r="T211" s="72"/>
    </row>
    <row r="212" spans="1:20" ht="7.5" customHeight="1">
      <c r="A212" s="119"/>
      <c r="B212" s="299"/>
      <c r="C212" s="299"/>
      <c r="D212" s="299"/>
      <c r="E212" s="299"/>
      <c r="F212" s="312">
        <v>536.31831824999995</v>
      </c>
      <c r="G212" s="295">
        <f>ROUND(F212*mark_up,0)</f>
        <v>2290</v>
      </c>
      <c r="H212" s="83"/>
      <c r="I212" s="295">
        <f>ROUND(G212*1.215328,0)</f>
        <v>2783</v>
      </c>
      <c r="J212" s="83"/>
      <c r="K212" s="295">
        <f>ROUND(G212*1.35766,0)</f>
        <v>3109</v>
      </c>
      <c r="L212" s="83"/>
      <c r="M212" s="295" t="s">
        <v>22</v>
      </c>
      <c r="N212" s="83"/>
      <c r="O212" s="295" t="s">
        <v>22</v>
      </c>
      <c r="P212" s="83"/>
      <c r="Q212" s="295" t="s">
        <v>22</v>
      </c>
      <c r="R212" s="82"/>
      <c r="S212" s="299"/>
      <c r="T212" s="72"/>
    </row>
    <row r="213" spans="1:20" ht="7.5" customHeight="1">
      <c r="A213" s="119"/>
      <c r="B213" s="299"/>
      <c r="C213" s="299"/>
      <c r="D213" s="299"/>
      <c r="E213" s="299"/>
      <c r="F213" s="296"/>
      <c r="G213" s="296"/>
      <c r="H213" s="84"/>
      <c r="I213" s="296"/>
      <c r="J213" s="84"/>
      <c r="K213" s="296"/>
      <c r="L213" s="84"/>
      <c r="M213" s="296"/>
      <c r="N213" s="84"/>
      <c r="O213" s="296"/>
      <c r="P213" s="84"/>
      <c r="Q213" s="296"/>
      <c r="R213" s="82"/>
      <c r="S213" s="299"/>
      <c r="T213" s="72"/>
    </row>
    <row r="214" spans="1:20" ht="7.5" customHeight="1">
      <c r="A214" s="119"/>
      <c r="B214" s="299"/>
      <c r="C214" s="299"/>
      <c r="D214" s="299"/>
      <c r="E214" s="299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2"/>
      <c r="S214" s="299"/>
      <c r="T214" s="72"/>
    </row>
    <row r="215" spans="1:20" ht="7.5" customHeight="1">
      <c r="A215" s="119"/>
      <c r="B215" s="299"/>
      <c r="C215" s="299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104"/>
      <c r="S215" s="299"/>
      <c r="T215" s="72"/>
    </row>
    <row r="216" spans="1:20" ht="7.5" customHeight="1">
      <c r="A216" s="119"/>
      <c r="B216" s="104"/>
      <c r="C216" s="334" t="s">
        <v>80</v>
      </c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104"/>
      <c r="S216" s="299"/>
      <c r="T216" s="124"/>
    </row>
    <row r="217" spans="1:20" ht="7.5" customHeight="1">
      <c r="A217" s="119"/>
      <c r="B217" s="104"/>
      <c r="C217" s="299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298" t="s">
        <v>15</v>
      </c>
      <c r="S217" s="326" t="s">
        <v>31</v>
      </c>
      <c r="T217" s="124"/>
    </row>
    <row r="218" spans="1:20" ht="7.5" customHeight="1">
      <c r="A218" s="70"/>
      <c r="B218" s="104"/>
      <c r="C218" s="299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299"/>
      <c r="S218" s="299"/>
      <c r="T218" s="72"/>
    </row>
    <row r="219" spans="1:20" ht="7.5" customHeight="1">
      <c r="A219" s="70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85"/>
      <c r="S219" s="299"/>
      <c r="T219" s="72"/>
    </row>
    <row r="220" spans="1:20" ht="7.5" customHeight="1">
      <c r="A220" s="70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298" t="s">
        <v>15</v>
      </c>
      <c r="S220" s="325" t="s">
        <v>81</v>
      </c>
      <c r="T220" s="72"/>
    </row>
    <row r="221" spans="1:20" ht="7.5" customHeight="1">
      <c r="A221" s="70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299"/>
      <c r="S221" s="299"/>
      <c r="T221" s="72"/>
    </row>
    <row r="222" spans="1:20" ht="7.5" customHeight="1">
      <c r="A222" s="70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82"/>
      <c r="S222" s="299"/>
      <c r="T222" s="72"/>
    </row>
    <row r="223" spans="1:20" ht="7.5" customHeight="1">
      <c r="A223" s="7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72"/>
    </row>
    <row r="224" spans="1:20" ht="7.5" customHeight="1">
      <c r="A224" s="70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72"/>
    </row>
    <row r="225" spans="1:20" ht="7.5" customHeight="1">
      <c r="A225" s="70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72"/>
    </row>
    <row r="226" spans="1:20" ht="7.5" customHeight="1">
      <c r="A226" s="70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72"/>
    </row>
    <row r="227" spans="1:20" ht="7.5" customHeight="1">
      <c r="A227" s="70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72"/>
    </row>
    <row r="228" spans="1:20" ht="7.5" customHeight="1">
      <c r="A228" s="70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72"/>
    </row>
    <row r="229" spans="1:20" ht="7.5" customHeight="1">
      <c r="A229" s="70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72"/>
    </row>
    <row r="230" spans="1:20" ht="7.5" customHeight="1">
      <c r="A230" s="70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72"/>
    </row>
    <row r="231" spans="1:20" ht="7.5" customHeight="1">
      <c r="A231" s="70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72"/>
    </row>
    <row r="232" spans="1:20" ht="7.5" customHeight="1">
      <c r="A232" s="70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72"/>
    </row>
    <row r="233" spans="1:20" ht="7.5" customHeight="1">
      <c r="A233" s="70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72"/>
    </row>
    <row r="234" spans="1:20" ht="7.5" customHeight="1">
      <c r="A234" s="70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72"/>
    </row>
    <row r="235" spans="1:20" ht="7.5" customHeight="1">
      <c r="A235" s="70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72"/>
    </row>
    <row r="236" spans="1:20" ht="7.5" customHeight="1">
      <c r="A236" s="70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72"/>
    </row>
    <row r="237" spans="1:20" ht="7.5" customHeight="1">
      <c r="A237" s="70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72"/>
    </row>
    <row r="238" spans="1:20" ht="7.5" customHeight="1">
      <c r="A238" s="72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72"/>
    </row>
    <row r="239" spans="1:20" ht="7.5" customHeight="1">
      <c r="A239" s="72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72"/>
    </row>
    <row r="240" spans="1:20" ht="7.5" customHeight="1">
      <c r="A240" s="72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72"/>
    </row>
    <row r="241" spans="1:20" ht="7.5" customHeight="1">
      <c r="A241" s="72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72"/>
    </row>
    <row r="242" spans="1:20" ht="11.25" customHeight="1">
      <c r="A242" s="72"/>
      <c r="B242" s="300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2" t="s">
        <v>53</v>
      </c>
      <c r="T242" s="72"/>
    </row>
    <row r="243" spans="1:20" ht="11.25" customHeight="1">
      <c r="A243" s="72"/>
      <c r="B243" s="111"/>
      <c r="C243" s="116"/>
      <c r="D243" s="117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7"/>
      <c r="S243" s="296"/>
      <c r="T243" s="72"/>
    </row>
    <row r="244" spans="1:20" ht="11.25" customHeight="1">
      <c r="A244" s="132"/>
      <c r="B244" s="322" t="s">
        <v>82</v>
      </c>
      <c r="C244" s="323"/>
      <c r="D244" s="323"/>
      <c r="E244" s="323"/>
      <c r="F244" s="323"/>
      <c r="G244" s="323"/>
      <c r="H244" s="323"/>
      <c r="I244" s="323"/>
      <c r="J244" s="323"/>
      <c r="K244" s="323"/>
      <c r="L244" s="323"/>
      <c r="M244" s="323"/>
      <c r="N244" s="323"/>
      <c r="O244" s="323"/>
      <c r="P244" s="323"/>
      <c r="Q244" s="323"/>
      <c r="R244" s="323"/>
      <c r="S244" s="323"/>
      <c r="T244" s="72"/>
    </row>
    <row r="245" spans="1:20" ht="61.5" customHeight="1">
      <c r="A245" s="70"/>
      <c r="B245" s="331"/>
      <c r="C245" s="31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310" t="s">
        <v>5</v>
      </c>
      <c r="P245" s="311"/>
      <c r="Q245" s="311"/>
      <c r="R245" s="311"/>
      <c r="S245" s="311"/>
      <c r="T245" s="72"/>
    </row>
    <row r="246" spans="1:20" ht="34.5" customHeight="1">
      <c r="A246" s="70"/>
      <c r="B246" s="118" t="s">
        <v>6</v>
      </c>
      <c r="C246" s="118" t="s">
        <v>7</v>
      </c>
      <c r="D246" s="74" t="s">
        <v>8</v>
      </c>
      <c r="E246" s="74" t="s">
        <v>9</v>
      </c>
      <c r="F246" s="75" t="s">
        <v>10</v>
      </c>
      <c r="G246" s="74" t="s">
        <v>11</v>
      </c>
      <c r="H246" s="75" t="s">
        <v>10</v>
      </c>
      <c r="I246" s="74" t="s">
        <v>11</v>
      </c>
      <c r="J246" s="75" t="s">
        <v>10</v>
      </c>
      <c r="K246" s="74" t="s">
        <v>11</v>
      </c>
      <c r="L246" s="75" t="s">
        <v>10</v>
      </c>
      <c r="M246" s="74" t="s">
        <v>11</v>
      </c>
      <c r="N246" s="75" t="s">
        <v>10</v>
      </c>
      <c r="O246" s="74" t="s">
        <v>11</v>
      </c>
      <c r="P246" s="75" t="s">
        <v>10</v>
      </c>
      <c r="Q246" s="74" t="s">
        <v>11</v>
      </c>
      <c r="R246" s="328" t="s">
        <v>12</v>
      </c>
      <c r="S246" s="329"/>
      <c r="T246" s="76"/>
    </row>
    <row r="247" spans="1:20" ht="7.5" customHeight="1">
      <c r="A247" s="119"/>
      <c r="B247" s="333" t="s">
        <v>13</v>
      </c>
      <c r="C247" s="120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298" t="s">
        <v>15</v>
      </c>
      <c r="S247" s="325" t="s">
        <v>83</v>
      </c>
      <c r="T247" s="72"/>
    </row>
    <row r="248" spans="1:20" ht="7.5" customHeight="1">
      <c r="A248" s="119"/>
      <c r="B248" s="299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299"/>
      <c r="S248" s="299"/>
      <c r="T248" s="72"/>
    </row>
    <row r="249" spans="1:20" ht="7.5" customHeight="1">
      <c r="A249" s="119"/>
      <c r="B249" s="299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80"/>
      <c r="S249" s="299"/>
      <c r="T249" s="72"/>
    </row>
    <row r="250" spans="1:20" ht="7.5" customHeight="1">
      <c r="A250" s="119"/>
      <c r="B250" s="299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82"/>
      <c r="S250" s="299"/>
      <c r="T250" s="72"/>
    </row>
    <row r="251" spans="1:20" ht="7.5" customHeight="1">
      <c r="A251" s="119"/>
      <c r="B251" s="299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80"/>
      <c r="S251" s="299"/>
      <c r="T251" s="72"/>
    </row>
    <row r="252" spans="1:20" ht="7.5" customHeight="1">
      <c r="A252" s="119"/>
      <c r="B252" s="299"/>
      <c r="C252" s="332" t="s">
        <v>84</v>
      </c>
      <c r="D252" s="82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5"/>
      <c r="S252" s="299"/>
      <c r="T252" s="72"/>
    </row>
    <row r="253" spans="1:20" ht="7.5" customHeight="1">
      <c r="A253" s="119"/>
      <c r="B253" s="299"/>
      <c r="C253" s="299"/>
      <c r="D253" s="122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82"/>
      <c r="S253" s="299"/>
      <c r="T253" s="72"/>
    </row>
    <row r="254" spans="1:20" ht="7.5" customHeight="1">
      <c r="A254" s="119"/>
      <c r="B254" s="299"/>
      <c r="C254" s="299"/>
      <c r="D254" s="81"/>
      <c r="E254" s="81"/>
      <c r="F254" s="81"/>
      <c r="G254" s="81"/>
      <c r="H254" s="81"/>
      <c r="I254" s="307" t="s">
        <v>35</v>
      </c>
      <c r="J254" s="81"/>
      <c r="K254" s="307" t="s">
        <v>36</v>
      </c>
      <c r="L254" s="81"/>
      <c r="M254" s="307" t="s">
        <v>19</v>
      </c>
      <c r="N254" s="81"/>
      <c r="O254" s="307" t="s">
        <v>20</v>
      </c>
      <c r="P254" s="81"/>
      <c r="Q254" s="81"/>
      <c r="R254" s="82"/>
      <c r="S254" s="299"/>
      <c r="T254" s="72"/>
    </row>
    <row r="255" spans="1:20" ht="7.5" customHeight="1">
      <c r="A255" s="119"/>
      <c r="B255" s="299"/>
      <c r="C255" s="299"/>
      <c r="D255" s="81"/>
      <c r="E255" s="81"/>
      <c r="F255" s="99"/>
      <c r="G255" s="100"/>
      <c r="H255" s="78"/>
      <c r="I255" s="299"/>
      <c r="J255" s="99"/>
      <c r="K255" s="299"/>
      <c r="L255" s="79"/>
      <c r="M255" s="299"/>
      <c r="N255" s="99"/>
      <c r="O255" s="299"/>
      <c r="P255" s="99"/>
      <c r="Q255" s="99"/>
      <c r="R255" s="82"/>
      <c r="S255" s="299"/>
      <c r="T255" s="72"/>
    </row>
    <row r="256" spans="1:20" ht="7.5" customHeight="1">
      <c r="A256" s="119"/>
      <c r="B256" s="299"/>
      <c r="C256" s="299"/>
      <c r="D256" s="108"/>
      <c r="E256" s="99"/>
      <c r="F256" s="99"/>
      <c r="G256" s="100"/>
      <c r="H256" s="101"/>
      <c r="I256" s="299"/>
      <c r="J256" s="99"/>
      <c r="K256" s="299"/>
      <c r="L256" s="79"/>
      <c r="M256" s="299"/>
      <c r="N256" s="99"/>
      <c r="O256" s="299"/>
      <c r="P256" s="99"/>
      <c r="Q256" s="99"/>
      <c r="R256" s="82"/>
      <c r="S256" s="299"/>
      <c r="T256" s="72"/>
    </row>
    <row r="257" spans="1:20" ht="7.5" customHeight="1">
      <c r="A257" s="119"/>
      <c r="B257" s="299"/>
      <c r="C257" s="299"/>
      <c r="D257" s="108"/>
      <c r="E257" s="81"/>
      <c r="F257" s="99"/>
      <c r="G257" s="103"/>
      <c r="H257" s="102"/>
      <c r="I257" s="296"/>
      <c r="J257" s="99"/>
      <c r="K257" s="296"/>
      <c r="L257" s="81"/>
      <c r="M257" s="296"/>
      <c r="N257" s="99"/>
      <c r="O257" s="296"/>
      <c r="P257" s="99"/>
      <c r="Q257" s="99"/>
      <c r="R257" s="298" t="s">
        <v>15</v>
      </c>
      <c r="S257" s="325" t="s">
        <v>58</v>
      </c>
      <c r="T257" s="72"/>
    </row>
    <row r="258" spans="1:20" ht="7.5" customHeight="1">
      <c r="A258" s="119"/>
      <c r="B258" s="299"/>
      <c r="C258" s="299"/>
      <c r="D258" s="327" t="s">
        <v>85</v>
      </c>
      <c r="E258" s="307" t="s">
        <v>22</v>
      </c>
      <c r="F258" s="295"/>
      <c r="G258" s="295" t="s">
        <v>22</v>
      </c>
      <c r="H258" s="295"/>
      <c r="I258" s="295">
        <f>ROUND(K258*1.1,0)</f>
        <v>6244</v>
      </c>
      <c r="J258" s="312">
        <v>1329.2295412499996</v>
      </c>
      <c r="K258" s="295">
        <f>ROUND(J258*mark_up,0)</f>
        <v>5676</v>
      </c>
      <c r="L258" s="295"/>
      <c r="M258" s="295">
        <f>ROUND((I258-K258)+O258,0)</f>
        <v>11920</v>
      </c>
      <c r="N258" s="295"/>
      <c r="O258" s="295">
        <f>ROUND(K258*2,0)</f>
        <v>11352</v>
      </c>
      <c r="P258" s="83"/>
      <c r="Q258" s="295" t="s">
        <v>22</v>
      </c>
      <c r="R258" s="299"/>
      <c r="S258" s="299"/>
      <c r="T258" s="72"/>
    </row>
    <row r="259" spans="1:20" ht="7.5" customHeight="1">
      <c r="A259" s="119"/>
      <c r="B259" s="299"/>
      <c r="C259" s="299"/>
      <c r="D259" s="299"/>
      <c r="E259" s="299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84"/>
      <c r="Q259" s="296"/>
      <c r="R259" s="82"/>
      <c r="S259" s="299"/>
      <c r="T259" s="72"/>
    </row>
    <row r="260" spans="1:20" ht="7.5" customHeight="1">
      <c r="A260" s="119"/>
      <c r="B260" s="299"/>
      <c r="C260" s="334" t="s">
        <v>86</v>
      </c>
      <c r="D260" s="108"/>
      <c r="E260" s="99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298" t="s">
        <v>15</v>
      </c>
      <c r="S260" s="304" t="s">
        <v>24</v>
      </c>
      <c r="T260" s="72"/>
    </row>
    <row r="261" spans="1:20" ht="7.5" customHeight="1">
      <c r="A261" s="119"/>
      <c r="B261" s="299"/>
      <c r="C261" s="299"/>
      <c r="D261" s="108"/>
      <c r="E261" s="99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299"/>
      <c r="S261" s="299"/>
      <c r="T261" s="72"/>
    </row>
    <row r="262" spans="1:20" ht="7.5" customHeight="1">
      <c r="A262" s="119"/>
      <c r="B262" s="299"/>
      <c r="C262" s="299"/>
      <c r="D262" s="125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82"/>
      <c r="S262" s="299"/>
      <c r="T262" s="72"/>
    </row>
    <row r="263" spans="1:20" ht="7.5" customHeight="1">
      <c r="A263" s="119"/>
      <c r="B263" s="299"/>
      <c r="C263" s="332" t="s">
        <v>87</v>
      </c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298" t="s">
        <v>15</v>
      </c>
      <c r="S263" s="325" t="s">
        <v>61</v>
      </c>
      <c r="T263" s="72"/>
    </row>
    <row r="264" spans="1:20" ht="7.5" customHeight="1">
      <c r="A264" s="119"/>
      <c r="B264" s="299"/>
      <c r="C264" s="299"/>
      <c r="D264" s="81"/>
      <c r="E264" s="81"/>
      <c r="F264" s="99"/>
      <c r="G264" s="307" t="s">
        <v>42</v>
      </c>
      <c r="H264" s="78"/>
      <c r="I264" s="307" t="s">
        <v>43</v>
      </c>
      <c r="J264" s="99"/>
      <c r="K264" s="307" t="s">
        <v>44</v>
      </c>
      <c r="L264" s="99"/>
      <c r="M264" s="307" t="s">
        <v>45</v>
      </c>
      <c r="N264" s="81"/>
      <c r="O264" s="307" t="s">
        <v>46</v>
      </c>
      <c r="P264" s="81"/>
      <c r="Q264" s="81"/>
      <c r="R264" s="299"/>
      <c r="S264" s="299"/>
      <c r="T264" s="72"/>
    </row>
    <row r="265" spans="1:20" ht="7.5" customHeight="1">
      <c r="A265" s="119"/>
      <c r="B265" s="299"/>
      <c r="C265" s="299"/>
      <c r="D265" s="81"/>
      <c r="E265" s="99"/>
      <c r="F265" s="99"/>
      <c r="G265" s="299"/>
      <c r="H265" s="101"/>
      <c r="I265" s="299"/>
      <c r="J265" s="99"/>
      <c r="K265" s="299"/>
      <c r="L265" s="99"/>
      <c r="M265" s="299"/>
      <c r="N265" s="81"/>
      <c r="O265" s="299"/>
      <c r="P265" s="81"/>
      <c r="Q265" s="81"/>
      <c r="R265" s="82"/>
      <c r="S265" s="299"/>
      <c r="T265" s="72"/>
    </row>
    <row r="266" spans="1:20" ht="7.5" customHeight="1">
      <c r="A266" s="119"/>
      <c r="B266" s="299"/>
      <c r="C266" s="299"/>
      <c r="D266" s="81"/>
      <c r="E266" s="307" t="s">
        <v>47</v>
      </c>
      <c r="F266" s="99"/>
      <c r="G266" s="296"/>
      <c r="H266" s="102"/>
      <c r="I266" s="296"/>
      <c r="J266" s="99"/>
      <c r="K266" s="296"/>
      <c r="L266" s="99"/>
      <c r="M266" s="296"/>
      <c r="N266" s="81"/>
      <c r="O266" s="296"/>
      <c r="P266" s="81"/>
      <c r="Q266" s="81"/>
      <c r="R266" s="82"/>
      <c r="S266" s="299"/>
      <c r="T266" s="72"/>
    </row>
    <row r="267" spans="1:20" ht="7.5" customHeight="1">
      <c r="A267" s="119"/>
      <c r="B267" s="299"/>
      <c r="C267" s="299"/>
      <c r="D267" s="327" t="s">
        <v>85</v>
      </c>
      <c r="E267" s="299"/>
      <c r="F267" s="312">
        <v>624.39979387499977</v>
      </c>
      <c r="G267" s="295">
        <f>ROUND(F267*mark_up,0)</f>
        <v>2666</v>
      </c>
      <c r="H267" s="83"/>
      <c r="I267" s="295">
        <f>ROUND(G267*1.03257328990228,0)</f>
        <v>2753</v>
      </c>
      <c r="J267" s="106"/>
      <c r="K267" s="295">
        <f>ROUND(G267*1.31921824104234,0)</f>
        <v>3517</v>
      </c>
      <c r="L267" s="106"/>
      <c r="M267" s="295">
        <f>ROUND(G267*1.9373,0)</f>
        <v>5165</v>
      </c>
      <c r="N267" s="106"/>
      <c r="O267" s="295">
        <f>ROUND(G267*3.03448,0)</f>
        <v>8090</v>
      </c>
      <c r="P267" s="83"/>
      <c r="Q267" s="295" t="s">
        <v>22</v>
      </c>
      <c r="R267" s="82"/>
      <c r="S267" s="299"/>
      <c r="T267" s="72"/>
    </row>
    <row r="268" spans="1:20" ht="7.5" customHeight="1">
      <c r="A268" s="119"/>
      <c r="B268" s="299"/>
      <c r="C268" s="299"/>
      <c r="D268" s="299"/>
      <c r="E268" s="299"/>
      <c r="F268" s="296"/>
      <c r="G268" s="296"/>
      <c r="H268" s="84"/>
      <c r="I268" s="296"/>
      <c r="J268" s="107"/>
      <c r="K268" s="296"/>
      <c r="L268" s="107"/>
      <c r="M268" s="296"/>
      <c r="N268" s="107"/>
      <c r="O268" s="296"/>
      <c r="P268" s="84"/>
      <c r="Q268" s="296"/>
      <c r="R268" s="298" t="s">
        <v>15</v>
      </c>
      <c r="S268" s="325" t="s">
        <v>88</v>
      </c>
      <c r="T268" s="72"/>
    </row>
    <row r="269" spans="1:20" ht="7.5" customHeight="1">
      <c r="A269" s="119"/>
      <c r="B269" s="299"/>
      <c r="C269" s="299"/>
      <c r="D269" s="299"/>
      <c r="E269" s="299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299"/>
      <c r="S269" s="299"/>
      <c r="T269" s="72"/>
    </row>
    <row r="270" spans="1:20" ht="7.5" customHeight="1">
      <c r="A270" s="119"/>
      <c r="B270" s="299"/>
      <c r="C270" s="299"/>
      <c r="D270" s="299"/>
      <c r="E270" s="81"/>
      <c r="F270" s="81"/>
      <c r="G270" s="307" t="s">
        <v>48</v>
      </c>
      <c r="H270" s="81"/>
      <c r="I270" s="307" t="s">
        <v>49</v>
      </c>
      <c r="J270" s="81"/>
      <c r="K270" s="307" t="s">
        <v>50</v>
      </c>
      <c r="L270" s="81"/>
      <c r="M270" s="81"/>
      <c r="N270" s="81"/>
      <c r="O270" s="81"/>
      <c r="P270" s="81"/>
      <c r="Q270" s="81"/>
      <c r="R270" s="104"/>
      <c r="S270" s="299"/>
      <c r="T270" s="72"/>
    </row>
    <row r="271" spans="1:20" ht="7.5" customHeight="1">
      <c r="A271" s="119"/>
      <c r="B271" s="299"/>
      <c r="C271" s="299"/>
      <c r="D271" s="299"/>
      <c r="E271" s="81"/>
      <c r="F271" s="81"/>
      <c r="G271" s="299"/>
      <c r="H271" s="81"/>
      <c r="I271" s="299"/>
      <c r="J271" s="81"/>
      <c r="K271" s="299"/>
      <c r="L271" s="81"/>
      <c r="M271" s="81"/>
      <c r="N271" s="81"/>
      <c r="O271" s="81"/>
      <c r="P271" s="81"/>
      <c r="Q271" s="81"/>
      <c r="R271" s="104"/>
      <c r="S271" s="299"/>
      <c r="T271" s="72"/>
    </row>
    <row r="272" spans="1:20" ht="7.5" customHeight="1">
      <c r="A272" s="119"/>
      <c r="B272" s="299"/>
      <c r="C272" s="299"/>
      <c r="D272" s="299"/>
      <c r="E272" s="307" t="s">
        <v>51</v>
      </c>
      <c r="F272" s="81"/>
      <c r="G272" s="299"/>
      <c r="H272" s="81"/>
      <c r="I272" s="299"/>
      <c r="J272" s="81"/>
      <c r="K272" s="299"/>
      <c r="L272" s="81"/>
      <c r="M272" s="81"/>
      <c r="N272" s="81"/>
      <c r="O272" s="81"/>
      <c r="P272" s="81"/>
      <c r="Q272" s="81"/>
      <c r="R272" s="104"/>
      <c r="S272" s="299"/>
      <c r="T272" s="72"/>
    </row>
    <row r="273" spans="1:20" ht="7.5" customHeight="1">
      <c r="A273" s="119"/>
      <c r="B273" s="126"/>
      <c r="C273" s="299"/>
      <c r="D273" s="299"/>
      <c r="E273" s="299"/>
      <c r="F273" s="312">
        <v>712.48126949999971</v>
      </c>
      <c r="G273" s="295">
        <f>ROUND(F273*mark_up,0)</f>
        <v>3042</v>
      </c>
      <c r="H273" s="83"/>
      <c r="I273" s="295">
        <f>ROUND(G273*1.178571,0)</f>
        <v>3585</v>
      </c>
      <c r="J273" s="83"/>
      <c r="K273" s="295">
        <f>ROUND(G273*1.29395,0)</f>
        <v>3936</v>
      </c>
      <c r="L273" s="83"/>
      <c r="M273" s="295" t="s">
        <v>22</v>
      </c>
      <c r="N273" s="83"/>
      <c r="O273" s="295" t="s">
        <v>22</v>
      </c>
      <c r="P273" s="83"/>
      <c r="Q273" s="295" t="s">
        <v>22</v>
      </c>
      <c r="R273" s="82"/>
      <c r="S273" s="299"/>
      <c r="T273" s="124"/>
    </row>
    <row r="274" spans="1:20" ht="7.5" customHeight="1">
      <c r="A274" s="70"/>
      <c r="B274" s="126"/>
      <c r="C274" s="299"/>
      <c r="D274" s="299"/>
      <c r="E274" s="299"/>
      <c r="F274" s="296"/>
      <c r="G274" s="296"/>
      <c r="H274" s="84"/>
      <c r="I274" s="296"/>
      <c r="J274" s="84"/>
      <c r="K274" s="296"/>
      <c r="L274" s="84"/>
      <c r="M274" s="296"/>
      <c r="N274" s="84"/>
      <c r="O274" s="296"/>
      <c r="P274" s="84"/>
      <c r="Q274" s="296"/>
      <c r="R274" s="82"/>
      <c r="S274" s="299"/>
      <c r="T274" s="72"/>
    </row>
    <row r="275" spans="1:20" ht="7.5" customHeight="1">
      <c r="A275" s="70"/>
      <c r="B275" s="126"/>
      <c r="C275" s="334" t="s">
        <v>89</v>
      </c>
      <c r="D275" s="81"/>
      <c r="E275" s="299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2"/>
      <c r="S275" s="299"/>
      <c r="T275" s="72"/>
    </row>
    <row r="276" spans="1:20" ht="7.5" customHeight="1">
      <c r="A276" s="70"/>
      <c r="B276" s="126"/>
      <c r="C276" s="299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2"/>
      <c r="S276" s="299"/>
      <c r="T276" s="72"/>
    </row>
    <row r="277" spans="1:20" ht="7.5" customHeight="1">
      <c r="A277" s="70"/>
      <c r="B277" s="126"/>
      <c r="C277" s="299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104"/>
      <c r="S277" s="299"/>
      <c r="T277" s="72"/>
    </row>
    <row r="278" spans="1:20" ht="7.5" customHeight="1">
      <c r="A278" s="70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04"/>
      <c r="S278" s="299"/>
      <c r="T278" s="72"/>
    </row>
    <row r="279" spans="1:20" ht="7.5" customHeight="1">
      <c r="A279" s="70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298" t="s">
        <v>15</v>
      </c>
      <c r="S279" s="326" t="s">
        <v>31</v>
      </c>
      <c r="T279" s="72"/>
    </row>
    <row r="280" spans="1:20" ht="7.5" customHeight="1">
      <c r="A280" s="70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299"/>
      <c r="S280" s="299"/>
      <c r="T280" s="72"/>
    </row>
    <row r="281" spans="1:20" ht="7.5" customHeight="1">
      <c r="A281" s="70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85"/>
      <c r="S281" s="299"/>
      <c r="T281" s="72"/>
    </row>
    <row r="282" spans="1:20" ht="7.5" customHeight="1">
      <c r="A282" s="70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72"/>
    </row>
    <row r="283" spans="1:20" ht="7.5" customHeight="1">
      <c r="A283" s="70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72"/>
    </row>
    <row r="284" spans="1:20" ht="7.5" customHeight="1">
      <c r="A284" s="70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72"/>
    </row>
    <row r="285" spans="1:20" ht="7.5" customHeight="1">
      <c r="A285" s="70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72"/>
    </row>
    <row r="286" spans="1:20" ht="7.5" customHeight="1">
      <c r="A286" s="70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72"/>
    </row>
    <row r="287" spans="1:20" ht="7.5" customHeight="1">
      <c r="A287" s="70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72"/>
    </row>
    <row r="288" spans="1:20" ht="7.5" customHeight="1">
      <c r="A288" s="70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72"/>
    </row>
    <row r="289" spans="1:20" ht="7.5" customHeight="1">
      <c r="A289" s="70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72"/>
    </row>
    <row r="290" spans="1:20" ht="7.5" customHeight="1">
      <c r="A290" s="70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72"/>
    </row>
    <row r="291" spans="1:20" ht="7.5" customHeight="1">
      <c r="A291" s="70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04"/>
      <c r="S291" s="104"/>
      <c r="T291" s="72"/>
    </row>
    <row r="292" spans="1:20" ht="7.5" customHeight="1">
      <c r="A292" s="70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04"/>
      <c r="S292" s="104"/>
      <c r="T292" s="72"/>
    </row>
    <row r="293" spans="1:20" ht="7.5" customHeight="1">
      <c r="A293" s="70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04"/>
      <c r="S293" s="104"/>
      <c r="T293" s="72"/>
    </row>
    <row r="294" spans="1:20" ht="7.5" customHeight="1">
      <c r="A294" s="70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72"/>
    </row>
    <row r="295" spans="1:20" ht="7.5" customHeight="1">
      <c r="A295" s="70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72"/>
    </row>
    <row r="296" spans="1:20" ht="7.5" customHeight="1">
      <c r="A296" s="70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72"/>
    </row>
    <row r="297" spans="1:20" ht="7.5" customHeight="1">
      <c r="A297" s="70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72"/>
    </row>
    <row r="298" spans="1:20" ht="7.5" customHeight="1">
      <c r="A298" s="70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72"/>
    </row>
    <row r="299" spans="1:20" ht="7.5" customHeight="1">
      <c r="A299" s="72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72"/>
    </row>
    <row r="300" spans="1:20" ht="7.5" customHeight="1">
      <c r="A300" s="72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72"/>
    </row>
    <row r="301" spans="1:20" ht="7.5" customHeight="1">
      <c r="A301" s="72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72"/>
    </row>
    <row r="302" spans="1:20" ht="7.5" customHeight="1">
      <c r="A302" s="72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72"/>
    </row>
    <row r="303" spans="1:20" ht="11.25" customHeight="1">
      <c r="A303" s="72"/>
      <c r="B303" s="300"/>
      <c r="C303" s="301"/>
      <c r="D303" s="301"/>
      <c r="E303" s="301"/>
      <c r="F303" s="301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2" t="s">
        <v>53</v>
      </c>
      <c r="T303" s="72"/>
    </row>
    <row r="304" spans="1:20" ht="11.25" customHeight="1">
      <c r="A304" s="72"/>
      <c r="B304" s="111"/>
      <c r="C304" s="116"/>
      <c r="D304" s="117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7"/>
      <c r="S304" s="296"/>
      <c r="T304" s="72"/>
    </row>
    <row r="305" spans="1:20" ht="11.25" customHeight="1">
      <c r="A305" s="132"/>
      <c r="B305" s="322" t="s">
        <v>90</v>
      </c>
      <c r="C305" s="323"/>
      <c r="D305" s="323"/>
      <c r="E305" s="323"/>
      <c r="F305" s="323"/>
      <c r="G305" s="323"/>
      <c r="H305" s="323"/>
      <c r="I305" s="323"/>
      <c r="J305" s="323"/>
      <c r="K305" s="323"/>
      <c r="L305" s="323"/>
      <c r="M305" s="323"/>
      <c r="N305" s="323"/>
      <c r="O305" s="323"/>
      <c r="P305" s="323"/>
      <c r="Q305" s="323"/>
      <c r="R305" s="323"/>
      <c r="S305" s="323"/>
      <c r="T305" s="72"/>
    </row>
    <row r="306" spans="1:20" ht="61.5" customHeight="1">
      <c r="A306" s="70"/>
      <c r="B306" s="331"/>
      <c r="C306" s="31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310" t="s">
        <v>5</v>
      </c>
      <c r="P306" s="311"/>
      <c r="Q306" s="311"/>
      <c r="R306" s="311"/>
      <c r="S306" s="311"/>
      <c r="T306" s="72"/>
    </row>
    <row r="307" spans="1:20" ht="34.5" customHeight="1">
      <c r="A307" s="132"/>
      <c r="B307" s="118" t="s">
        <v>6</v>
      </c>
      <c r="C307" s="118" t="s">
        <v>7</v>
      </c>
      <c r="D307" s="118" t="s">
        <v>8</v>
      </c>
      <c r="E307" s="74" t="s">
        <v>9</v>
      </c>
      <c r="F307" s="75" t="s">
        <v>10</v>
      </c>
      <c r="G307" s="74" t="s">
        <v>11</v>
      </c>
      <c r="H307" s="75" t="s">
        <v>10</v>
      </c>
      <c r="I307" s="74" t="s">
        <v>11</v>
      </c>
      <c r="J307" s="75" t="s">
        <v>10</v>
      </c>
      <c r="K307" s="74" t="s">
        <v>11</v>
      </c>
      <c r="L307" s="75" t="s">
        <v>10</v>
      </c>
      <c r="M307" s="74" t="s">
        <v>11</v>
      </c>
      <c r="N307" s="75" t="s">
        <v>10</v>
      </c>
      <c r="O307" s="74" t="s">
        <v>11</v>
      </c>
      <c r="P307" s="75" t="s">
        <v>10</v>
      </c>
      <c r="Q307" s="74" t="s">
        <v>11</v>
      </c>
      <c r="R307" s="328" t="s">
        <v>12</v>
      </c>
      <c r="S307" s="329"/>
      <c r="T307" s="76"/>
    </row>
    <row r="308" spans="1:20" ht="7.5" customHeight="1">
      <c r="A308" s="133"/>
      <c r="B308" s="333" t="s">
        <v>13</v>
      </c>
      <c r="C308" s="335" t="s">
        <v>91</v>
      </c>
      <c r="D308" s="348" t="s">
        <v>92</v>
      </c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330" t="s">
        <v>15</v>
      </c>
      <c r="S308" s="308" t="s">
        <v>93</v>
      </c>
      <c r="T308" s="72"/>
    </row>
    <row r="309" spans="1:20" ht="7.5" customHeight="1">
      <c r="A309" s="133"/>
      <c r="B309" s="299"/>
      <c r="C309" s="299"/>
      <c r="D309" s="299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299"/>
      <c r="S309" s="299"/>
      <c r="T309" s="72"/>
    </row>
    <row r="310" spans="1:20" ht="7.5" customHeight="1">
      <c r="A310" s="133"/>
      <c r="B310" s="299"/>
      <c r="C310" s="299"/>
      <c r="D310" s="299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85"/>
      <c r="S310" s="299"/>
      <c r="T310" s="72"/>
    </row>
    <row r="311" spans="1:20" ht="7.5" customHeight="1">
      <c r="A311" s="133"/>
      <c r="B311" s="299"/>
      <c r="C311" s="299"/>
      <c r="D311" s="299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85"/>
      <c r="S311" s="299"/>
      <c r="T311" s="72"/>
    </row>
    <row r="312" spans="1:20" ht="7.5" customHeight="1">
      <c r="A312" s="133"/>
      <c r="B312" s="299"/>
      <c r="C312" s="299"/>
      <c r="D312" s="299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85"/>
      <c r="S312" s="299"/>
      <c r="T312" s="72"/>
    </row>
    <row r="313" spans="1:20" ht="7.5" customHeight="1">
      <c r="A313" s="133"/>
      <c r="B313" s="299"/>
      <c r="C313" s="299"/>
      <c r="D313" s="299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85"/>
      <c r="S313" s="299"/>
      <c r="T313" s="72"/>
    </row>
    <row r="314" spans="1:20" ht="7.5" customHeight="1">
      <c r="A314" s="119"/>
      <c r="B314" s="299"/>
      <c r="C314" s="299"/>
      <c r="D314" s="299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298" t="s">
        <v>15</v>
      </c>
      <c r="S314" s="332" t="s">
        <v>94</v>
      </c>
      <c r="T314" s="72"/>
    </row>
    <row r="315" spans="1:20" ht="7.5" customHeight="1">
      <c r="A315" s="119"/>
      <c r="B315" s="299"/>
      <c r="C315" s="299"/>
      <c r="D315" s="299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299"/>
      <c r="S315" s="299"/>
      <c r="T315" s="72"/>
    </row>
    <row r="316" spans="1:20" ht="7.5" customHeight="1">
      <c r="A316" s="119"/>
      <c r="B316" s="299"/>
      <c r="C316" s="299"/>
      <c r="D316" s="299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298" t="s">
        <v>15</v>
      </c>
      <c r="S316" s="325" t="s">
        <v>95</v>
      </c>
      <c r="T316" s="72"/>
    </row>
    <row r="317" spans="1:20" ht="7.5" customHeight="1">
      <c r="A317" s="119"/>
      <c r="B317" s="299"/>
      <c r="C317" s="299"/>
      <c r="D317" s="299"/>
      <c r="E317" s="78"/>
      <c r="F317" s="81"/>
      <c r="G317" s="307" t="s">
        <v>96</v>
      </c>
      <c r="H317" s="135"/>
      <c r="I317" s="307" t="s">
        <v>97</v>
      </c>
      <c r="J317" s="135"/>
      <c r="K317" s="81"/>
      <c r="L317" s="81"/>
      <c r="M317" s="81"/>
      <c r="N317" s="81"/>
      <c r="O317" s="81"/>
      <c r="P317" s="81"/>
      <c r="Q317" s="81"/>
      <c r="R317" s="299"/>
      <c r="S317" s="299"/>
      <c r="T317" s="72"/>
    </row>
    <row r="318" spans="1:20" ht="7.5" customHeight="1">
      <c r="A318" s="119"/>
      <c r="B318" s="299"/>
      <c r="C318" s="299"/>
      <c r="D318" s="299"/>
      <c r="E318" s="78"/>
      <c r="F318" s="81"/>
      <c r="G318" s="296"/>
      <c r="H318" s="78"/>
      <c r="I318" s="299"/>
      <c r="J318" s="78"/>
      <c r="K318" s="81"/>
      <c r="L318" s="81"/>
      <c r="M318" s="81"/>
      <c r="N318" s="81"/>
      <c r="O318" s="81"/>
      <c r="P318" s="81"/>
      <c r="Q318" s="81"/>
      <c r="R318" s="82"/>
      <c r="S318" s="299"/>
      <c r="T318" s="72"/>
    </row>
    <row r="319" spans="1:20" ht="7.5" customHeight="1">
      <c r="A319" s="119"/>
      <c r="B319" s="299"/>
      <c r="C319" s="299"/>
      <c r="D319" s="299"/>
      <c r="E319" s="307" t="s">
        <v>98</v>
      </c>
      <c r="F319" s="312">
        <v>2723.0274999999997</v>
      </c>
      <c r="G319" s="345">
        <f>ROUND(F319*mark_up,0)</f>
        <v>11627</v>
      </c>
      <c r="H319" s="136"/>
      <c r="I319" s="343">
        <f>ROUND(G319*1.2695483244,0)</f>
        <v>14761</v>
      </c>
      <c r="J319" s="137"/>
      <c r="K319" s="295" t="s">
        <v>22</v>
      </c>
      <c r="L319" s="138"/>
      <c r="M319" s="295" t="s">
        <v>22</v>
      </c>
      <c r="N319" s="295"/>
      <c r="O319" s="295" t="s">
        <v>22</v>
      </c>
      <c r="P319" s="83"/>
      <c r="Q319" s="295" t="s">
        <v>22</v>
      </c>
      <c r="R319" s="298" t="s">
        <v>15</v>
      </c>
      <c r="S319" s="325" t="s">
        <v>99</v>
      </c>
      <c r="T319" s="72"/>
    </row>
    <row r="320" spans="1:20" ht="7.5" customHeight="1">
      <c r="A320" s="119"/>
      <c r="B320" s="299"/>
      <c r="C320" s="299"/>
      <c r="D320" s="299"/>
      <c r="E320" s="299"/>
      <c r="F320" s="296"/>
      <c r="G320" s="296"/>
      <c r="H320" s="139"/>
      <c r="I320" s="296"/>
      <c r="J320" s="140"/>
      <c r="K320" s="296"/>
      <c r="L320" s="141"/>
      <c r="M320" s="296"/>
      <c r="N320" s="296"/>
      <c r="O320" s="296"/>
      <c r="P320" s="84"/>
      <c r="Q320" s="296"/>
      <c r="R320" s="299"/>
      <c r="S320" s="299"/>
      <c r="T320" s="72"/>
    </row>
    <row r="321" spans="1:20" ht="7.5" customHeight="1">
      <c r="A321" s="119"/>
      <c r="B321" s="299"/>
      <c r="C321" s="299"/>
      <c r="D321" s="299"/>
      <c r="E321" s="307" t="s">
        <v>100</v>
      </c>
      <c r="F321" s="347">
        <f t="shared" ref="F321:G321" si="7">ROUND(F319*1.01019912,0)</f>
        <v>2751</v>
      </c>
      <c r="G321" s="345">
        <f t="shared" si="7"/>
        <v>11746</v>
      </c>
      <c r="H321" s="344"/>
      <c r="I321" s="343">
        <f>ROUND(G321*1.2692307,0)</f>
        <v>14908</v>
      </c>
      <c r="J321" s="137"/>
      <c r="K321" s="295" t="s">
        <v>22</v>
      </c>
      <c r="L321" s="138"/>
      <c r="M321" s="295" t="s">
        <v>22</v>
      </c>
      <c r="N321" s="295"/>
      <c r="O321" s="295" t="s">
        <v>22</v>
      </c>
      <c r="P321" s="83"/>
      <c r="Q321" s="295" t="s">
        <v>22</v>
      </c>
      <c r="R321" s="82"/>
      <c r="S321" s="299"/>
      <c r="T321" s="72"/>
    </row>
    <row r="322" spans="1:20" ht="7.5" customHeight="1">
      <c r="A322" s="119"/>
      <c r="B322" s="299"/>
      <c r="C322" s="299"/>
      <c r="D322" s="299"/>
      <c r="E322" s="299"/>
      <c r="F322" s="299"/>
      <c r="G322" s="296"/>
      <c r="H322" s="299"/>
      <c r="I322" s="296"/>
      <c r="J322" s="140"/>
      <c r="K322" s="296"/>
      <c r="L322" s="141"/>
      <c r="M322" s="296"/>
      <c r="N322" s="296"/>
      <c r="O322" s="296"/>
      <c r="P322" s="84"/>
      <c r="Q322" s="296"/>
      <c r="R322" s="82"/>
      <c r="S322" s="299"/>
      <c r="T322" s="72"/>
    </row>
    <row r="323" spans="1:20" ht="7.5" customHeight="1">
      <c r="A323" s="119"/>
      <c r="B323" s="299"/>
      <c r="C323" s="299"/>
      <c r="D323" s="299"/>
      <c r="E323" s="307" t="s">
        <v>101</v>
      </c>
      <c r="F323" s="347">
        <f t="shared" ref="F323:G323" si="8">ROUND(F319*1.04905293,0)</f>
        <v>2857</v>
      </c>
      <c r="G323" s="345">
        <f t="shared" si="8"/>
        <v>12197</v>
      </c>
      <c r="H323" s="344"/>
      <c r="I323" s="343">
        <f>ROUND(G323*1.2634259,0)</f>
        <v>15410</v>
      </c>
      <c r="J323" s="137"/>
      <c r="K323" s="295" t="s">
        <v>22</v>
      </c>
      <c r="L323" s="138"/>
      <c r="M323" s="295" t="s">
        <v>22</v>
      </c>
      <c r="N323" s="295"/>
      <c r="O323" s="295" t="s">
        <v>22</v>
      </c>
      <c r="P323" s="83"/>
      <c r="Q323" s="295" t="s">
        <v>22</v>
      </c>
      <c r="R323" s="104"/>
      <c r="S323" s="299"/>
      <c r="T323" s="72"/>
    </row>
    <row r="324" spans="1:20" ht="7.5" customHeight="1">
      <c r="A324" s="142"/>
      <c r="B324" s="299"/>
      <c r="C324" s="299"/>
      <c r="D324" s="299"/>
      <c r="E324" s="299"/>
      <c r="F324" s="296"/>
      <c r="G324" s="296"/>
      <c r="H324" s="296"/>
      <c r="I324" s="296"/>
      <c r="J324" s="140"/>
      <c r="K324" s="296"/>
      <c r="L324" s="141"/>
      <c r="M324" s="296"/>
      <c r="N324" s="296"/>
      <c r="O324" s="296"/>
      <c r="P324" s="84"/>
      <c r="Q324" s="296"/>
      <c r="R324" s="298" t="s">
        <v>15</v>
      </c>
      <c r="S324" s="325" t="s">
        <v>102</v>
      </c>
      <c r="T324" s="72"/>
    </row>
    <row r="325" spans="1:20" ht="7.5" customHeight="1">
      <c r="A325" s="142"/>
      <c r="B325" s="299"/>
      <c r="C325" s="299"/>
      <c r="D325" s="299"/>
      <c r="E325" s="307" t="s">
        <v>103</v>
      </c>
      <c r="F325" s="347">
        <f t="shared" ref="F325:G325" si="9">ROUND(F319*1.069451189,0)</f>
        <v>2912</v>
      </c>
      <c r="G325" s="345">
        <f t="shared" si="9"/>
        <v>12435</v>
      </c>
      <c r="H325" s="344"/>
      <c r="I325" s="295">
        <f>ROUND(G325*1.25840145,0)</f>
        <v>15648</v>
      </c>
      <c r="J325" s="137"/>
      <c r="K325" s="295" t="s">
        <v>22</v>
      </c>
      <c r="L325" s="138"/>
      <c r="M325" s="295" t="s">
        <v>22</v>
      </c>
      <c r="N325" s="295"/>
      <c r="O325" s="295" t="s">
        <v>22</v>
      </c>
      <c r="P325" s="83"/>
      <c r="Q325" s="295" t="s">
        <v>22</v>
      </c>
      <c r="R325" s="299"/>
      <c r="S325" s="299"/>
      <c r="T325" s="72"/>
    </row>
    <row r="326" spans="1:20" ht="7.5" customHeight="1">
      <c r="A326" s="142"/>
      <c r="B326" s="299"/>
      <c r="C326" s="299"/>
      <c r="D326" s="299"/>
      <c r="E326" s="299"/>
      <c r="F326" s="296"/>
      <c r="G326" s="296"/>
      <c r="H326" s="296"/>
      <c r="I326" s="296"/>
      <c r="J326" s="140"/>
      <c r="K326" s="296"/>
      <c r="L326" s="141"/>
      <c r="M326" s="296"/>
      <c r="N326" s="296"/>
      <c r="O326" s="296"/>
      <c r="P326" s="84"/>
      <c r="Q326" s="296"/>
      <c r="R326" s="104"/>
      <c r="S326" s="299"/>
      <c r="T326" s="72"/>
    </row>
    <row r="327" spans="1:20" ht="7.5" customHeight="1">
      <c r="A327" s="142"/>
      <c r="B327" s="299"/>
      <c r="C327" s="299"/>
      <c r="D327" s="299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299"/>
      <c r="T327" s="72"/>
    </row>
    <row r="328" spans="1:20" ht="7.5" customHeight="1">
      <c r="A328" s="72"/>
      <c r="B328" s="299"/>
      <c r="C328" s="299"/>
      <c r="D328" s="299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299"/>
      <c r="T328" s="72"/>
    </row>
    <row r="329" spans="1:20" ht="7.5" customHeight="1">
      <c r="A329" s="72"/>
      <c r="B329" s="299"/>
      <c r="C329" s="299"/>
      <c r="D329" s="299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82"/>
      <c r="S329" s="299"/>
      <c r="T329" s="72"/>
    </row>
    <row r="330" spans="1:20" ht="7.5" customHeight="1">
      <c r="A330" s="72"/>
      <c r="B330" s="299"/>
      <c r="C330" s="299"/>
      <c r="D330" s="299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82"/>
      <c r="S330" s="299"/>
      <c r="T330" s="72"/>
    </row>
    <row r="331" spans="1:20" ht="7.5" customHeight="1">
      <c r="A331" s="72"/>
      <c r="B331" s="299"/>
      <c r="C331" s="299"/>
      <c r="D331" s="299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82"/>
      <c r="S331" s="299"/>
      <c r="T331" s="72"/>
    </row>
    <row r="332" spans="1:20" ht="7.5" customHeight="1">
      <c r="A332" s="72"/>
      <c r="B332" s="299"/>
      <c r="C332" s="299"/>
      <c r="D332" s="299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82"/>
      <c r="S332" s="299"/>
      <c r="T332" s="72"/>
    </row>
    <row r="333" spans="1:20" ht="7.5" customHeight="1">
      <c r="A333" s="72"/>
      <c r="B333" s="299"/>
      <c r="C333" s="334" t="s">
        <v>104</v>
      </c>
      <c r="D333" s="299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299"/>
      <c r="T333" s="72"/>
    </row>
    <row r="334" spans="1:20" ht="7.5" customHeight="1">
      <c r="A334" s="72"/>
      <c r="B334" s="299"/>
      <c r="C334" s="299"/>
      <c r="D334" s="299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299"/>
      <c r="T334" s="72"/>
    </row>
    <row r="335" spans="1:20" ht="7.5" customHeight="1">
      <c r="A335" s="72"/>
      <c r="B335" s="311"/>
      <c r="C335" s="299"/>
      <c r="D335" s="311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72"/>
    </row>
    <row r="336" spans="1:20" ht="7.5" customHeight="1">
      <c r="A336" s="72"/>
      <c r="B336" s="346" t="s">
        <v>13</v>
      </c>
      <c r="C336" s="335" t="s">
        <v>105</v>
      </c>
      <c r="D336" s="134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298" t="s">
        <v>15</v>
      </c>
      <c r="S336" s="325" t="s">
        <v>55</v>
      </c>
      <c r="T336" s="72"/>
    </row>
    <row r="337" spans="1:20" ht="7.5" customHeight="1">
      <c r="A337" s="72"/>
      <c r="B337" s="299"/>
      <c r="C337" s="299"/>
      <c r="D337" s="108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299"/>
      <c r="S337" s="299"/>
      <c r="T337" s="72"/>
    </row>
    <row r="338" spans="1:20" ht="7.5" customHeight="1">
      <c r="A338" s="72"/>
      <c r="B338" s="299"/>
      <c r="C338" s="299"/>
      <c r="D338" s="327" t="s">
        <v>106</v>
      </c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0"/>
      <c r="S338" s="299"/>
      <c r="T338" s="72"/>
    </row>
    <row r="339" spans="1:20" ht="7.5" customHeight="1">
      <c r="A339" s="70"/>
      <c r="B339" s="299"/>
      <c r="C339" s="299"/>
      <c r="D339" s="299"/>
      <c r="E339" s="81"/>
      <c r="F339" s="81"/>
      <c r="G339" s="81"/>
      <c r="H339" s="81"/>
      <c r="I339" s="307" t="s">
        <v>35</v>
      </c>
      <c r="J339" s="81"/>
      <c r="K339" s="307" t="s">
        <v>36</v>
      </c>
      <c r="L339" s="81"/>
      <c r="M339" s="307" t="s">
        <v>19</v>
      </c>
      <c r="N339" s="81"/>
      <c r="O339" s="307" t="s">
        <v>20</v>
      </c>
      <c r="P339" s="81"/>
      <c r="Q339" s="81"/>
      <c r="R339" s="82"/>
      <c r="S339" s="299"/>
      <c r="T339" s="124"/>
    </row>
    <row r="340" spans="1:20" ht="7.5" customHeight="1">
      <c r="A340" s="70"/>
      <c r="B340" s="299"/>
      <c r="C340" s="299"/>
      <c r="D340" s="299"/>
      <c r="E340" s="81"/>
      <c r="F340" s="99"/>
      <c r="G340" s="100"/>
      <c r="H340" s="78"/>
      <c r="I340" s="299"/>
      <c r="J340" s="99"/>
      <c r="K340" s="299"/>
      <c r="L340" s="79"/>
      <c r="M340" s="299"/>
      <c r="N340" s="99"/>
      <c r="O340" s="299"/>
      <c r="P340" s="99"/>
      <c r="Q340" s="99"/>
      <c r="R340" s="80"/>
      <c r="S340" s="299"/>
      <c r="T340" s="72"/>
    </row>
    <row r="341" spans="1:20" ht="7.5" customHeight="1">
      <c r="A341" s="70"/>
      <c r="B341" s="299"/>
      <c r="C341" s="299"/>
      <c r="D341" s="299"/>
      <c r="E341" s="99"/>
      <c r="F341" s="99"/>
      <c r="G341" s="100"/>
      <c r="H341" s="101"/>
      <c r="I341" s="299"/>
      <c r="J341" s="99"/>
      <c r="K341" s="299"/>
      <c r="L341" s="79"/>
      <c r="M341" s="299"/>
      <c r="N341" s="99"/>
      <c r="O341" s="299"/>
      <c r="P341" s="99"/>
      <c r="Q341" s="99"/>
      <c r="R341" s="85"/>
      <c r="S341" s="299"/>
      <c r="T341" s="72"/>
    </row>
    <row r="342" spans="1:20" ht="7.5" customHeight="1">
      <c r="A342" s="70"/>
      <c r="B342" s="299"/>
      <c r="C342" s="299"/>
      <c r="D342" s="299"/>
      <c r="E342" s="81"/>
      <c r="F342" s="99"/>
      <c r="G342" s="103"/>
      <c r="H342" s="102"/>
      <c r="I342" s="296"/>
      <c r="J342" s="99"/>
      <c r="K342" s="296"/>
      <c r="L342" s="81"/>
      <c r="M342" s="296"/>
      <c r="N342" s="99"/>
      <c r="O342" s="296"/>
      <c r="P342" s="99"/>
      <c r="Q342" s="99"/>
      <c r="R342" s="82"/>
      <c r="S342" s="299"/>
      <c r="T342" s="72"/>
    </row>
    <row r="343" spans="1:20" ht="7.5" customHeight="1">
      <c r="A343" s="70"/>
      <c r="B343" s="299"/>
      <c r="C343" s="299"/>
      <c r="D343" s="299"/>
      <c r="E343" s="307" t="s">
        <v>22</v>
      </c>
      <c r="F343" s="295"/>
      <c r="G343" s="295" t="s">
        <v>22</v>
      </c>
      <c r="H343" s="295"/>
      <c r="I343" s="295">
        <f>ROUND(K343*1.1,0)</f>
        <v>9428</v>
      </c>
      <c r="J343" s="312">
        <v>2007.1899899999992</v>
      </c>
      <c r="K343" s="295">
        <f>ROUND(J343*mark_up,0)</f>
        <v>8571</v>
      </c>
      <c r="L343" s="295"/>
      <c r="M343" s="295">
        <f>ROUND((I343-K343)+O343,0)</f>
        <v>19713</v>
      </c>
      <c r="N343" s="295"/>
      <c r="O343" s="295">
        <f>ROUND(K343*2.2,0)</f>
        <v>18856</v>
      </c>
      <c r="P343" s="83"/>
      <c r="Q343" s="295" t="s">
        <v>22</v>
      </c>
      <c r="R343" s="82"/>
      <c r="S343" s="299"/>
      <c r="T343" s="72"/>
    </row>
    <row r="344" spans="1:20" ht="7.5" customHeight="1">
      <c r="A344" s="70"/>
      <c r="B344" s="299"/>
      <c r="C344" s="299"/>
      <c r="D344" s="299"/>
      <c r="E344" s="299"/>
      <c r="F344" s="296"/>
      <c r="G344" s="296"/>
      <c r="H344" s="296"/>
      <c r="I344" s="296"/>
      <c r="J344" s="296"/>
      <c r="K344" s="296"/>
      <c r="L344" s="296"/>
      <c r="M344" s="296"/>
      <c r="N344" s="296"/>
      <c r="O344" s="296"/>
      <c r="P344" s="84"/>
      <c r="Q344" s="296"/>
      <c r="R344" s="82"/>
      <c r="S344" s="299"/>
      <c r="T344" s="72"/>
    </row>
    <row r="345" spans="1:20" ht="7.5" customHeight="1">
      <c r="A345" s="70"/>
      <c r="B345" s="299"/>
      <c r="C345" s="299"/>
      <c r="D345" s="299"/>
      <c r="E345" s="99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2"/>
      <c r="S345" s="299"/>
      <c r="T345" s="72"/>
    </row>
    <row r="346" spans="1:20" ht="7.5" customHeight="1">
      <c r="A346" s="70"/>
      <c r="B346" s="299"/>
      <c r="C346" s="299"/>
      <c r="D346" s="299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298" t="s">
        <v>15</v>
      </c>
      <c r="S346" s="325" t="s">
        <v>58</v>
      </c>
      <c r="T346" s="72"/>
    </row>
    <row r="347" spans="1:20" ht="7.5" customHeight="1">
      <c r="A347" s="70"/>
      <c r="B347" s="299"/>
      <c r="C347" s="334" t="s">
        <v>107</v>
      </c>
      <c r="D347" s="299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299"/>
      <c r="S347" s="299"/>
      <c r="T347" s="72"/>
    </row>
    <row r="348" spans="1:20" ht="7.5" customHeight="1">
      <c r="A348" s="70"/>
      <c r="B348" s="299"/>
      <c r="C348" s="299"/>
      <c r="D348" s="299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2"/>
      <c r="S348" s="299"/>
      <c r="T348" s="72"/>
    </row>
    <row r="349" spans="1:20" ht="7.5" customHeight="1">
      <c r="A349" s="70"/>
      <c r="B349" s="299"/>
      <c r="C349" s="296"/>
      <c r="D349" s="296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298" t="s">
        <v>15</v>
      </c>
      <c r="S349" s="325" t="s">
        <v>24</v>
      </c>
      <c r="T349" s="72"/>
    </row>
    <row r="350" spans="1:20" ht="7.5" customHeight="1">
      <c r="A350" s="70"/>
      <c r="B350" s="299"/>
      <c r="C350" s="337" t="s">
        <v>108</v>
      </c>
      <c r="D350" s="344" t="s">
        <v>106</v>
      </c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299"/>
      <c r="S350" s="299"/>
      <c r="T350" s="72"/>
    </row>
    <row r="351" spans="1:20" ht="7.5" customHeight="1">
      <c r="A351" s="70"/>
      <c r="B351" s="299"/>
      <c r="C351" s="299"/>
      <c r="D351" s="299"/>
      <c r="E351" s="81"/>
      <c r="F351" s="99"/>
      <c r="G351" s="307" t="s">
        <v>42</v>
      </c>
      <c r="H351" s="78"/>
      <c r="I351" s="307" t="s">
        <v>43</v>
      </c>
      <c r="J351" s="99"/>
      <c r="K351" s="307" t="s">
        <v>44</v>
      </c>
      <c r="L351" s="99"/>
      <c r="M351" s="307" t="s">
        <v>45</v>
      </c>
      <c r="N351" s="81"/>
      <c r="O351" s="307" t="s">
        <v>46</v>
      </c>
      <c r="P351" s="81"/>
      <c r="Q351" s="81"/>
      <c r="R351" s="82"/>
      <c r="S351" s="299"/>
      <c r="T351" s="72"/>
    </row>
    <row r="352" spans="1:20" ht="7.5" customHeight="1">
      <c r="A352" s="70"/>
      <c r="B352" s="299"/>
      <c r="C352" s="299"/>
      <c r="D352" s="299"/>
      <c r="E352" s="99"/>
      <c r="F352" s="99"/>
      <c r="G352" s="299"/>
      <c r="H352" s="101"/>
      <c r="I352" s="299"/>
      <c r="J352" s="99"/>
      <c r="K352" s="299"/>
      <c r="L352" s="99"/>
      <c r="M352" s="299"/>
      <c r="N352" s="81"/>
      <c r="O352" s="299"/>
      <c r="P352" s="81"/>
      <c r="Q352" s="81"/>
      <c r="R352" s="298" t="s">
        <v>15</v>
      </c>
      <c r="S352" s="325" t="s">
        <v>61</v>
      </c>
      <c r="T352" s="72"/>
    </row>
    <row r="353" spans="1:20" ht="7.5" customHeight="1">
      <c r="A353" s="70"/>
      <c r="B353" s="299"/>
      <c r="C353" s="299"/>
      <c r="D353" s="299"/>
      <c r="E353" s="307" t="s">
        <v>47</v>
      </c>
      <c r="F353" s="99"/>
      <c r="G353" s="296"/>
      <c r="H353" s="102"/>
      <c r="I353" s="296"/>
      <c r="J353" s="99"/>
      <c r="K353" s="296"/>
      <c r="L353" s="99"/>
      <c r="M353" s="296"/>
      <c r="N353" s="81"/>
      <c r="O353" s="296"/>
      <c r="P353" s="81"/>
      <c r="Q353" s="81"/>
      <c r="R353" s="299"/>
      <c r="S353" s="299"/>
      <c r="T353" s="72"/>
    </row>
    <row r="354" spans="1:20" ht="7.5" customHeight="1">
      <c r="A354" s="70"/>
      <c r="B354" s="299"/>
      <c r="C354" s="299"/>
      <c r="D354" s="299"/>
      <c r="E354" s="299"/>
      <c r="F354" s="312">
        <v>1299.6911069999996</v>
      </c>
      <c r="G354" s="295">
        <f>ROUND(F354*mark_up,0)</f>
        <v>5550</v>
      </c>
      <c r="H354" s="106"/>
      <c r="I354" s="295">
        <f>ROUND(G354*1.04341085271317,0)</f>
        <v>5791</v>
      </c>
      <c r="J354" s="106"/>
      <c r="K354" s="295">
        <f>ROUND(G354*1.44961240310077,0)</f>
        <v>8045</v>
      </c>
      <c r="L354" s="106"/>
      <c r="M354" s="295">
        <f>ROUND(G354*2.24397,0)</f>
        <v>12454</v>
      </c>
      <c r="N354" s="106"/>
      <c r="O354" s="295">
        <f>ROUND(G354*3.69879,0)</f>
        <v>20528</v>
      </c>
      <c r="P354" s="83"/>
      <c r="Q354" s="295" t="s">
        <v>22</v>
      </c>
      <c r="R354" s="85"/>
      <c r="S354" s="299"/>
      <c r="T354" s="72"/>
    </row>
    <row r="355" spans="1:20" ht="7.5" customHeight="1">
      <c r="A355" s="70"/>
      <c r="B355" s="299"/>
      <c r="C355" s="299"/>
      <c r="D355" s="299"/>
      <c r="E355" s="299"/>
      <c r="F355" s="296"/>
      <c r="G355" s="296"/>
      <c r="H355" s="107"/>
      <c r="I355" s="296"/>
      <c r="J355" s="107"/>
      <c r="K355" s="296"/>
      <c r="L355" s="107"/>
      <c r="M355" s="296"/>
      <c r="N355" s="107"/>
      <c r="O355" s="296"/>
      <c r="P355" s="84"/>
      <c r="Q355" s="296"/>
      <c r="R355" s="82"/>
      <c r="S355" s="299"/>
      <c r="T355" s="72"/>
    </row>
    <row r="356" spans="1:20" ht="7.5" customHeight="1">
      <c r="A356" s="70"/>
      <c r="B356" s="299"/>
      <c r="C356" s="299"/>
      <c r="D356" s="299"/>
      <c r="E356" s="299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2"/>
      <c r="S356" s="299"/>
      <c r="T356" s="72"/>
    </row>
    <row r="357" spans="1:20" ht="7.5" customHeight="1">
      <c r="A357" s="70"/>
      <c r="B357" s="299"/>
      <c r="C357" s="299"/>
      <c r="D357" s="299"/>
      <c r="E357" s="81"/>
      <c r="F357" s="81"/>
      <c r="G357" s="307" t="s">
        <v>48</v>
      </c>
      <c r="H357" s="81"/>
      <c r="I357" s="307" t="s">
        <v>49</v>
      </c>
      <c r="J357" s="81"/>
      <c r="K357" s="307" t="s">
        <v>50</v>
      </c>
      <c r="L357" s="81"/>
      <c r="M357" s="81"/>
      <c r="N357" s="81"/>
      <c r="O357" s="81"/>
      <c r="P357" s="81"/>
      <c r="Q357" s="81"/>
      <c r="R357" s="298" t="s">
        <v>15</v>
      </c>
      <c r="S357" s="326" t="s">
        <v>31</v>
      </c>
      <c r="T357" s="72"/>
    </row>
    <row r="358" spans="1:20" ht="7.5" customHeight="1">
      <c r="A358" s="70"/>
      <c r="B358" s="299"/>
      <c r="C358" s="299"/>
      <c r="D358" s="299"/>
      <c r="E358" s="81"/>
      <c r="F358" s="81"/>
      <c r="G358" s="299"/>
      <c r="H358" s="81"/>
      <c r="I358" s="299"/>
      <c r="J358" s="81"/>
      <c r="K358" s="299"/>
      <c r="L358" s="81"/>
      <c r="M358" s="81"/>
      <c r="N358" s="81"/>
      <c r="O358" s="81"/>
      <c r="P358" s="81"/>
      <c r="Q358" s="81"/>
      <c r="R358" s="299"/>
      <c r="S358" s="299"/>
      <c r="T358" s="72"/>
    </row>
    <row r="359" spans="1:20" ht="7.5" customHeight="1">
      <c r="A359" s="70"/>
      <c r="B359" s="299"/>
      <c r="C359" s="299"/>
      <c r="D359" s="299"/>
      <c r="E359" s="307" t="s">
        <v>51</v>
      </c>
      <c r="F359" s="81"/>
      <c r="G359" s="299"/>
      <c r="H359" s="81"/>
      <c r="I359" s="299"/>
      <c r="J359" s="81"/>
      <c r="K359" s="299"/>
      <c r="L359" s="81"/>
      <c r="M359" s="81"/>
      <c r="N359" s="81"/>
      <c r="O359" s="81"/>
      <c r="P359" s="81"/>
      <c r="Q359" s="81"/>
      <c r="R359" s="85"/>
      <c r="S359" s="299"/>
      <c r="T359" s="72"/>
    </row>
    <row r="360" spans="1:20" ht="7.5" customHeight="1">
      <c r="A360" s="70"/>
      <c r="B360" s="299"/>
      <c r="C360" s="299"/>
      <c r="D360" s="299"/>
      <c r="E360" s="299"/>
      <c r="F360" s="312">
        <v>1530.6603097499997</v>
      </c>
      <c r="G360" s="295">
        <f>ROUND(F360*mark_up,0)</f>
        <v>6536</v>
      </c>
      <c r="H360" s="83"/>
      <c r="I360" s="295">
        <f>ROUND(G360*1.22762,0)</f>
        <v>8024</v>
      </c>
      <c r="J360" s="83"/>
      <c r="K360" s="295">
        <f>ROUND(G360*1.37595,0)</f>
        <v>8993</v>
      </c>
      <c r="L360" s="83"/>
      <c r="M360" s="295" t="s">
        <v>22</v>
      </c>
      <c r="N360" s="83"/>
      <c r="O360" s="295" t="s">
        <v>22</v>
      </c>
      <c r="P360" s="83"/>
      <c r="Q360" s="295" t="s">
        <v>22</v>
      </c>
      <c r="R360" s="104"/>
      <c r="S360" s="104"/>
      <c r="T360" s="72"/>
    </row>
    <row r="361" spans="1:20" ht="7.5" customHeight="1">
      <c r="A361" s="70"/>
      <c r="B361" s="299"/>
      <c r="C361" s="334" t="s">
        <v>109</v>
      </c>
      <c r="D361" s="299"/>
      <c r="E361" s="299"/>
      <c r="F361" s="296"/>
      <c r="G361" s="296"/>
      <c r="H361" s="84"/>
      <c r="I361" s="296"/>
      <c r="J361" s="84"/>
      <c r="K361" s="296"/>
      <c r="L361" s="84"/>
      <c r="M361" s="296"/>
      <c r="N361" s="84"/>
      <c r="O361" s="296"/>
      <c r="P361" s="84"/>
      <c r="Q361" s="296"/>
      <c r="R361" s="104"/>
      <c r="S361" s="104"/>
      <c r="T361" s="72"/>
    </row>
    <row r="362" spans="1:20" ht="7.5" customHeight="1">
      <c r="A362" s="70"/>
      <c r="B362" s="299"/>
      <c r="C362" s="299"/>
      <c r="D362" s="299"/>
      <c r="E362" s="299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104"/>
      <c r="S362" s="104"/>
      <c r="T362" s="72"/>
    </row>
    <row r="363" spans="1:20" ht="7.5" customHeight="1">
      <c r="A363" s="70"/>
      <c r="B363" s="311"/>
      <c r="C363" s="296"/>
      <c r="D363" s="29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04"/>
      <c r="S363" s="104"/>
      <c r="T363" s="72"/>
    </row>
    <row r="364" spans="1:20" ht="11.25" customHeight="1">
      <c r="A364" s="70"/>
      <c r="B364" s="300"/>
      <c r="C364" s="301"/>
      <c r="D364" s="301"/>
      <c r="E364" s="301"/>
      <c r="F364" s="301"/>
      <c r="G364" s="301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2" t="s">
        <v>53</v>
      </c>
      <c r="T364" s="72"/>
    </row>
    <row r="365" spans="1:20" ht="11.25" customHeight="1">
      <c r="A365" s="70"/>
      <c r="B365" s="111"/>
      <c r="C365" s="116"/>
      <c r="D365" s="117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7"/>
      <c r="S365" s="296"/>
      <c r="T365" s="72"/>
    </row>
    <row r="366" spans="1:20" ht="11.25" customHeight="1">
      <c r="A366" s="70"/>
      <c r="B366" s="322" t="s">
        <v>110</v>
      </c>
      <c r="C366" s="323"/>
      <c r="D366" s="323"/>
      <c r="E366" s="323"/>
      <c r="F366" s="323"/>
      <c r="G366" s="323"/>
      <c r="H366" s="323"/>
      <c r="I366" s="323"/>
      <c r="J366" s="323"/>
      <c r="K366" s="323"/>
      <c r="L366" s="323"/>
      <c r="M366" s="323"/>
      <c r="N366" s="323"/>
      <c r="O366" s="323"/>
      <c r="P366" s="323"/>
      <c r="Q366" s="323"/>
      <c r="R366" s="323"/>
      <c r="S366" s="323"/>
      <c r="T366" s="72"/>
    </row>
    <row r="367" spans="1:20" ht="61.5" customHeight="1">
      <c r="A367" s="70"/>
      <c r="B367" s="331"/>
      <c r="C367" s="31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310" t="s">
        <v>5</v>
      </c>
      <c r="P367" s="311"/>
      <c r="Q367" s="311"/>
      <c r="R367" s="311"/>
      <c r="S367" s="311"/>
      <c r="T367" s="72"/>
    </row>
    <row r="368" spans="1:20" ht="34.5" customHeight="1">
      <c r="A368" s="70"/>
      <c r="B368" s="74" t="s">
        <v>6</v>
      </c>
      <c r="C368" s="74" t="s">
        <v>7</v>
      </c>
      <c r="D368" s="74" t="s">
        <v>8</v>
      </c>
      <c r="E368" s="74" t="s">
        <v>9</v>
      </c>
      <c r="F368" s="75" t="s">
        <v>10</v>
      </c>
      <c r="G368" s="74" t="s">
        <v>11</v>
      </c>
      <c r="H368" s="75" t="s">
        <v>10</v>
      </c>
      <c r="I368" s="74" t="s">
        <v>11</v>
      </c>
      <c r="J368" s="75" t="s">
        <v>10</v>
      </c>
      <c r="K368" s="74" t="s">
        <v>11</v>
      </c>
      <c r="L368" s="75" t="s">
        <v>10</v>
      </c>
      <c r="M368" s="74" t="s">
        <v>11</v>
      </c>
      <c r="N368" s="75" t="s">
        <v>10</v>
      </c>
      <c r="O368" s="74" t="s">
        <v>11</v>
      </c>
      <c r="P368" s="75" t="s">
        <v>10</v>
      </c>
      <c r="Q368" s="74" t="s">
        <v>11</v>
      </c>
      <c r="R368" s="328" t="s">
        <v>12</v>
      </c>
      <c r="S368" s="329"/>
      <c r="T368" s="76"/>
    </row>
    <row r="369" spans="1:20" ht="7.5" customHeight="1">
      <c r="A369" s="70"/>
      <c r="B369" s="333" t="s">
        <v>13</v>
      </c>
      <c r="C369" s="335" t="s">
        <v>111</v>
      </c>
      <c r="D369" s="144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330" t="s">
        <v>15</v>
      </c>
      <c r="S369" s="308" t="s">
        <v>55</v>
      </c>
      <c r="T369" s="72"/>
    </row>
    <row r="370" spans="1:20" ht="7.5" customHeight="1">
      <c r="A370" s="70"/>
      <c r="B370" s="299"/>
      <c r="C370" s="299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299"/>
      <c r="S370" s="299"/>
      <c r="T370" s="72"/>
    </row>
    <row r="371" spans="1:20" ht="7.5" customHeight="1">
      <c r="A371" s="70"/>
      <c r="B371" s="299"/>
      <c r="C371" s="299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80"/>
      <c r="S371" s="299"/>
      <c r="T371" s="72"/>
    </row>
    <row r="372" spans="1:20" ht="7.5" customHeight="1">
      <c r="A372" s="70"/>
      <c r="B372" s="299"/>
      <c r="C372" s="299"/>
      <c r="D372" s="81"/>
      <c r="E372" s="81"/>
      <c r="F372" s="81"/>
      <c r="G372" s="81"/>
      <c r="H372" s="81"/>
      <c r="I372" s="307" t="s">
        <v>35</v>
      </c>
      <c r="J372" s="81"/>
      <c r="K372" s="307" t="s">
        <v>36</v>
      </c>
      <c r="L372" s="81"/>
      <c r="M372" s="307" t="s">
        <v>19</v>
      </c>
      <c r="N372" s="81"/>
      <c r="O372" s="307" t="s">
        <v>20</v>
      </c>
      <c r="P372" s="81"/>
      <c r="Q372" s="81"/>
      <c r="R372" s="82"/>
      <c r="S372" s="299"/>
      <c r="T372" s="72"/>
    </row>
    <row r="373" spans="1:20" ht="7.5" customHeight="1">
      <c r="A373" s="145"/>
      <c r="B373" s="299"/>
      <c r="C373" s="299"/>
      <c r="D373" s="81"/>
      <c r="E373" s="81"/>
      <c r="F373" s="99"/>
      <c r="G373" s="100"/>
      <c r="H373" s="78"/>
      <c r="I373" s="299"/>
      <c r="J373" s="99"/>
      <c r="K373" s="299"/>
      <c r="L373" s="79"/>
      <c r="M373" s="299"/>
      <c r="N373" s="99"/>
      <c r="O373" s="299"/>
      <c r="P373" s="99"/>
      <c r="Q373" s="99"/>
      <c r="R373" s="80"/>
      <c r="S373" s="299"/>
      <c r="T373" s="72"/>
    </row>
    <row r="374" spans="1:20" ht="7.5" customHeight="1">
      <c r="A374" s="145"/>
      <c r="B374" s="299"/>
      <c r="C374" s="299"/>
      <c r="D374" s="108"/>
      <c r="E374" s="99"/>
      <c r="F374" s="99"/>
      <c r="G374" s="100"/>
      <c r="H374" s="101"/>
      <c r="I374" s="299"/>
      <c r="J374" s="99"/>
      <c r="K374" s="299"/>
      <c r="L374" s="79"/>
      <c r="M374" s="299"/>
      <c r="N374" s="99"/>
      <c r="O374" s="299"/>
      <c r="P374" s="99"/>
      <c r="Q374" s="99"/>
      <c r="R374" s="85"/>
      <c r="S374" s="299"/>
      <c r="T374" s="72"/>
    </row>
    <row r="375" spans="1:20" ht="7.5" customHeight="1">
      <c r="A375" s="145"/>
      <c r="B375" s="299"/>
      <c r="C375" s="299"/>
      <c r="D375" s="108"/>
      <c r="E375" s="81"/>
      <c r="F375" s="99"/>
      <c r="G375" s="103"/>
      <c r="H375" s="102"/>
      <c r="I375" s="296"/>
      <c r="J375" s="99"/>
      <c r="K375" s="296"/>
      <c r="L375" s="81"/>
      <c r="M375" s="296"/>
      <c r="N375" s="99"/>
      <c r="O375" s="296"/>
      <c r="P375" s="99"/>
      <c r="Q375" s="99"/>
      <c r="R375" s="82"/>
      <c r="S375" s="299"/>
      <c r="T375" s="72"/>
    </row>
    <row r="376" spans="1:20" ht="7.5" customHeight="1">
      <c r="A376" s="145"/>
      <c r="B376" s="299"/>
      <c r="C376" s="299"/>
      <c r="D376" s="327" t="s">
        <v>112</v>
      </c>
      <c r="E376" s="307" t="s">
        <v>22</v>
      </c>
      <c r="F376" s="295"/>
      <c r="G376" s="295" t="s">
        <v>22</v>
      </c>
      <c r="H376" s="295"/>
      <c r="I376" s="295">
        <f>ROUND(K376*1.1,0)</f>
        <v>14968</v>
      </c>
      <c r="J376" s="312">
        <v>3186.5920514999993</v>
      </c>
      <c r="K376" s="295">
        <f>ROUND(J376*mark_up,0)</f>
        <v>13607</v>
      </c>
      <c r="L376" s="295"/>
      <c r="M376" s="295">
        <f>ROUND((I376-K376)+O376,0)</f>
        <v>28575</v>
      </c>
      <c r="N376" s="295"/>
      <c r="O376" s="295">
        <f>ROUND(K376*2,0)</f>
        <v>27214</v>
      </c>
      <c r="P376" s="83"/>
      <c r="Q376" s="295" t="s">
        <v>22</v>
      </c>
      <c r="R376" s="82"/>
      <c r="S376" s="299"/>
      <c r="T376" s="72"/>
    </row>
    <row r="377" spans="1:20" ht="7.5" customHeight="1">
      <c r="A377" s="145"/>
      <c r="B377" s="299"/>
      <c r="C377" s="299"/>
      <c r="D377" s="299"/>
      <c r="E377" s="299"/>
      <c r="F377" s="296"/>
      <c r="G377" s="296"/>
      <c r="H377" s="296"/>
      <c r="I377" s="296"/>
      <c r="J377" s="296"/>
      <c r="K377" s="296"/>
      <c r="L377" s="296"/>
      <c r="M377" s="296"/>
      <c r="N377" s="296"/>
      <c r="O377" s="296"/>
      <c r="P377" s="84"/>
      <c r="Q377" s="296"/>
      <c r="R377" s="82"/>
      <c r="S377" s="299"/>
      <c r="T377" s="72"/>
    </row>
    <row r="378" spans="1:20" ht="7.5" customHeight="1">
      <c r="A378" s="145"/>
      <c r="B378" s="299"/>
      <c r="C378" s="299"/>
      <c r="D378" s="327" t="s">
        <v>113</v>
      </c>
      <c r="E378" s="307" t="s">
        <v>22</v>
      </c>
      <c r="F378" s="295"/>
      <c r="G378" s="295" t="s">
        <v>22</v>
      </c>
      <c r="H378" s="295"/>
      <c r="I378" s="295">
        <f>ROUND(K378*1.1,0)</f>
        <v>21017</v>
      </c>
      <c r="J378" s="312">
        <v>4474.5389617499995</v>
      </c>
      <c r="K378" s="295">
        <f>ROUND(J378*mark_up,0)</f>
        <v>19106</v>
      </c>
      <c r="L378" s="295"/>
      <c r="M378" s="295">
        <f>ROUND((I378-K378)+O378,0)</f>
        <v>40123</v>
      </c>
      <c r="N378" s="295"/>
      <c r="O378" s="295">
        <f>ROUND(K378*2,0)</f>
        <v>38212</v>
      </c>
      <c r="P378" s="83"/>
      <c r="Q378" s="295" t="s">
        <v>22</v>
      </c>
      <c r="R378" s="82"/>
      <c r="S378" s="299"/>
      <c r="T378" s="72"/>
    </row>
    <row r="379" spans="1:20" ht="7.5" customHeight="1">
      <c r="A379" s="145"/>
      <c r="B379" s="299"/>
      <c r="C379" s="299"/>
      <c r="D379" s="299"/>
      <c r="E379" s="299"/>
      <c r="F379" s="296"/>
      <c r="G379" s="296"/>
      <c r="H379" s="296"/>
      <c r="I379" s="296"/>
      <c r="J379" s="296"/>
      <c r="K379" s="296"/>
      <c r="L379" s="296"/>
      <c r="M379" s="296"/>
      <c r="N379" s="296"/>
      <c r="O379" s="296"/>
      <c r="P379" s="84"/>
      <c r="Q379" s="296"/>
      <c r="R379" s="298" t="s">
        <v>15</v>
      </c>
      <c r="S379" s="325" t="s">
        <v>58</v>
      </c>
      <c r="T379" s="72"/>
    </row>
    <row r="380" spans="1:20" ht="7.5" customHeight="1">
      <c r="A380" s="145"/>
      <c r="B380" s="299"/>
      <c r="C380" s="299"/>
      <c r="D380" s="327" t="s">
        <v>114</v>
      </c>
      <c r="E380" s="307" t="s">
        <v>22</v>
      </c>
      <c r="F380" s="295"/>
      <c r="G380" s="295" t="s">
        <v>22</v>
      </c>
      <c r="H380" s="295"/>
      <c r="I380" s="295">
        <f>ROUND(K380*1.1,0)</f>
        <v>32942</v>
      </c>
      <c r="J380" s="312">
        <v>7013.2428258749978</v>
      </c>
      <c r="K380" s="295">
        <f>ROUND(J380*mark_up,0)</f>
        <v>29947</v>
      </c>
      <c r="L380" s="295"/>
      <c r="M380" s="295">
        <f>ROUND((I380-K380)+O380,0)</f>
        <v>62889</v>
      </c>
      <c r="N380" s="295"/>
      <c r="O380" s="295">
        <f>ROUND(K380*2,0)</f>
        <v>59894</v>
      </c>
      <c r="P380" s="83"/>
      <c r="Q380" s="295" t="s">
        <v>22</v>
      </c>
      <c r="R380" s="299"/>
      <c r="S380" s="299"/>
      <c r="T380" s="72"/>
    </row>
    <row r="381" spans="1:20" ht="7.5" customHeight="1">
      <c r="A381" s="72"/>
      <c r="B381" s="299"/>
      <c r="C381" s="299"/>
      <c r="D381" s="299"/>
      <c r="E381" s="299"/>
      <c r="F381" s="296"/>
      <c r="G381" s="296"/>
      <c r="H381" s="296"/>
      <c r="I381" s="296"/>
      <c r="J381" s="296"/>
      <c r="K381" s="296"/>
      <c r="L381" s="296"/>
      <c r="M381" s="296"/>
      <c r="N381" s="296"/>
      <c r="O381" s="296"/>
      <c r="P381" s="84"/>
      <c r="Q381" s="296"/>
      <c r="R381" s="82"/>
      <c r="S381" s="299"/>
      <c r="T381" s="72"/>
    </row>
    <row r="382" spans="1:20" ht="7.5" customHeight="1">
      <c r="A382" s="72"/>
      <c r="B382" s="299"/>
      <c r="C382" s="299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298" t="s">
        <v>15</v>
      </c>
      <c r="S382" s="325" t="s">
        <v>115</v>
      </c>
      <c r="T382" s="72"/>
    </row>
    <row r="383" spans="1:20" ht="7.5" customHeight="1">
      <c r="A383" s="70"/>
      <c r="B383" s="299"/>
      <c r="C383" s="299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299"/>
      <c r="S383" s="299"/>
      <c r="T383" s="72"/>
    </row>
    <row r="384" spans="1:20" ht="7.5" customHeight="1">
      <c r="A384" s="70"/>
      <c r="B384" s="299"/>
      <c r="C384" s="299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298"/>
      <c r="S384" s="325" t="s">
        <v>116</v>
      </c>
      <c r="T384" s="72"/>
    </row>
    <row r="385" spans="1:20" ht="7.5" customHeight="1">
      <c r="A385" s="70"/>
      <c r="B385" s="299"/>
      <c r="C385" s="334" t="s">
        <v>117</v>
      </c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299"/>
      <c r="S385" s="299"/>
      <c r="T385" s="72"/>
    </row>
    <row r="386" spans="1:20" ht="7.5" customHeight="1">
      <c r="A386" s="70"/>
      <c r="B386" s="299"/>
      <c r="C386" s="299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2"/>
      <c r="S386" s="325" t="s">
        <v>118</v>
      </c>
      <c r="T386" s="72"/>
    </row>
    <row r="387" spans="1:20" ht="7.5" customHeight="1">
      <c r="A387" s="70"/>
      <c r="B387" s="299"/>
      <c r="C387" s="296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82"/>
      <c r="S387" s="299"/>
      <c r="T387" s="72"/>
    </row>
    <row r="388" spans="1:20" ht="7.5" customHeight="1">
      <c r="A388" s="70"/>
      <c r="B388" s="299"/>
      <c r="C388" s="337" t="s">
        <v>119</v>
      </c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2"/>
      <c r="S388" s="325" t="s">
        <v>120</v>
      </c>
      <c r="T388" s="72"/>
    </row>
    <row r="389" spans="1:20" ht="7.5" customHeight="1">
      <c r="A389" s="70"/>
      <c r="B389" s="299"/>
      <c r="C389" s="299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2"/>
      <c r="S389" s="299"/>
      <c r="T389" s="72"/>
    </row>
    <row r="390" spans="1:20" ht="7.5" customHeight="1">
      <c r="A390" s="70"/>
      <c r="B390" s="299"/>
      <c r="C390" s="299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298" t="s">
        <v>15</v>
      </c>
      <c r="S390" s="325" t="s">
        <v>24</v>
      </c>
      <c r="T390" s="72"/>
    </row>
    <row r="391" spans="1:20" ht="7.5" customHeight="1">
      <c r="A391" s="70"/>
      <c r="B391" s="299"/>
      <c r="C391" s="299"/>
      <c r="D391" s="81"/>
      <c r="E391" s="81"/>
      <c r="F391" s="99"/>
      <c r="G391" s="307" t="s">
        <v>42</v>
      </c>
      <c r="H391" s="78"/>
      <c r="I391" s="307" t="s">
        <v>43</v>
      </c>
      <c r="J391" s="99"/>
      <c r="K391" s="307" t="s">
        <v>44</v>
      </c>
      <c r="L391" s="99"/>
      <c r="M391" s="307" t="s">
        <v>45</v>
      </c>
      <c r="N391" s="81"/>
      <c r="O391" s="307" t="s">
        <v>46</v>
      </c>
      <c r="P391" s="81"/>
      <c r="Q391" s="81"/>
      <c r="R391" s="299"/>
      <c r="S391" s="299"/>
      <c r="T391" s="72"/>
    </row>
    <row r="392" spans="1:20" ht="7.5" customHeight="1">
      <c r="A392" s="70"/>
      <c r="B392" s="299"/>
      <c r="C392" s="299"/>
      <c r="D392" s="81"/>
      <c r="E392" s="99"/>
      <c r="F392" s="99"/>
      <c r="G392" s="299"/>
      <c r="H392" s="101"/>
      <c r="I392" s="299"/>
      <c r="J392" s="99"/>
      <c r="K392" s="299"/>
      <c r="L392" s="99"/>
      <c r="M392" s="299"/>
      <c r="N392" s="81"/>
      <c r="O392" s="299"/>
      <c r="P392" s="81"/>
      <c r="Q392" s="81"/>
      <c r="R392" s="82"/>
      <c r="S392" s="299"/>
      <c r="T392" s="72"/>
    </row>
    <row r="393" spans="1:20" ht="7.5" customHeight="1">
      <c r="A393" s="70"/>
      <c r="B393" s="299"/>
      <c r="C393" s="299"/>
      <c r="D393" s="81"/>
      <c r="E393" s="81"/>
      <c r="F393" s="99"/>
      <c r="G393" s="296"/>
      <c r="H393" s="102"/>
      <c r="I393" s="296"/>
      <c r="J393" s="99"/>
      <c r="K393" s="296"/>
      <c r="L393" s="99"/>
      <c r="M393" s="296"/>
      <c r="N393" s="81"/>
      <c r="O393" s="296"/>
      <c r="P393" s="81"/>
      <c r="Q393" s="81"/>
      <c r="R393" s="298" t="s">
        <v>15</v>
      </c>
      <c r="S393" s="325" t="s">
        <v>61</v>
      </c>
      <c r="T393" s="72"/>
    </row>
    <row r="394" spans="1:20" ht="7.5" customHeight="1">
      <c r="A394" s="70"/>
      <c r="B394" s="299"/>
      <c r="C394" s="299"/>
      <c r="D394" s="327" t="s">
        <v>112</v>
      </c>
      <c r="E394" s="307" t="s">
        <v>47</v>
      </c>
      <c r="F394" s="312">
        <v>2408.1866909099995</v>
      </c>
      <c r="G394" s="295">
        <f>ROUND(F394*mark_up,0)</f>
        <v>10283</v>
      </c>
      <c r="H394" s="106"/>
      <c r="I394" s="295">
        <f>ROUND(G394*1.04807692307692,0)</f>
        <v>10777</v>
      </c>
      <c r="J394" s="106"/>
      <c r="K394" s="295">
        <f>ROUND(G394*1.65384615384615,0)</f>
        <v>17007</v>
      </c>
      <c r="L394" s="106"/>
      <c r="M394" s="295">
        <f>ROUND(G394*2.56097,0)</f>
        <v>26334</v>
      </c>
      <c r="N394" s="106"/>
      <c r="O394" s="295">
        <f>ROUND(G394*4.38211,0)</f>
        <v>45061</v>
      </c>
      <c r="P394" s="83"/>
      <c r="Q394" s="295" t="s">
        <v>22</v>
      </c>
      <c r="R394" s="299"/>
      <c r="S394" s="299"/>
      <c r="T394" s="72"/>
    </row>
    <row r="395" spans="1:20" ht="7.5" customHeight="1">
      <c r="A395" s="70"/>
      <c r="B395" s="299"/>
      <c r="C395" s="299"/>
      <c r="D395" s="299"/>
      <c r="E395" s="299"/>
      <c r="F395" s="296"/>
      <c r="G395" s="296"/>
      <c r="H395" s="107"/>
      <c r="I395" s="296"/>
      <c r="J395" s="107"/>
      <c r="K395" s="296"/>
      <c r="L395" s="107"/>
      <c r="M395" s="296"/>
      <c r="N395" s="107"/>
      <c r="O395" s="296"/>
      <c r="P395" s="84"/>
      <c r="Q395" s="296"/>
      <c r="R395" s="82"/>
      <c r="S395" s="299"/>
      <c r="T395" s="72"/>
    </row>
    <row r="396" spans="1:20" ht="7.5" customHeight="1">
      <c r="A396" s="70"/>
      <c r="B396" s="299"/>
      <c r="C396" s="299"/>
      <c r="D396" s="327" t="s">
        <v>113</v>
      </c>
      <c r="E396" s="299"/>
      <c r="F396" s="312">
        <v>3389.3751820499997</v>
      </c>
      <c r="G396" s="295">
        <f>ROUND(F396*mark_up,0)</f>
        <v>14473</v>
      </c>
      <c r="H396" s="106"/>
      <c r="I396" s="295">
        <f>ROUND(G396*1.04807692307692,0)</f>
        <v>15169</v>
      </c>
      <c r="J396" s="106"/>
      <c r="K396" s="295">
        <f>ROUND(G396*1.65384615384615,0)</f>
        <v>23936</v>
      </c>
      <c r="L396" s="106"/>
      <c r="M396" s="295">
        <f>ROUND(G396*2.46362,0)</f>
        <v>35656</v>
      </c>
      <c r="N396" s="106"/>
      <c r="O396" s="295">
        <f>ROUND(G396*4.16108,0)</f>
        <v>60223</v>
      </c>
      <c r="P396" s="83"/>
      <c r="Q396" s="295" t="s">
        <v>22</v>
      </c>
      <c r="R396" s="82"/>
      <c r="S396" s="299"/>
      <c r="T396" s="72"/>
    </row>
    <row r="397" spans="1:20" ht="7.5" customHeight="1">
      <c r="A397" s="70"/>
      <c r="B397" s="299"/>
      <c r="C397" s="299"/>
      <c r="D397" s="299"/>
      <c r="E397" s="299"/>
      <c r="F397" s="296"/>
      <c r="G397" s="296"/>
      <c r="H397" s="107"/>
      <c r="I397" s="296"/>
      <c r="J397" s="107"/>
      <c r="K397" s="296"/>
      <c r="L397" s="107"/>
      <c r="M397" s="296"/>
      <c r="N397" s="107"/>
      <c r="O397" s="296"/>
      <c r="P397" s="84"/>
      <c r="Q397" s="296"/>
      <c r="R397" s="82"/>
      <c r="S397" s="299"/>
      <c r="T397" s="72"/>
    </row>
    <row r="398" spans="1:20" ht="7.5" customHeight="1">
      <c r="A398" s="70"/>
      <c r="B398" s="299"/>
      <c r="C398" s="299"/>
      <c r="D398" s="327" t="s">
        <v>114</v>
      </c>
      <c r="E398" s="299"/>
      <c r="F398" s="312">
        <v>4777.6958271899994</v>
      </c>
      <c r="G398" s="295">
        <f>ROUND(F398*mark_up,0)</f>
        <v>20401</v>
      </c>
      <c r="H398" s="106"/>
      <c r="I398" s="295">
        <f>ROUND(G398*1.04807692307692,0)</f>
        <v>21382</v>
      </c>
      <c r="J398" s="106"/>
      <c r="K398" s="295">
        <f>ROUND(G398*1.65384615384615,0)</f>
        <v>33740</v>
      </c>
      <c r="L398" s="106"/>
      <c r="M398" s="295">
        <f>ROUND(G398*2.59074,0)</f>
        <v>52854</v>
      </c>
      <c r="N398" s="106"/>
      <c r="O398" s="295">
        <f>ROUND(G398*4.42605,0)</f>
        <v>90296</v>
      </c>
      <c r="P398" s="83"/>
      <c r="Q398" s="295" t="s">
        <v>22</v>
      </c>
      <c r="R398" s="298" t="s">
        <v>15</v>
      </c>
      <c r="S398" s="326" t="s">
        <v>121</v>
      </c>
      <c r="T398" s="72"/>
    </row>
    <row r="399" spans="1:20" ht="7.5" customHeight="1">
      <c r="A399" s="70"/>
      <c r="B399" s="299"/>
      <c r="C399" s="299"/>
      <c r="D399" s="299"/>
      <c r="E399" s="299"/>
      <c r="F399" s="296"/>
      <c r="G399" s="296"/>
      <c r="H399" s="107"/>
      <c r="I399" s="296"/>
      <c r="J399" s="107"/>
      <c r="K399" s="296"/>
      <c r="L399" s="107"/>
      <c r="M399" s="296"/>
      <c r="N399" s="107"/>
      <c r="O399" s="296"/>
      <c r="P399" s="84"/>
      <c r="Q399" s="296"/>
      <c r="R399" s="299"/>
      <c r="S399" s="299"/>
      <c r="T399" s="72"/>
    </row>
    <row r="400" spans="1:20" ht="7.5" customHeight="1">
      <c r="A400" s="70"/>
      <c r="B400" s="299"/>
      <c r="C400" s="299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2"/>
      <c r="S400" s="299"/>
      <c r="T400" s="72"/>
    </row>
    <row r="401" spans="1:20" ht="7.5" customHeight="1">
      <c r="A401" s="70"/>
      <c r="B401" s="299"/>
      <c r="C401" s="299"/>
      <c r="D401" s="81"/>
      <c r="E401" s="100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5"/>
      <c r="S401" s="299"/>
      <c r="T401" s="72"/>
    </row>
    <row r="402" spans="1:20" ht="7.5" customHeight="1">
      <c r="A402" s="70"/>
      <c r="B402" s="299"/>
      <c r="C402" s="299"/>
      <c r="D402" s="81"/>
      <c r="E402" s="100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2"/>
      <c r="S402" s="299"/>
      <c r="T402" s="72"/>
    </row>
    <row r="403" spans="1:20" ht="7.5" customHeight="1">
      <c r="A403" s="70"/>
      <c r="B403" s="299"/>
      <c r="C403" s="299"/>
      <c r="D403" s="108"/>
      <c r="E403" s="81"/>
      <c r="F403" s="81"/>
      <c r="G403" s="307" t="s">
        <v>48</v>
      </c>
      <c r="H403" s="81"/>
      <c r="I403" s="307" t="s">
        <v>49</v>
      </c>
      <c r="J403" s="81"/>
      <c r="K403" s="307" t="s">
        <v>50</v>
      </c>
      <c r="L403" s="81"/>
      <c r="M403" s="81"/>
      <c r="N403" s="81"/>
      <c r="O403" s="81"/>
      <c r="P403" s="81"/>
      <c r="Q403" s="81"/>
      <c r="R403" s="298" t="s">
        <v>15</v>
      </c>
      <c r="S403" s="326" t="s">
        <v>31</v>
      </c>
      <c r="T403" s="72"/>
    </row>
    <row r="404" spans="1:20" ht="7.5" customHeight="1">
      <c r="A404" s="70"/>
      <c r="B404" s="299"/>
      <c r="C404" s="299"/>
      <c r="D404" s="108"/>
      <c r="E404" s="81"/>
      <c r="F404" s="81"/>
      <c r="G404" s="299"/>
      <c r="H404" s="81"/>
      <c r="I404" s="299"/>
      <c r="J404" s="81"/>
      <c r="K404" s="299"/>
      <c r="L404" s="81"/>
      <c r="M404" s="81"/>
      <c r="N404" s="81"/>
      <c r="O404" s="81"/>
      <c r="P404" s="81"/>
      <c r="Q404" s="81"/>
      <c r="R404" s="299"/>
      <c r="S404" s="299"/>
      <c r="T404" s="72"/>
    </row>
    <row r="405" spans="1:20" ht="7.5" customHeight="1">
      <c r="A405" s="70"/>
      <c r="B405" s="299"/>
      <c r="C405" s="299"/>
      <c r="D405" s="108"/>
      <c r="E405" s="81"/>
      <c r="F405" s="81"/>
      <c r="G405" s="299"/>
      <c r="H405" s="81"/>
      <c r="I405" s="299"/>
      <c r="J405" s="81"/>
      <c r="K405" s="299"/>
      <c r="L405" s="81"/>
      <c r="M405" s="81"/>
      <c r="N405" s="81"/>
      <c r="O405" s="81"/>
      <c r="P405" s="81"/>
      <c r="Q405" s="81"/>
      <c r="R405" s="85"/>
      <c r="S405" s="299"/>
      <c r="T405" s="72"/>
    </row>
    <row r="406" spans="1:20" ht="7.5" customHeight="1">
      <c r="A406" s="70"/>
      <c r="B406" s="299"/>
      <c r="C406" s="299"/>
      <c r="D406" s="327" t="s">
        <v>112</v>
      </c>
      <c r="E406" s="307" t="s">
        <v>51</v>
      </c>
      <c r="F406" s="312">
        <v>2930.1770891249998</v>
      </c>
      <c r="G406" s="295">
        <f>ROUND(F406*mark_up,0)</f>
        <v>12512</v>
      </c>
      <c r="H406" s="106"/>
      <c r="I406" s="295">
        <f>ROUND(G406*1.2692,0)</f>
        <v>15880</v>
      </c>
      <c r="J406" s="106"/>
      <c r="K406" s="295">
        <f>ROUND(G406*1.44488,0)</f>
        <v>18078</v>
      </c>
      <c r="L406" s="106"/>
      <c r="M406" s="295" t="s">
        <v>22</v>
      </c>
      <c r="N406" s="106"/>
      <c r="O406" s="295" t="s">
        <v>22</v>
      </c>
      <c r="P406" s="106"/>
      <c r="Q406" s="295" t="s">
        <v>22</v>
      </c>
      <c r="R406" s="298" t="s">
        <v>15</v>
      </c>
      <c r="S406" s="325" t="s">
        <v>122</v>
      </c>
      <c r="T406" s="72"/>
    </row>
    <row r="407" spans="1:20" ht="7.5" customHeight="1">
      <c r="A407" s="70"/>
      <c r="B407" s="299"/>
      <c r="C407" s="299"/>
      <c r="D407" s="299"/>
      <c r="E407" s="299"/>
      <c r="F407" s="296"/>
      <c r="G407" s="296"/>
      <c r="H407" s="107"/>
      <c r="I407" s="296"/>
      <c r="J407" s="107"/>
      <c r="K407" s="296"/>
      <c r="L407" s="107"/>
      <c r="M407" s="296"/>
      <c r="N407" s="107"/>
      <c r="O407" s="296"/>
      <c r="P407" s="107"/>
      <c r="Q407" s="296"/>
      <c r="R407" s="299"/>
      <c r="S407" s="299"/>
      <c r="T407" s="72"/>
    </row>
    <row r="408" spans="1:20" ht="7.5" customHeight="1">
      <c r="A408" s="70"/>
      <c r="B408" s="299"/>
      <c r="C408" s="299"/>
      <c r="D408" s="327" t="s">
        <v>113</v>
      </c>
      <c r="E408" s="299"/>
      <c r="F408" s="312">
        <v>4137.871988249999</v>
      </c>
      <c r="G408" s="295">
        <f>ROUND(F408*mark_up,0)</f>
        <v>17669</v>
      </c>
      <c r="H408" s="106"/>
      <c r="I408" s="295">
        <f>ROUND(G408*1.24219,0)</f>
        <v>21948</v>
      </c>
      <c r="J408" s="106"/>
      <c r="K408" s="295">
        <f>ROUND(G408*1.39924,0)</f>
        <v>24723</v>
      </c>
      <c r="L408" s="106"/>
      <c r="M408" s="295" t="s">
        <v>22</v>
      </c>
      <c r="N408" s="106"/>
      <c r="O408" s="295" t="s">
        <v>22</v>
      </c>
      <c r="P408" s="106"/>
      <c r="Q408" s="295" t="s">
        <v>22</v>
      </c>
      <c r="R408" s="82"/>
      <c r="S408" s="299"/>
      <c r="T408" s="72"/>
    </row>
    <row r="409" spans="1:20" ht="7.5" customHeight="1">
      <c r="A409" s="70"/>
      <c r="B409" s="299"/>
      <c r="C409" s="299"/>
      <c r="D409" s="299"/>
      <c r="E409" s="299"/>
      <c r="F409" s="296"/>
      <c r="G409" s="296"/>
      <c r="H409" s="107"/>
      <c r="I409" s="296"/>
      <c r="J409" s="107"/>
      <c r="K409" s="296"/>
      <c r="L409" s="107"/>
      <c r="M409" s="296"/>
      <c r="N409" s="107"/>
      <c r="O409" s="296"/>
      <c r="P409" s="107"/>
      <c r="Q409" s="296"/>
      <c r="R409" s="104"/>
      <c r="S409" s="104"/>
      <c r="T409" s="72"/>
    </row>
    <row r="410" spans="1:20" ht="7.5" customHeight="1">
      <c r="A410" s="70"/>
      <c r="B410" s="299"/>
      <c r="C410" s="299"/>
      <c r="D410" s="327" t="s">
        <v>114</v>
      </c>
      <c r="E410" s="299"/>
      <c r="F410" s="312">
        <v>5842.737883124998</v>
      </c>
      <c r="G410" s="295">
        <f>ROUND(F410*mark_up,0)</f>
        <v>24948</v>
      </c>
      <c r="H410" s="106"/>
      <c r="I410" s="295">
        <f>ROUND(G410*1.25259,0)</f>
        <v>31250</v>
      </c>
      <c r="J410" s="106"/>
      <c r="K410" s="295">
        <f>ROUND(G410*1.41675,0)</f>
        <v>35345</v>
      </c>
      <c r="L410" s="106"/>
      <c r="M410" s="295" t="s">
        <v>22</v>
      </c>
      <c r="N410" s="106"/>
      <c r="O410" s="295" t="s">
        <v>22</v>
      </c>
      <c r="P410" s="106"/>
      <c r="Q410" s="295" t="s">
        <v>22</v>
      </c>
      <c r="R410" s="104"/>
      <c r="S410" s="104"/>
      <c r="T410" s="72"/>
    </row>
    <row r="411" spans="1:20" ht="7.5" customHeight="1">
      <c r="A411" s="70"/>
      <c r="B411" s="299"/>
      <c r="C411" s="334" t="s">
        <v>123</v>
      </c>
      <c r="D411" s="299"/>
      <c r="E411" s="299"/>
      <c r="F411" s="296"/>
      <c r="G411" s="296"/>
      <c r="H411" s="107"/>
      <c r="I411" s="296"/>
      <c r="J411" s="107"/>
      <c r="K411" s="296"/>
      <c r="L411" s="107"/>
      <c r="M411" s="296"/>
      <c r="N411" s="107"/>
      <c r="O411" s="296"/>
      <c r="P411" s="107"/>
      <c r="Q411" s="296"/>
      <c r="R411" s="104"/>
      <c r="S411" s="104"/>
      <c r="T411" s="72"/>
    </row>
    <row r="412" spans="1:20" ht="7.5" customHeight="1">
      <c r="A412" s="70"/>
      <c r="B412" s="299"/>
      <c r="C412" s="299"/>
      <c r="D412" s="81"/>
      <c r="E412" s="100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5"/>
      <c r="S412" s="146"/>
      <c r="T412" s="72"/>
    </row>
    <row r="413" spans="1:20" ht="7.5" customHeight="1">
      <c r="A413" s="70"/>
      <c r="B413" s="299"/>
      <c r="C413" s="296"/>
      <c r="D413" s="111"/>
      <c r="E413" s="103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82"/>
      <c r="S413" s="108"/>
      <c r="T413" s="72"/>
    </row>
    <row r="414" spans="1:20" ht="7.5" customHeight="1">
      <c r="A414" s="72"/>
      <c r="B414" s="299"/>
      <c r="C414" s="114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2"/>
      <c r="S414" s="108"/>
      <c r="T414" s="147"/>
    </row>
    <row r="415" spans="1:20" ht="7.5" customHeight="1">
      <c r="A415" s="72"/>
      <c r="B415" s="299"/>
      <c r="C415" s="114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2"/>
      <c r="S415" s="108"/>
      <c r="T415" s="147"/>
    </row>
    <row r="416" spans="1:20" ht="7.5" customHeight="1">
      <c r="A416" s="72"/>
      <c r="B416" s="299"/>
      <c r="C416" s="114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2"/>
      <c r="S416" s="108"/>
      <c r="T416" s="147"/>
    </row>
    <row r="417" spans="1:20" ht="7.5" customHeight="1">
      <c r="A417" s="72"/>
      <c r="B417" s="299"/>
      <c r="C417" s="114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2"/>
      <c r="S417" s="108"/>
      <c r="T417" s="72"/>
    </row>
    <row r="418" spans="1:20" ht="7.5" customHeight="1">
      <c r="A418" s="72"/>
      <c r="B418" s="299"/>
      <c r="C418" s="114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2"/>
      <c r="S418" s="108"/>
      <c r="T418" s="147"/>
    </row>
    <row r="419" spans="1:20" ht="7.5" customHeight="1">
      <c r="A419" s="72"/>
      <c r="B419" s="299"/>
      <c r="C419" s="114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2"/>
      <c r="S419" s="108"/>
      <c r="T419" s="147"/>
    </row>
    <row r="420" spans="1:20" ht="7.5" customHeight="1">
      <c r="A420" s="72"/>
      <c r="B420" s="299"/>
      <c r="C420" s="114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2"/>
      <c r="S420" s="108"/>
      <c r="T420" s="72"/>
    </row>
    <row r="421" spans="1:20" ht="7.5" customHeight="1">
      <c r="A421" s="72"/>
      <c r="B421" s="299"/>
      <c r="C421" s="114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2"/>
      <c r="S421" s="108"/>
      <c r="T421" s="147"/>
    </row>
    <row r="422" spans="1:20" ht="7.5" customHeight="1">
      <c r="A422" s="72"/>
      <c r="B422" s="299"/>
      <c r="C422" s="114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2"/>
      <c r="S422" s="108"/>
      <c r="T422" s="147"/>
    </row>
    <row r="423" spans="1:20" ht="7.5" customHeight="1">
      <c r="A423" s="72"/>
      <c r="B423" s="299"/>
      <c r="C423" s="114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2"/>
      <c r="S423" s="108"/>
      <c r="T423" s="72"/>
    </row>
    <row r="424" spans="1:20" ht="7.5" customHeight="1">
      <c r="A424" s="70"/>
      <c r="B424" s="311"/>
      <c r="C424" s="114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2"/>
      <c r="S424" s="108"/>
      <c r="T424" s="72"/>
    </row>
    <row r="425" spans="1:20" ht="11.25" customHeight="1">
      <c r="A425" s="70"/>
      <c r="B425" s="300"/>
      <c r="C425" s="301"/>
      <c r="D425" s="301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2" t="s">
        <v>53</v>
      </c>
      <c r="T425" s="72"/>
    </row>
    <row r="426" spans="1:20" ht="11.25" customHeight="1">
      <c r="A426" s="70"/>
      <c r="B426" s="111"/>
      <c r="C426" s="116"/>
      <c r="D426" s="117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7"/>
      <c r="S426" s="296"/>
      <c r="T426" s="72"/>
    </row>
    <row r="427" spans="1:20" ht="11.25" customHeight="1">
      <c r="A427" s="70"/>
      <c r="B427" s="322" t="s">
        <v>124</v>
      </c>
      <c r="C427" s="323"/>
      <c r="D427" s="323"/>
      <c r="E427" s="323"/>
      <c r="F427" s="323"/>
      <c r="G427" s="323"/>
      <c r="H427" s="323"/>
      <c r="I427" s="323"/>
      <c r="J427" s="323"/>
      <c r="K427" s="323"/>
      <c r="L427" s="323"/>
      <c r="M427" s="323"/>
      <c r="N427" s="323"/>
      <c r="O427" s="323"/>
      <c r="P427" s="323"/>
      <c r="Q427" s="323"/>
      <c r="R427" s="323"/>
      <c r="S427" s="323"/>
      <c r="T427" s="72"/>
    </row>
    <row r="428" spans="1:20" ht="61.5" customHeight="1">
      <c r="A428" s="70"/>
      <c r="B428" s="331"/>
      <c r="C428" s="31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310" t="s">
        <v>5</v>
      </c>
      <c r="P428" s="311"/>
      <c r="Q428" s="311"/>
      <c r="R428" s="311"/>
      <c r="S428" s="311"/>
      <c r="T428" s="72"/>
    </row>
    <row r="429" spans="1:20" ht="34.5" customHeight="1">
      <c r="A429" s="70"/>
      <c r="B429" s="74" t="s">
        <v>6</v>
      </c>
      <c r="C429" s="74" t="s">
        <v>7</v>
      </c>
      <c r="D429" s="74" t="s">
        <v>8</v>
      </c>
      <c r="E429" s="74" t="s">
        <v>9</v>
      </c>
      <c r="F429" s="75" t="s">
        <v>10</v>
      </c>
      <c r="G429" s="74" t="s">
        <v>11</v>
      </c>
      <c r="H429" s="75" t="s">
        <v>10</v>
      </c>
      <c r="I429" s="74" t="s">
        <v>11</v>
      </c>
      <c r="J429" s="75" t="s">
        <v>10</v>
      </c>
      <c r="K429" s="74" t="s">
        <v>11</v>
      </c>
      <c r="L429" s="75" t="s">
        <v>10</v>
      </c>
      <c r="M429" s="74" t="s">
        <v>11</v>
      </c>
      <c r="N429" s="75" t="s">
        <v>10</v>
      </c>
      <c r="O429" s="74" t="s">
        <v>11</v>
      </c>
      <c r="P429" s="75" t="s">
        <v>10</v>
      </c>
      <c r="Q429" s="74" t="s">
        <v>11</v>
      </c>
      <c r="R429" s="328" t="s">
        <v>12</v>
      </c>
      <c r="S429" s="329"/>
      <c r="T429" s="76"/>
    </row>
    <row r="430" spans="1:20" ht="7.5" customHeight="1">
      <c r="A430" s="70"/>
      <c r="B430" s="333" t="s">
        <v>13</v>
      </c>
      <c r="C430" s="335" t="s">
        <v>125</v>
      </c>
      <c r="D430" s="144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330" t="s">
        <v>15</v>
      </c>
      <c r="S430" s="308" t="s">
        <v>126</v>
      </c>
      <c r="T430" s="72"/>
    </row>
    <row r="431" spans="1:20" ht="7.5" customHeight="1">
      <c r="A431" s="70"/>
      <c r="B431" s="299"/>
      <c r="C431" s="299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299"/>
      <c r="S431" s="299"/>
      <c r="T431" s="72"/>
    </row>
    <row r="432" spans="1:20" ht="7.5" customHeight="1">
      <c r="A432" s="70"/>
      <c r="B432" s="299"/>
      <c r="C432" s="299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80"/>
      <c r="S432" s="299"/>
      <c r="T432" s="72"/>
    </row>
    <row r="433" spans="1:20" ht="7.5" customHeight="1">
      <c r="A433" s="70"/>
      <c r="B433" s="299"/>
      <c r="C433" s="299"/>
      <c r="D433" s="81"/>
      <c r="E433" s="81"/>
      <c r="F433" s="81"/>
      <c r="G433" s="81"/>
      <c r="H433" s="81"/>
      <c r="I433" s="307" t="s">
        <v>35</v>
      </c>
      <c r="J433" s="81"/>
      <c r="K433" s="307" t="s">
        <v>36</v>
      </c>
      <c r="L433" s="81"/>
      <c r="M433" s="307" t="s">
        <v>19</v>
      </c>
      <c r="N433" s="81"/>
      <c r="O433" s="307" t="s">
        <v>20</v>
      </c>
      <c r="P433" s="81"/>
      <c r="Q433" s="81"/>
      <c r="R433" s="82"/>
      <c r="S433" s="299"/>
      <c r="T433" s="72"/>
    </row>
    <row r="434" spans="1:20" ht="7.5" customHeight="1">
      <c r="A434" s="145"/>
      <c r="B434" s="299"/>
      <c r="C434" s="299"/>
      <c r="D434" s="81"/>
      <c r="E434" s="81"/>
      <c r="F434" s="99"/>
      <c r="G434" s="100"/>
      <c r="H434" s="78"/>
      <c r="I434" s="299"/>
      <c r="J434" s="99"/>
      <c r="K434" s="299"/>
      <c r="L434" s="79"/>
      <c r="M434" s="299"/>
      <c r="N434" s="99"/>
      <c r="O434" s="299"/>
      <c r="P434" s="99"/>
      <c r="Q434" s="99"/>
      <c r="R434" s="80"/>
      <c r="S434" s="299"/>
      <c r="T434" s="72"/>
    </row>
    <row r="435" spans="1:20" ht="7.5" customHeight="1">
      <c r="A435" s="70"/>
      <c r="B435" s="299"/>
      <c r="C435" s="299"/>
      <c r="D435" s="108"/>
      <c r="E435" s="99"/>
      <c r="F435" s="99"/>
      <c r="G435" s="100"/>
      <c r="H435" s="101"/>
      <c r="I435" s="299"/>
      <c r="J435" s="99"/>
      <c r="K435" s="299"/>
      <c r="L435" s="79"/>
      <c r="M435" s="299"/>
      <c r="N435" s="99"/>
      <c r="O435" s="299"/>
      <c r="P435" s="99"/>
      <c r="Q435" s="99"/>
      <c r="R435" s="85"/>
      <c r="S435" s="299"/>
      <c r="T435" s="72"/>
    </row>
    <row r="436" spans="1:20" ht="7.5" customHeight="1">
      <c r="A436" s="145"/>
      <c r="B436" s="299"/>
      <c r="C436" s="299"/>
      <c r="D436" s="108"/>
      <c r="E436" s="81"/>
      <c r="F436" s="99"/>
      <c r="G436" s="103"/>
      <c r="H436" s="102"/>
      <c r="I436" s="296"/>
      <c r="J436" s="99"/>
      <c r="K436" s="296"/>
      <c r="L436" s="81"/>
      <c r="M436" s="296"/>
      <c r="N436" s="99"/>
      <c r="O436" s="296"/>
      <c r="P436" s="99"/>
      <c r="Q436" s="99"/>
      <c r="R436" s="82"/>
      <c r="S436" s="299"/>
      <c r="T436" s="72"/>
    </row>
    <row r="437" spans="1:20" ht="7.5" customHeight="1">
      <c r="A437" s="145"/>
      <c r="B437" s="299"/>
      <c r="C437" s="299"/>
      <c r="D437" s="327" t="s">
        <v>127</v>
      </c>
      <c r="E437" s="307" t="s">
        <v>22</v>
      </c>
      <c r="F437" s="295"/>
      <c r="G437" s="295" t="s">
        <v>22</v>
      </c>
      <c r="H437" s="295"/>
      <c r="I437" s="295">
        <f>ROUND(K437*1.1,0)</f>
        <v>16457</v>
      </c>
      <c r="J437" s="312">
        <v>3503.6853637499994</v>
      </c>
      <c r="K437" s="295">
        <f>ROUND(J437*mark_up,0)</f>
        <v>14961</v>
      </c>
      <c r="L437" s="295"/>
      <c r="M437" s="295">
        <f>ROUND((I437-K437)+O437,0)</f>
        <v>31418</v>
      </c>
      <c r="N437" s="295"/>
      <c r="O437" s="295">
        <f>ROUND(K437*2,0)</f>
        <v>29922</v>
      </c>
      <c r="P437" s="83"/>
      <c r="Q437" s="295" t="s">
        <v>22</v>
      </c>
      <c r="R437" s="82"/>
      <c r="S437" s="299"/>
      <c r="T437" s="72"/>
    </row>
    <row r="438" spans="1:20" ht="7.5" customHeight="1">
      <c r="A438" s="145"/>
      <c r="B438" s="299"/>
      <c r="C438" s="299"/>
      <c r="D438" s="299"/>
      <c r="E438" s="299"/>
      <c r="F438" s="296"/>
      <c r="G438" s="296"/>
      <c r="H438" s="296"/>
      <c r="I438" s="296"/>
      <c r="J438" s="296"/>
      <c r="K438" s="296"/>
      <c r="L438" s="296"/>
      <c r="M438" s="296"/>
      <c r="N438" s="296"/>
      <c r="O438" s="296"/>
      <c r="P438" s="84"/>
      <c r="Q438" s="296"/>
      <c r="R438" s="82"/>
      <c r="S438" s="299"/>
      <c r="T438" s="72"/>
    </row>
    <row r="439" spans="1:20" ht="7.5" customHeight="1">
      <c r="A439" s="145"/>
      <c r="B439" s="299"/>
      <c r="C439" s="299"/>
      <c r="D439" s="327" t="s">
        <v>128</v>
      </c>
      <c r="E439" s="307" t="s">
        <v>22</v>
      </c>
      <c r="F439" s="295"/>
      <c r="G439" s="295" t="s">
        <v>22</v>
      </c>
      <c r="H439" s="295"/>
      <c r="I439" s="295">
        <f>ROUND(K439*1.1,0)</f>
        <v>22847</v>
      </c>
      <c r="J439" s="312">
        <v>4864.0548206249987</v>
      </c>
      <c r="K439" s="295">
        <f>ROUND(J439*mark_up,0)</f>
        <v>20770</v>
      </c>
      <c r="L439" s="295"/>
      <c r="M439" s="295">
        <f>ROUND((I439-K439)+O439,0)</f>
        <v>43617</v>
      </c>
      <c r="N439" s="295"/>
      <c r="O439" s="295">
        <f>ROUND(K439*2,0)</f>
        <v>41540</v>
      </c>
      <c r="P439" s="83"/>
      <c r="Q439" s="295" t="s">
        <v>22</v>
      </c>
      <c r="R439" s="82"/>
      <c r="S439" s="299"/>
      <c r="T439" s="72"/>
    </row>
    <row r="440" spans="1:20" ht="7.5" customHeight="1">
      <c r="A440" s="145"/>
      <c r="B440" s="299"/>
      <c r="C440" s="299"/>
      <c r="D440" s="299"/>
      <c r="E440" s="299"/>
      <c r="F440" s="296"/>
      <c r="G440" s="296"/>
      <c r="H440" s="296"/>
      <c r="I440" s="296"/>
      <c r="J440" s="296"/>
      <c r="K440" s="296"/>
      <c r="L440" s="296"/>
      <c r="M440" s="296"/>
      <c r="N440" s="296"/>
      <c r="O440" s="296"/>
      <c r="P440" s="84"/>
      <c r="Q440" s="296"/>
      <c r="R440" s="298" t="s">
        <v>15</v>
      </c>
      <c r="S440" s="325" t="s">
        <v>58</v>
      </c>
      <c r="T440" s="72"/>
    </row>
    <row r="441" spans="1:20" ht="7.5" customHeight="1">
      <c r="A441" s="145"/>
      <c r="B441" s="299"/>
      <c r="C441" s="299"/>
      <c r="D441" s="327" t="s">
        <v>129</v>
      </c>
      <c r="E441" s="307" t="s">
        <v>22</v>
      </c>
      <c r="F441" s="295"/>
      <c r="G441" s="295" t="s">
        <v>22</v>
      </c>
      <c r="H441" s="295"/>
      <c r="I441" s="295">
        <f>ROUND(K441*1.1,0)</f>
        <v>34845</v>
      </c>
      <c r="J441" s="312">
        <v>7418.4176137499981</v>
      </c>
      <c r="K441" s="295">
        <f>ROUND(J441*mark_up,0)</f>
        <v>31677</v>
      </c>
      <c r="L441" s="295"/>
      <c r="M441" s="295">
        <f>ROUND((I441-K441)+O441,0)</f>
        <v>66438</v>
      </c>
      <c r="N441" s="295"/>
      <c r="O441" s="295">
        <f>ROUND(K441*1.997361477,0)</f>
        <v>63270</v>
      </c>
      <c r="P441" s="83"/>
      <c r="Q441" s="295" t="s">
        <v>22</v>
      </c>
      <c r="R441" s="299"/>
      <c r="S441" s="299"/>
      <c r="T441" s="72"/>
    </row>
    <row r="442" spans="1:20" ht="7.5" customHeight="1">
      <c r="A442" s="72"/>
      <c r="B442" s="299"/>
      <c r="C442" s="299"/>
      <c r="D442" s="299"/>
      <c r="E442" s="299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84"/>
      <c r="Q442" s="296"/>
      <c r="R442" s="82"/>
      <c r="S442" s="299"/>
      <c r="T442" s="72"/>
    </row>
    <row r="443" spans="1:20" ht="7.5" customHeight="1">
      <c r="A443" s="72"/>
      <c r="B443" s="299"/>
      <c r="C443" s="299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298" t="s">
        <v>15</v>
      </c>
      <c r="S443" s="325" t="s">
        <v>115</v>
      </c>
      <c r="T443" s="72"/>
    </row>
    <row r="444" spans="1:20" ht="7.5" customHeight="1">
      <c r="A444" s="72"/>
      <c r="B444" s="299"/>
      <c r="C444" s="299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299"/>
      <c r="S444" s="299"/>
      <c r="T444" s="72"/>
    </row>
    <row r="445" spans="1:20" ht="7.5" customHeight="1">
      <c r="A445" s="70"/>
      <c r="B445" s="299"/>
      <c r="C445" s="334" t="s">
        <v>117</v>
      </c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298"/>
      <c r="S445" s="325" t="s">
        <v>116</v>
      </c>
      <c r="T445" s="72"/>
    </row>
    <row r="446" spans="1:20" ht="7.5" customHeight="1">
      <c r="A446" s="70"/>
      <c r="B446" s="299"/>
      <c r="C446" s="299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299"/>
      <c r="S446" s="299"/>
      <c r="T446" s="72"/>
    </row>
    <row r="447" spans="1:20" ht="7.5" customHeight="1">
      <c r="A447" s="70"/>
      <c r="B447" s="299"/>
      <c r="C447" s="296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82"/>
      <c r="S447" s="325" t="s">
        <v>130</v>
      </c>
      <c r="T447" s="72"/>
    </row>
    <row r="448" spans="1:20" ht="7.5" customHeight="1">
      <c r="A448" s="70"/>
      <c r="B448" s="299"/>
      <c r="C448" s="337" t="s">
        <v>131</v>
      </c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82"/>
      <c r="S448" s="299"/>
      <c r="T448" s="72"/>
    </row>
    <row r="449" spans="1:20" ht="7.5" customHeight="1">
      <c r="A449" s="70"/>
      <c r="B449" s="299"/>
      <c r="C449" s="299"/>
      <c r="D449" s="81"/>
      <c r="E449" s="81"/>
      <c r="F449" s="99"/>
      <c r="G449" s="307" t="s">
        <v>42</v>
      </c>
      <c r="H449" s="78"/>
      <c r="I449" s="307" t="s">
        <v>43</v>
      </c>
      <c r="J449" s="99"/>
      <c r="K449" s="307" t="s">
        <v>44</v>
      </c>
      <c r="L449" s="99"/>
      <c r="M449" s="307" t="s">
        <v>45</v>
      </c>
      <c r="N449" s="81"/>
      <c r="O449" s="307" t="s">
        <v>46</v>
      </c>
      <c r="P449" s="81"/>
      <c r="Q449" s="81"/>
      <c r="R449" s="82"/>
      <c r="S449" s="325" t="s">
        <v>132</v>
      </c>
      <c r="T449" s="72"/>
    </row>
    <row r="450" spans="1:20" ht="7.5" customHeight="1">
      <c r="A450" s="70"/>
      <c r="B450" s="299"/>
      <c r="C450" s="299"/>
      <c r="D450" s="81"/>
      <c r="E450" s="99"/>
      <c r="F450" s="99"/>
      <c r="G450" s="299"/>
      <c r="H450" s="101"/>
      <c r="I450" s="299"/>
      <c r="J450" s="99"/>
      <c r="K450" s="299"/>
      <c r="L450" s="99"/>
      <c r="M450" s="299"/>
      <c r="N450" s="81"/>
      <c r="O450" s="299"/>
      <c r="P450" s="81"/>
      <c r="Q450" s="81"/>
      <c r="R450" s="82"/>
      <c r="S450" s="299"/>
      <c r="T450" s="72"/>
    </row>
    <row r="451" spans="1:20" ht="7.5" customHeight="1">
      <c r="A451" s="70"/>
      <c r="B451" s="299"/>
      <c r="C451" s="299"/>
      <c r="D451" s="81"/>
      <c r="E451" s="81"/>
      <c r="F451" s="99"/>
      <c r="G451" s="296"/>
      <c r="H451" s="102"/>
      <c r="I451" s="296"/>
      <c r="J451" s="99"/>
      <c r="K451" s="296"/>
      <c r="L451" s="99"/>
      <c r="M451" s="296"/>
      <c r="N451" s="81"/>
      <c r="O451" s="296"/>
      <c r="P451" s="81"/>
      <c r="Q451" s="81"/>
      <c r="R451" s="298" t="s">
        <v>15</v>
      </c>
      <c r="S451" s="325" t="s">
        <v>24</v>
      </c>
      <c r="T451" s="72"/>
    </row>
    <row r="452" spans="1:20" ht="7.5" customHeight="1">
      <c r="A452" s="70"/>
      <c r="B452" s="299"/>
      <c r="C452" s="299"/>
      <c r="D452" s="327" t="s">
        <v>127</v>
      </c>
      <c r="E452" s="307" t="s">
        <v>47</v>
      </c>
      <c r="F452" s="312">
        <v>2408.1866909099995</v>
      </c>
      <c r="G452" s="295">
        <f>ROUND(F452*mark_up,0)</f>
        <v>10283</v>
      </c>
      <c r="H452" s="106"/>
      <c r="I452" s="295">
        <f>ROUND(G452*1.04807692307692,0)</f>
        <v>10777</v>
      </c>
      <c r="J452" s="106"/>
      <c r="K452" s="295">
        <f>ROUND(G452*1.65384615384615,0)</f>
        <v>17007</v>
      </c>
      <c r="L452" s="106"/>
      <c r="M452" s="295">
        <f>ROUND(G452*2.56097,0)</f>
        <v>26334</v>
      </c>
      <c r="N452" s="106"/>
      <c r="O452" s="295">
        <f>ROUND(G452*4.38211,0)</f>
        <v>45061</v>
      </c>
      <c r="P452" s="83"/>
      <c r="Q452" s="295" t="s">
        <v>22</v>
      </c>
      <c r="R452" s="299"/>
      <c r="S452" s="299"/>
      <c r="T452" s="72"/>
    </row>
    <row r="453" spans="1:20" ht="7.5" customHeight="1">
      <c r="A453" s="70"/>
      <c r="B453" s="299"/>
      <c r="C453" s="299"/>
      <c r="D453" s="299"/>
      <c r="E453" s="299"/>
      <c r="F453" s="296"/>
      <c r="G453" s="296"/>
      <c r="H453" s="107"/>
      <c r="I453" s="296"/>
      <c r="J453" s="107"/>
      <c r="K453" s="296"/>
      <c r="L453" s="107"/>
      <c r="M453" s="296"/>
      <c r="N453" s="107"/>
      <c r="O453" s="296"/>
      <c r="P453" s="84"/>
      <c r="Q453" s="296"/>
      <c r="R453" s="82"/>
      <c r="S453" s="299"/>
      <c r="T453" s="72"/>
    </row>
    <row r="454" spans="1:20" ht="7.5" customHeight="1">
      <c r="A454" s="70"/>
      <c r="B454" s="299"/>
      <c r="C454" s="299"/>
      <c r="D454" s="327" t="s">
        <v>128</v>
      </c>
      <c r="E454" s="299"/>
      <c r="F454" s="312">
        <v>3389.3751820499997</v>
      </c>
      <c r="G454" s="295">
        <f>ROUND(F454*mark_up,0)</f>
        <v>14473</v>
      </c>
      <c r="H454" s="106"/>
      <c r="I454" s="295">
        <f>ROUND(G454*1.04807692307692,0)</f>
        <v>15169</v>
      </c>
      <c r="J454" s="106"/>
      <c r="K454" s="295">
        <f>ROUND(G454*1.65384615384615,0)</f>
        <v>23936</v>
      </c>
      <c r="L454" s="106"/>
      <c r="M454" s="295">
        <f>ROUND(G454*2.46362,0)</f>
        <v>35656</v>
      </c>
      <c r="N454" s="106"/>
      <c r="O454" s="295">
        <f>ROUND(G454*4.16108,0)</f>
        <v>60223</v>
      </c>
      <c r="P454" s="83"/>
      <c r="Q454" s="295" t="s">
        <v>22</v>
      </c>
      <c r="R454" s="298" t="s">
        <v>15</v>
      </c>
      <c r="S454" s="325" t="s">
        <v>61</v>
      </c>
      <c r="T454" s="72"/>
    </row>
    <row r="455" spans="1:20" ht="7.5" customHeight="1">
      <c r="A455" s="70"/>
      <c r="B455" s="299"/>
      <c r="C455" s="299"/>
      <c r="D455" s="299"/>
      <c r="E455" s="299"/>
      <c r="F455" s="296"/>
      <c r="G455" s="296"/>
      <c r="H455" s="107"/>
      <c r="I455" s="296"/>
      <c r="J455" s="107"/>
      <c r="K455" s="296"/>
      <c r="L455" s="107"/>
      <c r="M455" s="296"/>
      <c r="N455" s="107"/>
      <c r="O455" s="296"/>
      <c r="P455" s="84"/>
      <c r="Q455" s="296"/>
      <c r="R455" s="299"/>
      <c r="S455" s="299"/>
      <c r="T455" s="72"/>
    </row>
    <row r="456" spans="1:20" ht="7.5" customHeight="1">
      <c r="A456" s="70"/>
      <c r="B456" s="299"/>
      <c r="C456" s="299"/>
      <c r="D456" s="327" t="s">
        <v>129</v>
      </c>
      <c r="E456" s="299"/>
      <c r="F456" s="312">
        <v>4777.6958271899994</v>
      </c>
      <c r="G456" s="295">
        <f>ROUND(F456*mark_up,0)</f>
        <v>20401</v>
      </c>
      <c r="H456" s="106"/>
      <c r="I456" s="295">
        <f>ROUND(G456*1.04807692307692,0)</f>
        <v>21382</v>
      </c>
      <c r="J456" s="106"/>
      <c r="K456" s="295">
        <f>ROUND(G456*1.65384615384615,0)</f>
        <v>33740</v>
      </c>
      <c r="L456" s="106"/>
      <c r="M456" s="295">
        <f>ROUND(G456*2.59074,0)</f>
        <v>52854</v>
      </c>
      <c r="N456" s="106"/>
      <c r="O456" s="295">
        <f>ROUND(G456*4.42605,0)</f>
        <v>90296</v>
      </c>
      <c r="P456" s="83"/>
      <c r="Q456" s="295" t="s">
        <v>22</v>
      </c>
      <c r="R456" s="82"/>
      <c r="S456" s="299"/>
      <c r="T456" s="72"/>
    </row>
    <row r="457" spans="1:20" ht="7.5" customHeight="1">
      <c r="A457" s="70"/>
      <c r="B457" s="299"/>
      <c r="C457" s="299"/>
      <c r="D457" s="299"/>
      <c r="E457" s="299"/>
      <c r="F457" s="296"/>
      <c r="G457" s="296"/>
      <c r="H457" s="107"/>
      <c r="I457" s="296"/>
      <c r="J457" s="107"/>
      <c r="K457" s="296"/>
      <c r="L457" s="107"/>
      <c r="M457" s="296"/>
      <c r="N457" s="107"/>
      <c r="O457" s="296"/>
      <c r="P457" s="84"/>
      <c r="Q457" s="296"/>
      <c r="R457" s="82"/>
      <c r="S457" s="299"/>
      <c r="T457" s="72"/>
    </row>
    <row r="458" spans="1:20" ht="7.5" customHeight="1">
      <c r="A458" s="70"/>
      <c r="B458" s="299"/>
      <c r="C458" s="299"/>
      <c r="D458" s="81"/>
      <c r="E458" s="100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2"/>
      <c r="S458" s="299"/>
      <c r="T458" s="72"/>
    </row>
    <row r="459" spans="1:20" ht="7.5" customHeight="1">
      <c r="A459" s="70"/>
      <c r="B459" s="299"/>
      <c r="C459" s="299"/>
      <c r="D459" s="81"/>
      <c r="E459" s="100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298" t="s">
        <v>15</v>
      </c>
      <c r="S459" s="326" t="s">
        <v>31</v>
      </c>
      <c r="T459" s="72"/>
    </row>
    <row r="460" spans="1:20" ht="7.5" customHeight="1">
      <c r="A460" s="70"/>
      <c r="B460" s="299"/>
      <c r="C460" s="299"/>
      <c r="D460" s="81"/>
      <c r="E460" s="100"/>
      <c r="F460" s="81"/>
      <c r="G460" s="307" t="s">
        <v>48</v>
      </c>
      <c r="H460" s="81"/>
      <c r="I460" s="307" t="s">
        <v>49</v>
      </c>
      <c r="J460" s="81"/>
      <c r="K460" s="307" t="s">
        <v>50</v>
      </c>
      <c r="L460" s="81"/>
      <c r="M460" s="81"/>
      <c r="N460" s="81"/>
      <c r="O460" s="81"/>
      <c r="P460" s="81"/>
      <c r="Q460" s="81"/>
      <c r="R460" s="299"/>
      <c r="S460" s="299"/>
      <c r="T460" s="72"/>
    </row>
    <row r="461" spans="1:20" ht="7.5" customHeight="1">
      <c r="A461" s="70"/>
      <c r="B461" s="299"/>
      <c r="C461" s="299"/>
      <c r="D461" s="81"/>
      <c r="E461" s="100"/>
      <c r="F461" s="81"/>
      <c r="G461" s="299"/>
      <c r="H461" s="81"/>
      <c r="I461" s="299"/>
      <c r="J461" s="81"/>
      <c r="K461" s="299"/>
      <c r="L461" s="81"/>
      <c r="M461" s="81"/>
      <c r="N461" s="81"/>
      <c r="O461" s="81"/>
      <c r="P461" s="81"/>
      <c r="Q461" s="81"/>
      <c r="R461" s="85"/>
      <c r="S461" s="299"/>
      <c r="T461" s="72"/>
    </row>
    <row r="462" spans="1:20" ht="7.5" customHeight="1">
      <c r="A462" s="70"/>
      <c r="B462" s="299"/>
      <c r="C462" s="299"/>
      <c r="D462" s="108"/>
      <c r="E462" s="81"/>
      <c r="F462" s="81"/>
      <c r="G462" s="299"/>
      <c r="H462" s="81"/>
      <c r="I462" s="299"/>
      <c r="J462" s="81"/>
      <c r="K462" s="299"/>
      <c r="L462" s="81"/>
      <c r="M462" s="81"/>
      <c r="N462" s="81"/>
      <c r="O462" s="81"/>
      <c r="P462" s="81"/>
      <c r="Q462" s="81"/>
      <c r="R462" s="298" t="s">
        <v>15</v>
      </c>
      <c r="S462" s="325" t="s">
        <v>122</v>
      </c>
      <c r="T462" s="72"/>
    </row>
    <row r="463" spans="1:20" ht="7.5" customHeight="1">
      <c r="A463" s="70"/>
      <c r="B463" s="299"/>
      <c r="C463" s="299"/>
      <c r="D463" s="327" t="s">
        <v>127</v>
      </c>
      <c r="E463" s="307" t="s">
        <v>51</v>
      </c>
      <c r="F463" s="312">
        <v>2930.1770891249998</v>
      </c>
      <c r="G463" s="295">
        <f>ROUND(F463*mark_up,0)</f>
        <v>12512</v>
      </c>
      <c r="H463" s="106"/>
      <c r="I463" s="295">
        <f>ROUND(G463*1.2692,0)</f>
        <v>15880</v>
      </c>
      <c r="J463" s="106"/>
      <c r="K463" s="295">
        <f>ROUND(G463*1.44488,0)</f>
        <v>18078</v>
      </c>
      <c r="L463" s="106"/>
      <c r="M463" s="295" t="s">
        <v>22</v>
      </c>
      <c r="N463" s="106"/>
      <c r="O463" s="295" t="s">
        <v>22</v>
      </c>
      <c r="P463" s="106"/>
      <c r="Q463" s="295" t="s">
        <v>22</v>
      </c>
      <c r="R463" s="299"/>
      <c r="S463" s="299"/>
      <c r="T463" s="72"/>
    </row>
    <row r="464" spans="1:20" ht="7.5" customHeight="1">
      <c r="A464" s="70"/>
      <c r="B464" s="299"/>
      <c r="C464" s="299"/>
      <c r="D464" s="299"/>
      <c r="E464" s="299"/>
      <c r="F464" s="296"/>
      <c r="G464" s="296"/>
      <c r="H464" s="107"/>
      <c r="I464" s="296"/>
      <c r="J464" s="107"/>
      <c r="K464" s="296"/>
      <c r="L464" s="107"/>
      <c r="M464" s="296"/>
      <c r="N464" s="107"/>
      <c r="O464" s="296"/>
      <c r="P464" s="107"/>
      <c r="Q464" s="296"/>
      <c r="R464" s="82"/>
      <c r="S464" s="299"/>
      <c r="T464" s="72"/>
    </row>
    <row r="465" spans="1:20" ht="7.5" customHeight="1">
      <c r="A465" s="70"/>
      <c r="B465" s="299"/>
      <c r="C465" s="299"/>
      <c r="D465" s="327" t="s">
        <v>128</v>
      </c>
      <c r="E465" s="299"/>
      <c r="F465" s="312">
        <v>4137.871988249999</v>
      </c>
      <c r="G465" s="295">
        <f>ROUND(F465*mark_up,0)</f>
        <v>17669</v>
      </c>
      <c r="H465" s="106"/>
      <c r="I465" s="295">
        <f>ROUND(G465*1.24219,0)</f>
        <v>21948</v>
      </c>
      <c r="J465" s="106"/>
      <c r="K465" s="295">
        <f>ROUND(G465*1.39924,0)</f>
        <v>24723</v>
      </c>
      <c r="L465" s="106"/>
      <c r="M465" s="295" t="s">
        <v>22</v>
      </c>
      <c r="N465" s="106"/>
      <c r="O465" s="295" t="s">
        <v>22</v>
      </c>
      <c r="P465" s="106"/>
      <c r="Q465" s="295" t="s">
        <v>22</v>
      </c>
      <c r="R465" s="104"/>
      <c r="S465" s="104"/>
      <c r="T465" s="72"/>
    </row>
    <row r="466" spans="1:20" ht="7.5" customHeight="1">
      <c r="A466" s="70"/>
      <c r="B466" s="299"/>
      <c r="C466" s="299"/>
      <c r="D466" s="299"/>
      <c r="E466" s="299"/>
      <c r="F466" s="296"/>
      <c r="G466" s="296"/>
      <c r="H466" s="107"/>
      <c r="I466" s="296"/>
      <c r="J466" s="107"/>
      <c r="K466" s="296"/>
      <c r="L466" s="107"/>
      <c r="M466" s="296"/>
      <c r="N466" s="107"/>
      <c r="O466" s="296"/>
      <c r="P466" s="107"/>
      <c r="Q466" s="296"/>
      <c r="R466" s="104"/>
      <c r="S466" s="104"/>
      <c r="T466" s="72"/>
    </row>
    <row r="467" spans="1:20" ht="7.5" customHeight="1">
      <c r="A467" s="70"/>
      <c r="B467" s="299"/>
      <c r="C467" s="299"/>
      <c r="D467" s="327" t="s">
        <v>129</v>
      </c>
      <c r="E467" s="299"/>
      <c r="F467" s="312">
        <v>5842.737883124998</v>
      </c>
      <c r="G467" s="295">
        <f>ROUND(F467*mark_up,0)</f>
        <v>24948</v>
      </c>
      <c r="H467" s="106"/>
      <c r="I467" s="295">
        <f>ROUND(G467*1.25259,0)</f>
        <v>31250</v>
      </c>
      <c r="J467" s="106"/>
      <c r="K467" s="295">
        <f>ROUND(G467*1.41675,0)</f>
        <v>35345</v>
      </c>
      <c r="L467" s="106"/>
      <c r="M467" s="295" t="s">
        <v>22</v>
      </c>
      <c r="N467" s="106"/>
      <c r="O467" s="295" t="s">
        <v>22</v>
      </c>
      <c r="P467" s="106"/>
      <c r="Q467" s="295" t="s">
        <v>22</v>
      </c>
      <c r="R467" s="85"/>
      <c r="S467" s="146"/>
      <c r="T467" s="72"/>
    </row>
    <row r="468" spans="1:20" ht="7.5" customHeight="1">
      <c r="A468" s="70"/>
      <c r="B468" s="299"/>
      <c r="C468" s="334" t="s">
        <v>123</v>
      </c>
      <c r="D468" s="299"/>
      <c r="E468" s="299"/>
      <c r="F468" s="296"/>
      <c r="G468" s="296"/>
      <c r="H468" s="107"/>
      <c r="I468" s="296"/>
      <c r="J468" s="107"/>
      <c r="K468" s="296"/>
      <c r="L468" s="107"/>
      <c r="M468" s="296"/>
      <c r="N468" s="107"/>
      <c r="O468" s="296"/>
      <c r="P468" s="107"/>
      <c r="Q468" s="296"/>
      <c r="R468" s="148"/>
      <c r="S468" s="149"/>
      <c r="T468" s="72"/>
    </row>
    <row r="469" spans="1:20" ht="7.5" customHeight="1">
      <c r="A469" s="70"/>
      <c r="B469" s="299"/>
      <c r="C469" s="299"/>
      <c r="D469" s="81"/>
      <c r="E469" s="100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2"/>
      <c r="S469" s="108"/>
      <c r="T469" s="72"/>
    </row>
    <row r="470" spans="1:20" ht="7.5" customHeight="1">
      <c r="A470" s="70"/>
      <c r="B470" s="299"/>
      <c r="C470" s="296"/>
      <c r="D470" s="111"/>
      <c r="E470" s="103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82"/>
      <c r="S470" s="108"/>
      <c r="T470" s="72"/>
    </row>
    <row r="471" spans="1:20" ht="7.5" customHeight="1">
      <c r="A471" s="72"/>
      <c r="B471" s="299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2"/>
      <c r="S471" s="108"/>
      <c r="T471" s="147"/>
    </row>
    <row r="472" spans="1:20" ht="7.5" customHeight="1">
      <c r="A472" s="72"/>
      <c r="B472" s="299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2"/>
      <c r="S472" s="108"/>
      <c r="T472" s="147"/>
    </row>
    <row r="473" spans="1:20" ht="7.5" customHeight="1">
      <c r="A473" s="72"/>
      <c r="B473" s="299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2"/>
      <c r="S473" s="108"/>
      <c r="T473" s="147"/>
    </row>
    <row r="474" spans="1:20" ht="7.5" customHeight="1">
      <c r="A474" s="72"/>
      <c r="B474" s="299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2"/>
      <c r="S474" s="108"/>
      <c r="T474" s="147"/>
    </row>
    <row r="475" spans="1:20" ht="7.5" customHeight="1">
      <c r="A475" s="72"/>
      <c r="B475" s="299"/>
      <c r="C475" s="81"/>
      <c r="D475" s="81"/>
      <c r="E475" s="81"/>
      <c r="F475" s="81"/>
      <c r="G475" s="81"/>
      <c r="H475" s="81"/>
      <c r="I475" s="81"/>
      <c r="J475" s="81"/>
      <c r="K475" s="114"/>
      <c r="L475" s="81"/>
      <c r="M475" s="81"/>
      <c r="N475" s="81"/>
      <c r="O475" s="81"/>
      <c r="P475" s="81"/>
      <c r="Q475" s="81"/>
      <c r="R475" s="82"/>
      <c r="S475" s="108"/>
      <c r="T475" s="147"/>
    </row>
    <row r="476" spans="1:20" ht="7.5" customHeight="1">
      <c r="A476" s="72"/>
      <c r="B476" s="299"/>
      <c r="C476" s="81"/>
      <c r="D476" s="81"/>
      <c r="E476" s="309"/>
      <c r="F476" s="81"/>
      <c r="G476" s="81"/>
      <c r="H476" s="81"/>
      <c r="I476" s="81"/>
      <c r="J476" s="81"/>
      <c r="K476" s="114"/>
      <c r="L476" s="81"/>
      <c r="M476" s="81"/>
      <c r="N476" s="81"/>
      <c r="O476" s="81"/>
      <c r="P476" s="81"/>
      <c r="Q476" s="81"/>
      <c r="R476" s="82"/>
      <c r="S476" s="108"/>
      <c r="T476" s="147"/>
    </row>
    <row r="477" spans="1:20" ht="7.5" customHeight="1">
      <c r="A477" s="72"/>
      <c r="B477" s="299"/>
      <c r="C477" s="81"/>
      <c r="D477" s="81"/>
      <c r="E477" s="299"/>
      <c r="F477" s="81"/>
      <c r="G477" s="81"/>
      <c r="H477" s="81"/>
      <c r="I477" s="81"/>
      <c r="J477" s="81"/>
      <c r="K477" s="114"/>
      <c r="L477" s="81"/>
      <c r="M477" s="81"/>
      <c r="N477" s="81"/>
      <c r="O477" s="81"/>
      <c r="P477" s="81"/>
      <c r="Q477" s="81"/>
      <c r="R477" s="82"/>
      <c r="S477" s="108"/>
      <c r="T477" s="147"/>
    </row>
    <row r="478" spans="1:20" ht="7.5" customHeight="1">
      <c r="A478" s="72"/>
      <c r="B478" s="299"/>
      <c r="C478" s="81"/>
      <c r="D478" s="81"/>
      <c r="E478" s="299"/>
      <c r="F478" s="81"/>
      <c r="G478" s="81"/>
      <c r="H478" s="81"/>
      <c r="I478" s="81"/>
      <c r="J478" s="81"/>
      <c r="K478" s="114"/>
      <c r="L478" s="81"/>
      <c r="M478" s="81"/>
      <c r="N478" s="81"/>
      <c r="O478" s="81"/>
      <c r="P478" s="81"/>
      <c r="Q478" s="81"/>
      <c r="R478" s="82"/>
      <c r="S478" s="108"/>
      <c r="T478" s="72"/>
    </row>
    <row r="479" spans="1:20" ht="7.5" customHeight="1">
      <c r="A479" s="72"/>
      <c r="B479" s="299"/>
      <c r="C479" s="81"/>
      <c r="D479" s="81"/>
      <c r="E479" s="81"/>
      <c r="F479" s="81"/>
      <c r="G479" s="81"/>
      <c r="H479" s="81"/>
      <c r="I479" s="81"/>
      <c r="J479" s="81"/>
      <c r="K479" s="114"/>
      <c r="L479" s="81"/>
      <c r="M479" s="81"/>
      <c r="N479" s="81"/>
      <c r="O479" s="81"/>
      <c r="P479" s="81"/>
      <c r="Q479" s="81"/>
      <c r="R479" s="82"/>
      <c r="S479" s="108"/>
      <c r="T479" s="147"/>
    </row>
    <row r="480" spans="1:20" ht="7.5" customHeight="1">
      <c r="A480" s="72"/>
      <c r="B480" s="299"/>
      <c r="C480" s="114"/>
      <c r="D480" s="81"/>
      <c r="E480" s="309"/>
      <c r="F480" s="81"/>
      <c r="G480" s="81"/>
      <c r="H480" s="81"/>
      <c r="I480" s="81"/>
      <c r="J480" s="81"/>
      <c r="K480" s="114"/>
      <c r="L480" s="81"/>
      <c r="M480" s="81"/>
      <c r="N480" s="81"/>
      <c r="O480" s="81"/>
      <c r="P480" s="81"/>
      <c r="Q480" s="81"/>
      <c r="R480" s="82"/>
      <c r="S480" s="108"/>
      <c r="T480" s="147"/>
    </row>
    <row r="481" spans="1:20" ht="7.5" customHeight="1">
      <c r="A481" s="72"/>
      <c r="B481" s="299"/>
      <c r="C481" s="114"/>
      <c r="D481" s="81"/>
      <c r="E481" s="299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2"/>
      <c r="S481" s="108"/>
      <c r="T481" s="72"/>
    </row>
    <row r="482" spans="1:20" ht="7.5" customHeight="1">
      <c r="A482" s="72"/>
      <c r="B482" s="299"/>
      <c r="C482" s="114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2"/>
      <c r="S482" s="108"/>
      <c r="T482" s="147"/>
    </row>
    <row r="483" spans="1:20" ht="7.5" customHeight="1">
      <c r="A483" s="72"/>
      <c r="B483" s="299"/>
      <c r="C483" s="114"/>
      <c r="D483" s="81"/>
      <c r="E483" s="309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2"/>
      <c r="S483" s="108"/>
      <c r="T483" s="147"/>
    </row>
    <row r="484" spans="1:20" ht="7.5" customHeight="1">
      <c r="A484" s="72"/>
      <c r="B484" s="299"/>
      <c r="C484" s="114"/>
      <c r="D484" s="81"/>
      <c r="E484" s="299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2"/>
      <c r="S484" s="108"/>
      <c r="T484" s="72"/>
    </row>
    <row r="485" spans="1:20" ht="7.5" customHeight="1">
      <c r="A485" s="70"/>
      <c r="B485" s="311"/>
      <c r="C485" s="114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2"/>
      <c r="S485" s="108"/>
      <c r="T485" s="72"/>
    </row>
    <row r="486" spans="1:20" ht="11.25" customHeight="1">
      <c r="A486" s="70"/>
      <c r="B486" s="300"/>
      <c r="C486" s="301"/>
      <c r="D486" s="301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2" t="s">
        <v>53</v>
      </c>
      <c r="T486" s="72"/>
    </row>
    <row r="487" spans="1:20" ht="11.25" customHeight="1">
      <c r="A487" s="70"/>
      <c r="B487" s="111"/>
      <c r="C487" s="116"/>
      <c r="D487" s="117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7"/>
      <c r="S487" s="296"/>
      <c r="T487" s="72"/>
    </row>
    <row r="488" spans="1:20" ht="11.25" customHeight="1">
      <c r="A488" s="70"/>
      <c r="B488" s="322" t="s">
        <v>133</v>
      </c>
      <c r="C488" s="323"/>
      <c r="D488" s="323"/>
      <c r="E488" s="323"/>
      <c r="F488" s="323"/>
      <c r="G488" s="323"/>
      <c r="H488" s="323"/>
      <c r="I488" s="323"/>
      <c r="J488" s="323"/>
      <c r="K488" s="323"/>
      <c r="L488" s="323"/>
      <c r="M488" s="323"/>
      <c r="N488" s="323"/>
      <c r="O488" s="323"/>
      <c r="P488" s="323"/>
      <c r="Q488" s="323"/>
      <c r="R488" s="323"/>
      <c r="S488" s="323"/>
      <c r="T488" s="72"/>
    </row>
    <row r="489" spans="1:20" ht="61.5" customHeight="1">
      <c r="A489" s="70"/>
      <c r="B489" s="331"/>
      <c r="C489" s="31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310" t="s">
        <v>5</v>
      </c>
      <c r="P489" s="311"/>
      <c r="Q489" s="311"/>
      <c r="R489" s="311"/>
      <c r="S489" s="311"/>
      <c r="T489" s="72"/>
    </row>
    <row r="490" spans="1:20" ht="34.5" customHeight="1">
      <c r="A490" s="70"/>
      <c r="B490" s="74" t="s">
        <v>6</v>
      </c>
      <c r="C490" s="74" t="s">
        <v>7</v>
      </c>
      <c r="D490" s="74" t="s">
        <v>8</v>
      </c>
      <c r="E490" s="74" t="s">
        <v>9</v>
      </c>
      <c r="F490" s="75" t="s">
        <v>10</v>
      </c>
      <c r="G490" s="74" t="s">
        <v>11</v>
      </c>
      <c r="H490" s="75" t="s">
        <v>10</v>
      </c>
      <c r="I490" s="74" t="s">
        <v>11</v>
      </c>
      <c r="J490" s="75" t="s">
        <v>10</v>
      </c>
      <c r="K490" s="74" t="s">
        <v>11</v>
      </c>
      <c r="L490" s="75" t="s">
        <v>10</v>
      </c>
      <c r="M490" s="74" t="s">
        <v>11</v>
      </c>
      <c r="N490" s="75" t="s">
        <v>10</v>
      </c>
      <c r="O490" s="74" t="s">
        <v>11</v>
      </c>
      <c r="P490" s="75" t="s">
        <v>10</v>
      </c>
      <c r="Q490" s="74" t="s">
        <v>11</v>
      </c>
      <c r="R490" s="328" t="s">
        <v>12</v>
      </c>
      <c r="S490" s="329"/>
      <c r="T490" s="76"/>
    </row>
    <row r="491" spans="1:20" ht="7.5" customHeight="1">
      <c r="A491" s="70"/>
      <c r="B491" s="333" t="s">
        <v>13</v>
      </c>
      <c r="C491" s="335" t="s">
        <v>134</v>
      </c>
      <c r="D491" s="144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330" t="s">
        <v>15</v>
      </c>
      <c r="S491" s="308" t="s">
        <v>55</v>
      </c>
      <c r="T491" s="72"/>
    </row>
    <row r="492" spans="1:20" ht="7.5" customHeight="1">
      <c r="A492" s="70"/>
      <c r="B492" s="299"/>
      <c r="C492" s="299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299"/>
      <c r="S492" s="299"/>
      <c r="T492" s="72"/>
    </row>
    <row r="493" spans="1:20" ht="7.5" customHeight="1">
      <c r="A493" s="70"/>
      <c r="B493" s="299"/>
      <c r="C493" s="299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0"/>
      <c r="S493" s="299"/>
      <c r="T493" s="72"/>
    </row>
    <row r="494" spans="1:20" ht="7.5" customHeight="1">
      <c r="A494" s="70"/>
      <c r="B494" s="299"/>
      <c r="C494" s="299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2"/>
      <c r="S494" s="299"/>
      <c r="T494" s="72"/>
    </row>
    <row r="495" spans="1:20" ht="7.5" customHeight="1">
      <c r="A495" s="72"/>
      <c r="B495" s="299"/>
      <c r="C495" s="299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0"/>
      <c r="S495" s="299"/>
      <c r="T495" s="72"/>
    </row>
    <row r="496" spans="1:20" ht="7.5" customHeight="1">
      <c r="A496" s="72"/>
      <c r="B496" s="299"/>
      <c r="C496" s="299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5"/>
      <c r="S496" s="299"/>
      <c r="T496" s="72"/>
    </row>
    <row r="497" spans="1:20" ht="7.5" customHeight="1">
      <c r="A497" s="72"/>
      <c r="B497" s="299"/>
      <c r="C497" s="299"/>
      <c r="D497" s="108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2"/>
      <c r="S497" s="299"/>
      <c r="T497" s="72"/>
    </row>
    <row r="498" spans="1:20" ht="7.5" customHeight="1">
      <c r="A498" s="72"/>
      <c r="B498" s="299"/>
      <c r="C498" s="299"/>
      <c r="D498" s="129"/>
      <c r="E498" s="81"/>
      <c r="F498" s="81"/>
      <c r="G498" s="81"/>
      <c r="H498" s="81"/>
      <c r="I498" s="307" t="s">
        <v>35</v>
      </c>
      <c r="J498" s="81"/>
      <c r="K498" s="307" t="s">
        <v>36</v>
      </c>
      <c r="L498" s="81"/>
      <c r="M498" s="307" t="s">
        <v>19</v>
      </c>
      <c r="N498" s="81"/>
      <c r="O498" s="307" t="s">
        <v>20</v>
      </c>
      <c r="P498" s="81"/>
      <c r="Q498" s="81"/>
      <c r="R498" s="82"/>
      <c r="S498" s="299"/>
      <c r="T498" s="72"/>
    </row>
    <row r="499" spans="1:20" ht="7.5" customHeight="1">
      <c r="A499" s="72"/>
      <c r="B499" s="299"/>
      <c r="C499" s="299"/>
      <c r="D499" s="130"/>
      <c r="E499" s="81"/>
      <c r="F499" s="99"/>
      <c r="G499" s="100"/>
      <c r="H499" s="78"/>
      <c r="I499" s="299"/>
      <c r="J499" s="99"/>
      <c r="K499" s="299"/>
      <c r="L499" s="79"/>
      <c r="M499" s="299"/>
      <c r="N499" s="99"/>
      <c r="O499" s="299"/>
      <c r="P499" s="99"/>
      <c r="Q499" s="99"/>
      <c r="R499" s="82"/>
      <c r="S499" s="299"/>
      <c r="T499" s="72"/>
    </row>
    <row r="500" spans="1:20" ht="7.5" customHeight="1">
      <c r="A500" s="72"/>
      <c r="B500" s="299"/>
      <c r="C500" s="299"/>
      <c r="D500" s="129"/>
      <c r="E500" s="99"/>
      <c r="F500" s="99"/>
      <c r="G500" s="100"/>
      <c r="H500" s="101"/>
      <c r="I500" s="299"/>
      <c r="J500" s="99"/>
      <c r="K500" s="299"/>
      <c r="L500" s="79"/>
      <c r="M500" s="299"/>
      <c r="N500" s="99"/>
      <c r="O500" s="299"/>
      <c r="P500" s="99"/>
      <c r="Q500" s="99"/>
      <c r="R500" s="82"/>
      <c r="S500" s="299"/>
      <c r="T500" s="72"/>
    </row>
    <row r="501" spans="1:20" ht="7.5" customHeight="1">
      <c r="A501" s="72"/>
      <c r="B501" s="299"/>
      <c r="C501" s="299"/>
      <c r="D501" s="129"/>
      <c r="E501" s="81"/>
      <c r="F501" s="99"/>
      <c r="G501" s="103"/>
      <c r="H501" s="102"/>
      <c r="I501" s="296"/>
      <c r="J501" s="99"/>
      <c r="K501" s="296"/>
      <c r="L501" s="81"/>
      <c r="M501" s="296"/>
      <c r="N501" s="99"/>
      <c r="O501" s="296"/>
      <c r="P501" s="99"/>
      <c r="Q501" s="99"/>
      <c r="R501" s="298" t="s">
        <v>15</v>
      </c>
      <c r="S501" s="325" t="s">
        <v>135</v>
      </c>
      <c r="T501" s="72"/>
    </row>
    <row r="502" spans="1:20" ht="7.5" customHeight="1">
      <c r="A502" s="72"/>
      <c r="B502" s="299"/>
      <c r="C502" s="299"/>
      <c r="D502" s="327" t="s">
        <v>136</v>
      </c>
      <c r="E502" s="307" t="s">
        <v>22</v>
      </c>
      <c r="F502" s="295"/>
      <c r="G502" s="295" t="s">
        <v>22</v>
      </c>
      <c r="H502" s="295"/>
      <c r="I502" s="295">
        <f>ROUND(K502*1.1,0)</f>
        <v>26653</v>
      </c>
      <c r="J502" s="312">
        <v>5674.5823387499995</v>
      </c>
      <c r="K502" s="295">
        <f>ROUND(J502*mark_up,0)</f>
        <v>24230</v>
      </c>
      <c r="L502" s="295"/>
      <c r="M502" s="295">
        <f>ROUND((I502-K502)+O502,0)</f>
        <v>49672</v>
      </c>
      <c r="N502" s="295"/>
      <c r="O502" s="295">
        <f>ROUND(K502*1.95,0)</f>
        <v>47249</v>
      </c>
      <c r="P502" s="83"/>
      <c r="Q502" s="295" t="s">
        <v>22</v>
      </c>
      <c r="R502" s="299"/>
      <c r="S502" s="299"/>
      <c r="T502" s="72"/>
    </row>
    <row r="503" spans="1:20" ht="7.5" customHeight="1">
      <c r="A503" s="72"/>
      <c r="B503" s="299"/>
      <c r="C503" s="299"/>
      <c r="D503" s="299"/>
      <c r="E503" s="299"/>
      <c r="F503" s="296"/>
      <c r="G503" s="296"/>
      <c r="H503" s="296"/>
      <c r="I503" s="296"/>
      <c r="J503" s="296"/>
      <c r="K503" s="296"/>
      <c r="L503" s="296"/>
      <c r="M503" s="296"/>
      <c r="N503" s="296"/>
      <c r="O503" s="296"/>
      <c r="P503" s="84"/>
      <c r="Q503" s="296"/>
      <c r="R503" s="298" t="s">
        <v>15</v>
      </c>
      <c r="S503" s="325" t="s">
        <v>58</v>
      </c>
      <c r="T503" s="72"/>
    </row>
    <row r="504" spans="1:20" ht="7.5" customHeight="1">
      <c r="A504" s="72"/>
      <c r="B504" s="299"/>
      <c r="C504" s="299"/>
      <c r="D504" s="129"/>
      <c r="E504" s="99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299"/>
      <c r="S504" s="299"/>
      <c r="T504" s="72"/>
    </row>
    <row r="505" spans="1:20" ht="7.5" customHeight="1">
      <c r="A505" s="72"/>
      <c r="B505" s="299"/>
      <c r="C505" s="299"/>
      <c r="D505" s="129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2"/>
      <c r="S505" s="299"/>
      <c r="T505" s="72"/>
    </row>
    <row r="506" spans="1:20" ht="7.5" customHeight="1">
      <c r="A506" s="72"/>
      <c r="B506" s="299"/>
      <c r="C506" s="299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298" t="s">
        <v>15</v>
      </c>
      <c r="S506" s="325" t="s">
        <v>137</v>
      </c>
      <c r="T506" s="72"/>
    </row>
    <row r="507" spans="1:20" ht="7.5" customHeight="1">
      <c r="A507" s="72"/>
      <c r="B507" s="299"/>
      <c r="C507" s="299"/>
      <c r="D507" s="81"/>
      <c r="E507" s="99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299"/>
      <c r="S507" s="299"/>
      <c r="T507" s="72"/>
    </row>
    <row r="508" spans="1:20" ht="7.5" customHeight="1">
      <c r="A508" s="72"/>
      <c r="B508" s="299"/>
      <c r="C508" s="299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2"/>
      <c r="S508" s="299"/>
      <c r="T508" s="72"/>
    </row>
    <row r="509" spans="1:20" ht="7.5" customHeight="1">
      <c r="A509" s="72"/>
      <c r="B509" s="299"/>
      <c r="C509" s="299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298" t="s">
        <v>15</v>
      </c>
      <c r="S509" s="325" t="s">
        <v>24</v>
      </c>
      <c r="T509" s="72"/>
    </row>
    <row r="510" spans="1:20" ht="7.5" customHeight="1">
      <c r="A510" s="72"/>
      <c r="B510" s="299"/>
      <c r="C510" s="334" t="s">
        <v>138</v>
      </c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299"/>
      <c r="S510" s="299"/>
      <c r="T510" s="72"/>
    </row>
    <row r="511" spans="1:20" ht="7.5" customHeight="1">
      <c r="A511" s="72"/>
      <c r="B511" s="299"/>
      <c r="C511" s="299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2"/>
      <c r="S511" s="299"/>
      <c r="T511" s="72"/>
    </row>
    <row r="512" spans="1:20" ht="7.5" customHeight="1">
      <c r="A512" s="72"/>
      <c r="B512" s="299"/>
      <c r="C512" s="296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298" t="s">
        <v>15</v>
      </c>
      <c r="S512" s="325" t="s">
        <v>61</v>
      </c>
      <c r="T512" s="72"/>
    </row>
    <row r="513" spans="1:20" ht="7.5" customHeight="1">
      <c r="A513" s="72"/>
      <c r="B513" s="299"/>
      <c r="C513" s="337" t="s">
        <v>139</v>
      </c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299"/>
      <c r="S513" s="299"/>
      <c r="T513" s="72"/>
    </row>
    <row r="514" spans="1:20" ht="7.5" customHeight="1">
      <c r="A514" s="72"/>
      <c r="B514" s="299"/>
      <c r="C514" s="299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2"/>
      <c r="S514" s="299"/>
      <c r="T514" s="72"/>
    </row>
    <row r="515" spans="1:20" ht="7.5" customHeight="1">
      <c r="A515" s="72"/>
      <c r="B515" s="299"/>
      <c r="C515" s="299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2"/>
      <c r="S515" s="299"/>
      <c r="T515" s="72"/>
    </row>
    <row r="516" spans="1:20" ht="7.5" customHeight="1">
      <c r="A516" s="72"/>
      <c r="B516" s="299"/>
      <c r="C516" s="299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2"/>
      <c r="S516" s="299"/>
      <c r="T516" s="72"/>
    </row>
    <row r="517" spans="1:20" ht="7.5" customHeight="1">
      <c r="A517" s="72"/>
      <c r="B517" s="299"/>
      <c r="C517" s="299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298" t="s">
        <v>15</v>
      </c>
      <c r="S517" s="326" t="s">
        <v>121</v>
      </c>
      <c r="T517" s="72"/>
    </row>
    <row r="518" spans="1:20" ht="7.5" customHeight="1">
      <c r="A518" s="72"/>
      <c r="B518" s="299"/>
      <c r="C518" s="299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299"/>
      <c r="S518" s="299"/>
      <c r="T518" s="72"/>
    </row>
    <row r="519" spans="1:20" ht="7.5" customHeight="1">
      <c r="A519" s="72"/>
      <c r="B519" s="299"/>
      <c r="C519" s="299"/>
      <c r="D519" s="81"/>
      <c r="E519" s="81"/>
      <c r="F519" s="99"/>
      <c r="G519" s="307" t="s">
        <v>42</v>
      </c>
      <c r="H519" s="78"/>
      <c r="I519" s="307" t="s">
        <v>43</v>
      </c>
      <c r="J519" s="99"/>
      <c r="K519" s="307" t="s">
        <v>44</v>
      </c>
      <c r="L519" s="99"/>
      <c r="M519" s="307" t="s">
        <v>45</v>
      </c>
      <c r="N519" s="81"/>
      <c r="O519" s="307" t="s">
        <v>46</v>
      </c>
      <c r="P519" s="81"/>
      <c r="Q519" s="81"/>
      <c r="R519" s="82"/>
      <c r="S519" s="299"/>
      <c r="T519" s="72"/>
    </row>
    <row r="520" spans="1:20" ht="7.5" customHeight="1">
      <c r="A520" s="72"/>
      <c r="B520" s="299"/>
      <c r="C520" s="299"/>
      <c r="D520" s="81"/>
      <c r="E520" s="307" t="s">
        <v>47</v>
      </c>
      <c r="F520" s="99"/>
      <c r="G520" s="299"/>
      <c r="H520" s="101"/>
      <c r="I520" s="299"/>
      <c r="J520" s="99"/>
      <c r="K520" s="299"/>
      <c r="L520" s="99"/>
      <c r="M520" s="299"/>
      <c r="N520" s="81"/>
      <c r="O520" s="299"/>
      <c r="P520" s="81"/>
      <c r="Q520" s="81"/>
      <c r="R520" s="85"/>
      <c r="S520" s="299"/>
      <c r="T520" s="72"/>
    </row>
    <row r="521" spans="1:20" ht="7.5" customHeight="1">
      <c r="A521" s="72"/>
      <c r="B521" s="299"/>
      <c r="C521" s="299"/>
      <c r="D521" s="327" t="s">
        <v>136</v>
      </c>
      <c r="E521" s="299"/>
      <c r="F521" s="99"/>
      <c r="G521" s="296"/>
      <c r="H521" s="102"/>
      <c r="I521" s="296"/>
      <c r="J521" s="99"/>
      <c r="K521" s="296"/>
      <c r="L521" s="99"/>
      <c r="M521" s="296"/>
      <c r="N521" s="81"/>
      <c r="O521" s="296"/>
      <c r="P521" s="81"/>
      <c r="Q521" s="81"/>
      <c r="R521" s="82"/>
      <c r="S521" s="299"/>
      <c r="T521" s="72"/>
    </row>
    <row r="522" spans="1:20" ht="7.5" customHeight="1">
      <c r="A522" s="72"/>
      <c r="B522" s="299"/>
      <c r="C522" s="299"/>
      <c r="D522" s="299"/>
      <c r="E522" s="299"/>
      <c r="F522" s="312">
        <v>4758.3570498749987</v>
      </c>
      <c r="G522" s="295">
        <f>ROUND(F522*mark_up,0)</f>
        <v>20318</v>
      </c>
      <c r="H522" s="83"/>
      <c r="I522" s="295">
        <f>ROUND(G522*1.04237,0)</f>
        <v>21179</v>
      </c>
      <c r="J522" s="83"/>
      <c r="K522" s="295">
        <f>ROUND(G522*1.627118,0)</f>
        <v>33060</v>
      </c>
      <c r="L522" s="83"/>
      <c r="M522" s="295">
        <f>ROUND(G522*2.22994,0)</f>
        <v>45308</v>
      </c>
      <c r="N522" s="83"/>
      <c r="O522" s="295">
        <f>ROUND(G522*3.66968,0)</f>
        <v>74561</v>
      </c>
      <c r="P522" s="106"/>
      <c r="Q522" s="295" t="s">
        <v>22</v>
      </c>
      <c r="R522" s="298" t="s">
        <v>15</v>
      </c>
      <c r="S522" s="326" t="s">
        <v>31</v>
      </c>
      <c r="T522" s="72"/>
    </row>
    <row r="523" spans="1:20" ht="7.5" customHeight="1">
      <c r="A523" s="72"/>
      <c r="B523" s="299"/>
      <c r="C523" s="299"/>
      <c r="D523" s="299"/>
      <c r="E523" s="299"/>
      <c r="F523" s="296"/>
      <c r="G523" s="296"/>
      <c r="H523" s="84"/>
      <c r="I523" s="296"/>
      <c r="J523" s="84"/>
      <c r="K523" s="296"/>
      <c r="L523" s="84"/>
      <c r="M523" s="296"/>
      <c r="N523" s="84"/>
      <c r="O523" s="296"/>
      <c r="P523" s="107"/>
      <c r="Q523" s="296"/>
      <c r="R523" s="299"/>
      <c r="S523" s="299"/>
      <c r="T523" s="72"/>
    </row>
    <row r="524" spans="1:20" ht="7.5" customHeight="1">
      <c r="A524" s="70"/>
      <c r="B524" s="299"/>
      <c r="C524" s="299"/>
      <c r="D524" s="299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5"/>
      <c r="S524" s="299"/>
      <c r="T524" s="72"/>
    </row>
    <row r="525" spans="1:20" ht="7.5" customHeight="1">
      <c r="A525" s="70"/>
      <c r="B525" s="299"/>
      <c r="C525" s="299"/>
      <c r="D525" s="299"/>
      <c r="E525" s="81"/>
      <c r="F525" s="81"/>
      <c r="G525" s="307" t="s">
        <v>48</v>
      </c>
      <c r="H525" s="81"/>
      <c r="I525" s="307" t="s">
        <v>49</v>
      </c>
      <c r="J525" s="81"/>
      <c r="K525" s="307" t="s">
        <v>50</v>
      </c>
      <c r="L525" s="81"/>
      <c r="M525" s="81"/>
      <c r="N525" s="81"/>
      <c r="O525" s="81"/>
      <c r="P525" s="81"/>
      <c r="Q525" s="81"/>
      <c r="R525" s="298" t="s">
        <v>15</v>
      </c>
      <c r="S525" s="325" t="s">
        <v>122</v>
      </c>
      <c r="T525" s="72"/>
    </row>
    <row r="526" spans="1:20" ht="7.5" customHeight="1">
      <c r="A526" s="70"/>
      <c r="B526" s="299"/>
      <c r="C526" s="299"/>
      <c r="D526" s="299"/>
      <c r="E526" s="307" t="s">
        <v>51</v>
      </c>
      <c r="F526" s="81"/>
      <c r="G526" s="299"/>
      <c r="H526" s="81"/>
      <c r="I526" s="299"/>
      <c r="J526" s="81"/>
      <c r="K526" s="299"/>
      <c r="L526" s="81"/>
      <c r="M526" s="81"/>
      <c r="N526" s="81"/>
      <c r="O526" s="81"/>
      <c r="P526" s="81"/>
      <c r="Q526" s="81"/>
      <c r="R526" s="299"/>
      <c r="S526" s="299"/>
      <c r="T526" s="72"/>
    </row>
    <row r="527" spans="1:20" ht="7.5" customHeight="1">
      <c r="A527" s="70"/>
      <c r="B527" s="299"/>
      <c r="C527" s="299"/>
      <c r="D527" s="299"/>
      <c r="E527" s="299"/>
      <c r="F527" s="81"/>
      <c r="G527" s="299"/>
      <c r="H527" s="81"/>
      <c r="I527" s="299"/>
      <c r="J527" s="81"/>
      <c r="K527" s="299"/>
      <c r="L527" s="81"/>
      <c r="M527" s="81"/>
      <c r="N527" s="81"/>
      <c r="O527" s="81"/>
      <c r="P527" s="81"/>
      <c r="Q527" s="81"/>
      <c r="R527" s="82"/>
      <c r="S527" s="299"/>
      <c r="T527" s="72"/>
    </row>
    <row r="528" spans="1:20" ht="7.5" customHeight="1">
      <c r="A528" s="70"/>
      <c r="B528" s="299"/>
      <c r="C528" s="299"/>
      <c r="D528" s="299"/>
      <c r="E528" s="299"/>
      <c r="F528" s="312">
        <v>5766.4006042499987</v>
      </c>
      <c r="G528" s="295">
        <f>ROUND(F528*mark_up,0)</f>
        <v>24623</v>
      </c>
      <c r="H528" s="98"/>
      <c r="I528" s="295">
        <f>ROUND(G528*1.21995,0)</f>
        <v>30039</v>
      </c>
      <c r="J528" s="98"/>
      <c r="K528" s="295">
        <f>ROUND(G528*1.36252,0)</f>
        <v>33549</v>
      </c>
      <c r="L528" s="98"/>
      <c r="M528" s="295" t="s">
        <v>22</v>
      </c>
      <c r="N528" s="98"/>
      <c r="O528" s="295" t="s">
        <v>22</v>
      </c>
      <c r="P528" s="98"/>
      <c r="Q528" s="295" t="s">
        <v>22</v>
      </c>
      <c r="R528" s="104"/>
      <c r="S528" s="104"/>
      <c r="T528" s="72"/>
    </row>
    <row r="529" spans="1:20" ht="7.5" customHeight="1">
      <c r="A529" s="70"/>
      <c r="B529" s="299"/>
      <c r="C529" s="299"/>
      <c r="D529" s="129"/>
      <c r="E529" s="299"/>
      <c r="F529" s="296"/>
      <c r="G529" s="296"/>
      <c r="H529" s="111"/>
      <c r="I529" s="296"/>
      <c r="J529" s="111"/>
      <c r="K529" s="296"/>
      <c r="L529" s="111"/>
      <c r="M529" s="296"/>
      <c r="N529" s="111"/>
      <c r="O529" s="296"/>
      <c r="P529" s="111"/>
      <c r="Q529" s="296"/>
      <c r="R529" s="148"/>
      <c r="S529" s="149"/>
      <c r="T529" s="72"/>
    </row>
    <row r="530" spans="1:20" ht="7.5" customHeight="1">
      <c r="A530" s="70"/>
      <c r="B530" s="299"/>
      <c r="C530" s="299"/>
      <c r="D530" s="129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148"/>
      <c r="S530" s="149"/>
      <c r="T530" s="72"/>
    </row>
    <row r="531" spans="1:20" ht="7.5" customHeight="1">
      <c r="A531" s="70"/>
      <c r="B531" s="299"/>
      <c r="C531" s="299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148"/>
      <c r="S531" s="149"/>
      <c r="T531" s="72"/>
    </row>
    <row r="532" spans="1:20" ht="7.5" customHeight="1">
      <c r="A532" s="70"/>
      <c r="B532" s="299"/>
      <c r="C532" s="299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148"/>
      <c r="S532" s="149"/>
      <c r="T532" s="72"/>
    </row>
    <row r="533" spans="1:20" ht="7.5" customHeight="1">
      <c r="A533" s="70"/>
      <c r="B533" s="299"/>
      <c r="C533" s="299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148"/>
      <c r="S533" s="149"/>
      <c r="T533" s="72"/>
    </row>
    <row r="534" spans="1:20" ht="7.5" customHeight="1">
      <c r="A534" s="70"/>
      <c r="B534" s="299"/>
      <c r="C534" s="334" t="s">
        <v>140</v>
      </c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150"/>
      <c r="S534" s="151"/>
      <c r="T534" s="72"/>
    </row>
    <row r="535" spans="1:20" ht="7.5" customHeight="1">
      <c r="A535" s="70"/>
      <c r="B535" s="299"/>
      <c r="C535" s="299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150"/>
      <c r="S535" s="151"/>
      <c r="T535" s="72"/>
    </row>
    <row r="536" spans="1:20" ht="7.5" customHeight="1">
      <c r="A536" s="72"/>
      <c r="B536" s="299"/>
      <c r="C536" s="296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82"/>
      <c r="S536" s="108"/>
      <c r="T536" s="147"/>
    </row>
    <row r="537" spans="1:20" ht="7.5" customHeight="1">
      <c r="A537" s="72"/>
      <c r="B537" s="299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2"/>
      <c r="S537" s="108"/>
      <c r="T537" s="147"/>
    </row>
    <row r="538" spans="1:20" ht="7.5" customHeight="1">
      <c r="A538" s="72"/>
      <c r="B538" s="299"/>
      <c r="C538" s="81"/>
      <c r="D538" s="81"/>
      <c r="E538" s="82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2"/>
      <c r="S538" s="108"/>
      <c r="T538" s="72"/>
    </row>
    <row r="539" spans="1:20" ht="7.5" customHeight="1">
      <c r="A539" s="72"/>
      <c r="B539" s="299"/>
      <c r="C539" s="81"/>
      <c r="D539" s="81"/>
      <c r="E539" s="82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2"/>
      <c r="S539" s="108"/>
      <c r="T539" s="72"/>
    </row>
    <row r="540" spans="1:20" ht="7.5" customHeight="1">
      <c r="A540" s="72"/>
      <c r="B540" s="299"/>
      <c r="C540" s="114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2"/>
      <c r="S540" s="108"/>
      <c r="T540" s="147"/>
    </row>
    <row r="541" spans="1:20" ht="7.5" customHeight="1">
      <c r="A541" s="72"/>
      <c r="B541" s="299"/>
      <c r="C541" s="114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2"/>
      <c r="S541" s="108"/>
      <c r="T541" s="147"/>
    </row>
    <row r="542" spans="1:20" ht="7.5" customHeight="1">
      <c r="A542" s="72"/>
      <c r="B542" s="299"/>
      <c r="C542" s="114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2"/>
      <c r="S542" s="108"/>
      <c r="T542" s="72"/>
    </row>
    <row r="543" spans="1:20" ht="7.5" customHeight="1">
      <c r="A543" s="72"/>
      <c r="B543" s="299"/>
      <c r="C543" s="114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2"/>
      <c r="S543" s="108"/>
      <c r="T543" s="147"/>
    </row>
    <row r="544" spans="1:20" ht="7.5" customHeight="1">
      <c r="A544" s="72"/>
      <c r="B544" s="299"/>
      <c r="C544" s="114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2"/>
      <c r="S544" s="108"/>
      <c r="T544" s="147"/>
    </row>
    <row r="545" spans="1:20" ht="7.5" customHeight="1">
      <c r="A545" s="72"/>
      <c r="B545" s="299"/>
      <c r="C545" s="114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2"/>
      <c r="S545" s="108"/>
      <c r="T545" s="72"/>
    </row>
    <row r="546" spans="1:20" ht="7.5" customHeight="1">
      <c r="A546" s="70"/>
      <c r="B546" s="311"/>
      <c r="C546" s="114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2"/>
      <c r="S546" s="108"/>
      <c r="T546" s="72"/>
    </row>
    <row r="547" spans="1:20" ht="11.25" customHeight="1">
      <c r="A547" s="70"/>
      <c r="B547" s="300"/>
      <c r="C547" s="301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2" t="s">
        <v>53</v>
      </c>
      <c r="T547" s="72"/>
    </row>
    <row r="548" spans="1:20" ht="11.25" customHeight="1">
      <c r="A548" s="70"/>
      <c r="B548" s="111"/>
      <c r="C548" s="116"/>
      <c r="D548" s="117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7"/>
      <c r="S548" s="296"/>
      <c r="T548" s="72"/>
    </row>
    <row r="549" spans="1:20" ht="11.25" customHeight="1">
      <c r="A549" s="70"/>
      <c r="B549" s="322" t="s">
        <v>141</v>
      </c>
      <c r="C549" s="323"/>
      <c r="D549" s="323"/>
      <c r="E549" s="323"/>
      <c r="F549" s="323"/>
      <c r="G549" s="323"/>
      <c r="H549" s="323"/>
      <c r="I549" s="323"/>
      <c r="J549" s="323"/>
      <c r="K549" s="323"/>
      <c r="L549" s="323"/>
      <c r="M549" s="323"/>
      <c r="N549" s="323"/>
      <c r="O549" s="323"/>
      <c r="P549" s="323"/>
      <c r="Q549" s="323"/>
      <c r="R549" s="323"/>
      <c r="S549" s="323"/>
      <c r="T549" s="72"/>
    </row>
    <row r="550" spans="1:20" ht="61.5" customHeight="1">
      <c r="A550" s="70"/>
      <c r="B550" s="331"/>
      <c r="C550" s="31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310" t="s">
        <v>5</v>
      </c>
      <c r="P550" s="311"/>
      <c r="Q550" s="311"/>
      <c r="R550" s="311"/>
      <c r="S550" s="311"/>
      <c r="T550" s="72"/>
    </row>
    <row r="551" spans="1:20" ht="34.5" customHeight="1">
      <c r="A551" s="70"/>
      <c r="B551" s="74" t="s">
        <v>6</v>
      </c>
      <c r="C551" s="74" t="s">
        <v>7</v>
      </c>
      <c r="D551" s="74" t="s">
        <v>8</v>
      </c>
      <c r="E551" s="74" t="s">
        <v>9</v>
      </c>
      <c r="F551" s="75" t="s">
        <v>10</v>
      </c>
      <c r="G551" s="74" t="s">
        <v>11</v>
      </c>
      <c r="H551" s="75" t="s">
        <v>10</v>
      </c>
      <c r="I551" s="74" t="s">
        <v>11</v>
      </c>
      <c r="J551" s="75" t="s">
        <v>10</v>
      </c>
      <c r="K551" s="74" t="s">
        <v>11</v>
      </c>
      <c r="L551" s="75" t="s">
        <v>10</v>
      </c>
      <c r="M551" s="74" t="s">
        <v>11</v>
      </c>
      <c r="N551" s="75" t="s">
        <v>10</v>
      </c>
      <c r="O551" s="74" t="s">
        <v>11</v>
      </c>
      <c r="P551" s="75" t="s">
        <v>10</v>
      </c>
      <c r="Q551" s="74" t="s">
        <v>11</v>
      </c>
      <c r="R551" s="328" t="s">
        <v>12</v>
      </c>
      <c r="S551" s="329"/>
      <c r="T551" s="76"/>
    </row>
    <row r="552" spans="1:20" ht="7.5" customHeight="1">
      <c r="A552" s="70"/>
      <c r="B552" s="341" t="s">
        <v>13</v>
      </c>
      <c r="C552" s="335" t="s">
        <v>142</v>
      </c>
      <c r="D552" s="144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330" t="s">
        <v>15</v>
      </c>
      <c r="S552" s="308" t="s">
        <v>55</v>
      </c>
      <c r="T552" s="72"/>
    </row>
    <row r="553" spans="1:20" ht="7.5" customHeight="1">
      <c r="A553" s="70"/>
      <c r="B553" s="314"/>
      <c r="C553" s="299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299"/>
      <c r="S553" s="299"/>
      <c r="T553" s="72"/>
    </row>
    <row r="554" spans="1:20" ht="7.5" customHeight="1">
      <c r="A554" s="70"/>
      <c r="B554" s="314"/>
      <c r="C554" s="299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0"/>
      <c r="S554" s="299"/>
      <c r="T554" s="72"/>
    </row>
    <row r="555" spans="1:20" ht="7.5" customHeight="1">
      <c r="A555" s="70"/>
      <c r="B555" s="314"/>
      <c r="C555" s="299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2"/>
      <c r="S555" s="299"/>
      <c r="T555" s="72"/>
    </row>
    <row r="556" spans="1:20" ht="7.5" customHeight="1">
      <c r="A556" s="72"/>
      <c r="B556" s="314"/>
      <c r="C556" s="299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0"/>
      <c r="S556" s="299"/>
      <c r="T556" s="72"/>
    </row>
    <row r="557" spans="1:20" ht="7.5" customHeight="1">
      <c r="A557" s="72"/>
      <c r="B557" s="314"/>
      <c r="C557" s="299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5"/>
      <c r="S557" s="299"/>
      <c r="T557" s="72"/>
    </row>
    <row r="558" spans="1:20" ht="7.5" customHeight="1">
      <c r="A558" s="72"/>
      <c r="B558" s="314"/>
      <c r="C558" s="299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2"/>
      <c r="S558" s="299"/>
      <c r="T558" s="72"/>
    </row>
    <row r="559" spans="1:20" ht="7.5" customHeight="1">
      <c r="A559" s="72"/>
      <c r="B559" s="314"/>
      <c r="C559" s="299"/>
      <c r="D559" s="81"/>
      <c r="E559" s="81"/>
      <c r="F559" s="81"/>
      <c r="G559" s="81"/>
      <c r="H559" s="81"/>
      <c r="I559" s="307" t="s">
        <v>35</v>
      </c>
      <c r="J559" s="81"/>
      <c r="K559" s="307" t="s">
        <v>36</v>
      </c>
      <c r="L559" s="81"/>
      <c r="M559" s="307" t="s">
        <v>19</v>
      </c>
      <c r="N559" s="81"/>
      <c r="O559" s="307" t="s">
        <v>20</v>
      </c>
      <c r="P559" s="81"/>
      <c r="Q559" s="81"/>
      <c r="R559" s="82"/>
      <c r="S559" s="299"/>
      <c r="T559" s="72"/>
    </row>
    <row r="560" spans="1:20" ht="7.5" customHeight="1">
      <c r="A560" s="72"/>
      <c r="B560" s="314"/>
      <c r="C560" s="299"/>
      <c r="D560" s="81"/>
      <c r="E560" s="81"/>
      <c r="F560" s="99"/>
      <c r="G560" s="100"/>
      <c r="H560" s="78"/>
      <c r="I560" s="299"/>
      <c r="J560" s="99"/>
      <c r="K560" s="299"/>
      <c r="L560" s="79"/>
      <c r="M560" s="299"/>
      <c r="N560" s="99"/>
      <c r="O560" s="299"/>
      <c r="P560" s="99"/>
      <c r="Q560" s="99"/>
      <c r="R560" s="82"/>
      <c r="S560" s="299"/>
      <c r="T560" s="72"/>
    </row>
    <row r="561" spans="1:20" ht="7.5" customHeight="1">
      <c r="A561" s="72"/>
      <c r="B561" s="314"/>
      <c r="C561" s="299"/>
      <c r="D561" s="108"/>
      <c r="E561" s="99"/>
      <c r="F561" s="99"/>
      <c r="G561" s="100"/>
      <c r="H561" s="101"/>
      <c r="I561" s="299"/>
      <c r="J561" s="99"/>
      <c r="K561" s="299"/>
      <c r="L561" s="79"/>
      <c r="M561" s="299"/>
      <c r="N561" s="99"/>
      <c r="O561" s="299"/>
      <c r="P561" s="99"/>
      <c r="Q561" s="99"/>
      <c r="R561" s="82"/>
      <c r="S561" s="299"/>
      <c r="T561" s="72"/>
    </row>
    <row r="562" spans="1:20" ht="7.5" customHeight="1">
      <c r="A562" s="72"/>
      <c r="B562" s="314"/>
      <c r="C562" s="299"/>
      <c r="D562" s="108"/>
      <c r="E562" s="81"/>
      <c r="F562" s="99"/>
      <c r="G562" s="103"/>
      <c r="H562" s="102"/>
      <c r="I562" s="296"/>
      <c r="J562" s="99"/>
      <c r="K562" s="296"/>
      <c r="L562" s="81"/>
      <c r="M562" s="296"/>
      <c r="N562" s="99"/>
      <c r="O562" s="296"/>
      <c r="P562" s="99"/>
      <c r="Q562" s="99"/>
      <c r="R562" s="298" t="s">
        <v>15</v>
      </c>
      <c r="S562" s="325" t="s">
        <v>58</v>
      </c>
      <c r="T562" s="72"/>
    </row>
    <row r="563" spans="1:20" ht="7.5" customHeight="1">
      <c r="A563" s="72"/>
      <c r="B563" s="314"/>
      <c r="C563" s="299"/>
      <c r="D563" s="327" t="s">
        <v>143</v>
      </c>
      <c r="E563" s="307" t="s">
        <v>22</v>
      </c>
      <c r="F563" s="295"/>
      <c r="G563" s="295" t="s">
        <v>22</v>
      </c>
      <c r="H563" s="295"/>
      <c r="I563" s="295">
        <f>ROUND(K563*1.1,0)</f>
        <v>13674</v>
      </c>
      <c r="J563" s="312">
        <v>2911.1372549999996</v>
      </c>
      <c r="K563" s="295">
        <f>ROUND(J563*mark_up,0)</f>
        <v>12431</v>
      </c>
      <c r="L563" s="295"/>
      <c r="M563" s="295">
        <f>ROUND((I563-K563)+O563,0)</f>
        <v>24240</v>
      </c>
      <c r="N563" s="295"/>
      <c r="O563" s="295">
        <f>ROUND(K563*1.85,0)</f>
        <v>22997</v>
      </c>
      <c r="P563" s="83"/>
      <c r="Q563" s="295" t="s">
        <v>22</v>
      </c>
      <c r="R563" s="299"/>
      <c r="S563" s="299"/>
      <c r="T563" s="72"/>
    </row>
    <row r="564" spans="1:20" ht="7.5" customHeight="1">
      <c r="A564" s="72"/>
      <c r="B564" s="314"/>
      <c r="C564" s="299"/>
      <c r="D564" s="299"/>
      <c r="E564" s="299"/>
      <c r="F564" s="296"/>
      <c r="G564" s="296"/>
      <c r="H564" s="296"/>
      <c r="I564" s="296"/>
      <c r="J564" s="296"/>
      <c r="K564" s="296"/>
      <c r="L564" s="296"/>
      <c r="M564" s="296"/>
      <c r="N564" s="296"/>
      <c r="O564" s="296"/>
      <c r="P564" s="84"/>
      <c r="Q564" s="296"/>
      <c r="R564" s="82"/>
      <c r="S564" s="299"/>
      <c r="T564" s="72"/>
    </row>
    <row r="565" spans="1:20" ht="7.5" customHeight="1">
      <c r="A565" s="72"/>
      <c r="B565" s="314"/>
      <c r="C565" s="299"/>
      <c r="D565" s="108"/>
      <c r="E565" s="99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298" t="s">
        <v>15</v>
      </c>
      <c r="S565" s="325" t="s">
        <v>137</v>
      </c>
      <c r="T565" s="72"/>
    </row>
    <row r="566" spans="1:20" ht="7.5" customHeight="1">
      <c r="A566" s="72"/>
      <c r="B566" s="314"/>
      <c r="C566" s="299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299"/>
      <c r="S566" s="299"/>
      <c r="T566" s="72"/>
    </row>
    <row r="567" spans="1:20" ht="7.5" customHeight="1">
      <c r="A567" s="72"/>
      <c r="B567" s="314"/>
      <c r="C567" s="299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2"/>
      <c r="S567" s="299"/>
      <c r="T567" s="72"/>
    </row>
    <row r="568" spans="1:20" ht="7.5" customHeight="1">
      <c r="A568" s="72"/>
      <c r="B568" s="314"/>
      <c r="C568" s="299"/>
      <c r="D568" s="81"/>
      <c r="E568" s="99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298" t="s">
        <v>15</v>
      </c>
      <c r="S568" s="325" t="s">
        <v>24</v>
      </c>
      <c r="T568" s="72"/>
    </row>
    <row r="569" spans="1:20" ht="7.5" customHeight="1">
      <c r="A569" s="72"/>
      <c r="B569" s="314"/>
      <c r="C569" s="334" t="s">
        <v>144</v>
      </c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299"/>
      <c r="S569" s="299"/>
      <c r="T569" s="72"/>
    </row>
    <row r="570" spans="1:20" ht="7.5" customHeight="1">
      <c r="A570" s="72"/>
      <c r="B570" s="314"/>
      <c r="C570" s="299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2"/>
      <c r="S570" s="299"/>
      <c r="T570" s="72"/>
    </row>
    <row r="571" spans="1:20" ht="7.5" customHeight="1">
      <c r="A571" s="72"/>
      <c r="B571" s="314"/>
      <c r="C571" s="296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298" t="s">
        <v>15</v>
      </c>
      <c r="S571" s="325" t="s">
        <v>61</v>
      </c>
      <c r="T571" s="72"/>
    </row>
    <row r="572" spans="1:20" ht="7.5" customHeight="1">
      <c r="A572" s="72"/>
      <c r="B572" s="314"/>
      <c r="C572" s="337" t="s">
        <v>145</v>
      </c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299"/>
      <c r="S572" s="299"/>
      <c r="T572" s="72"/>
    </row>
    <row r="573" spans="1:20" ht="7.5" customHeight="1">
      <c r="A573" s="72"/>
      <c r="B573" s="314"/>
      <c r="C573" s="299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2"/>
      <c r="S573" s="299"/>
      <c r="T573" s="72"/>
    </row>
    <row r="574" spans="1:20" ht="7.5" customHeight="1">
      <c r="A574" s="72"/>
      <c r="B574" s="314"/>
      <c r="C574" s="299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2"/>
      <c r="S574" s="299"/>
      <c r="T574" s="72"/>
    </row>
    <row r="575" spans="1:20" ht="7.5" customHeight="1">
      <c r="A575" s="72"/>
      <c r="B575" s="314"/>
      <c r="C575" s="299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2"/>
      <c r="S575" s="299"/>
      <c r="T575" s="72"/>
    </row>
    <row r="576" spans="1:20" ht="7.5" customHeight="1">
      <c r="A576" s="72"/>
      <c r="B576" s="314"/>
      <c r="C576" s="299"/>
      <c r="D576" s="108"/>
      <c r="E576" s="81"/>
      <c r="F576" s="99"/>
      <c r="G576" s="307" t="s">
        <v>42</v>
      </c>
      <c r="H576" s="78"/>
      <c r="I576" s="307" t="s">
        <v>43</v>
      </c>
      <c r="J576" s="99"/>
      <c r="K576" s="307" t="s">
        <v>44</v>
      </c>
      <c r="L576" s="99"/>
      <c r="M576" s="307" t="s">
        <v>45</v>
      </c>
      <c r="N576" s="81"/>
      <c r="O576" s="307" t="s">
        <v>46</v>
      </c>
      <c r="P576" s="81"/>
      <c r="Q576" s="81"/>
      <c r="R576" s="298" t="s">
        <v>15</v>
      </c>
      <c r="S576" s="326" t="s">
        <v>146</v>
      </c>
      <c r="T576" s="72"/>
    </row>
    <row r="577" spans="1:20" ht="7.5" customHeight="1">
      <c r="A577" s="72"/>
      <c r="B577" s="314"/>
      <c r="C577" s="299"/>
      <c r="D577" s="108"/>
      <c r="E577" s="307" t="s">
        <v>47</v>
      </c>
      <c r="F577" s="99"/>
      <c r="G577" s="299"/>
      <c r="H577" s="101"/>
      <c r="I577" s="299"/>
      <c r="J577" s="99"/>
      <c r="K577" s="299"/>
      <c r="L577" s="99"/>
      <c r="M577" s="299"/>
      <c r="N577" s="81"/>
      <c r="O577" s="299"/>
      <c r="P577" s="81"/>
      <c r="Q577" s="81"/>
      <c r="R577" s="299"/>
      <c r="S577" s="299"/>
      <c r="T577" s="72"/>
    </row>
    <row r="578" spans="1:20" ht="7.5" customHeight="1">
      <c r="A578" s="72"/>
      <c r="B578" s="314"/>
      <c r="C578" s="299"/>
      <c r="D578" s="327" t="s">
        <v>143</v>
      </c>
      <c r="E578" s="299"/>
      <c r="F578" s="99"/>
      <c r="G578" s="296"/>
      <c r="H578" s="102"/>
      <c r="I578" s="296"/>
      <c r="J578" s="99"/>
      <c r="K578" s="296"/>
      <c r="L578" s="99"/>
      <c r="M578" s="296"/>
      <c r="N578" s="81"/>
      <c r="O578" s="296"/>
      <c r="P578" s="81"/>
      <c r="Q578" s="81"/>
      <c r="R578" s="82"/>
      <c r="S578" s="299"/>
      <c r="T578" s="72"/>
    </row>
    <row r="579" spans="1:20" ht="7.5" customHeight="1">
      <c r="A579" s="72"/>
      <c r="B579" s="314"/>
      <c r="C579" s="299"/>
      <c r="D579" s="299"/>
      <c r="E579" s="299"/>
      <c r="F579" s="312">
        <v>2339.0525193749995</v>
      </c>
      <c r="G579" s="295">
        <f>ROUND(F579*mark_up,0)</f>
        <v>9988</v>
      </c>
      <c r="H579" s="83"/>
      <c r="I579" s="295">
        <f>ROUND(G579*1.0431,0)</f>
        <v>10418</v>
      </c>
      <c r="J579" s="83"/>
      <c r="K579" s="295">
        <f>ROUND(G579*1.65384615384615,0)</f>
        <v>16519</v>
      </c>
      <c r="L579" s="83"/>
      <c r="M579" s="295">
        <f>ROUND(G579*2.34979,0)</f>
        <v>23470</v>
      </c>
      <c r="N579" s="83"/>
      <c r="O579" s="295">
        <f>ROUND(G579*3.93138,0)</f>
        <v>39267</v>
      </c>
      <c r="P579" s="83"/>
      <c r="Q579" s="295" t="s">
        <v>22</v>
      </c>
      <c r="R579" s="105"/>
      <c r="S579" s="299"/>
      <c r="T579" s="72"/>
    </row>
    <row r="580" spans="1:20" ht="7.5" customHeight="1">
      <c r="A580" s="72"/>
      <c r="B580" s="314"/>
      <c r="C580" s="299"/>
      <c r="D580" s="299"/>
      <c r="E580" s="299"/>
      <c r="F580" s="296"/>
      <c r="G580" s="296"/>
      <c r="H580" s="84"/>
      <c r="I580" s="296"/>
      <c r="J580" s="84"/>
      <c r="K580" s="296"/>
      <c r="L580" s="84"/>
      <c r="M580" s="296"/>
      <c r="N580" s="84"/>
      <c r="O580" s="296"/>
      <c r="P580" s="84"/>
      <c r="Q580" s="296"/>
      <c r="R580" s="105"/>
      <c r="S580" s="299"/>
      <c r="T580" s="72"/>
    </row>
    <row r="581" spans="1:20" ht="7.5" customHeight="1">
      <c r="A581" s="72"/>
      <c r="B581" s="314"/>
      <c r="C581" s="299"/>
      <c r="D581" s="299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298" t="s">
        <v>15</v>
      </c>
      <c r="S581" s="325" t="s">
        <v>31</v>
      </c>
      <c r="T581" s="72"/>
    </row>
    <row r="582" spans="1:20" ht="7.5" customHeight="1">
      <c r="A582" s="72"/>
      <c r="B582" s="314"/>
      <c r="C582" s="299"/>
      <c r="D582" s="299"/>
      <c r="E582" s="81"/>
      <c r="F582" s="81"/>
      <c r="G582" s="307" t="s">
        <v>48</v>
      </c>
      <c r="H582" s="81"/>
      <c r="I582" s="307" t="s">
        <v>49</v>
      </c>
      <c r="J582" s="81"/>
      <c r="K582" s="307" t="s">
        <v>50</v>
      </c>
      <c r="L582" s="81"/>
      <c r="M582" s="81"/>
      <c r="N582" s="81"/>
      <c r="O582" s="81"/>
      <c r="P582" s="81"/>
      <c r="Q582" s="81"/>
      <c r="R582" s="299"/>
      <c r="S582" s="299"/>
      <c r="T582" s="72"/>
    </row>
    <row r="583" spans="1:20" ht="7.5" customHeight="1">
      <c r="A583" s="72"/>
      <c r="B583" s="314"/>
      <c r="C583" s="299"/>
      <c r="D583" s="299"/>
      <c r="E583" s="307" t="s">
        <v>51</v>
      </c>
      <c r="F583" s="81"/>
      <c r="G583" s="299"/>
      <c r="H583" s="81"/>
      <c r="I583" s="299"/>
      <c r="J583" s="81"/>
      <c r="K583" s="299"/>
      <c r="L583" s="81"/>
      <c r="M583" s="81"/>
      <c r="N583" s="81"/>
      <c r="O583" s="81"/>
      <c r="P583" s="81"/>
      <c r="Q583" s="81"/>
      <c r="R583" s="82"/>
      <c r="S583" s="299"/>
      <c r="T583" s="72"/>
    </row>
    <row r="584" spans="1:20" ht="7.5" customHeight="1">
      <c r="A584" s="72"/>
      <c r="B584" s="314"/>
      <c r="C584" s="299"/>
      <c r="D584" s="299"/>
      <c r="E584" s="299"/>
      <c r="F584" s="81"/>
      <c r="G584" s="299"/>
      <c r="H584" s="81"/>
      <c r="I584" s="299"/>
      <c r="J584" s="81"/>
      <c r="K584" s="299"/>
      <c r="L584" s="81"/>
      <c r="M584" s="81"/>
      <c r="N584" s="81"/>
      <c r="O584" s="81"/>
      <c r="P584" s="81"/>
      <c r="Q584" s="81"/>
      <c r="R584" s="298" t="s">
        <v>15</v>
      </c>
      <c r="S584" s="326" t="s">
        <v>122</v>
      </c>
      <c r="T584" s="72"/>
    </row>
    <row r="585" spans="1:20" ht="7.5" customHeight="1">
      <c r="A585" s="70"/>
      <c r="B585" s="314"/>
      <c r="C585" s="299"/>
      <c r="D585" s="299"/>
      <c r="E585" s="299"/>
      <c r="F585" s="312">
        <v>2802.9482909999992</v>
      </c>
      <c r="G585" s="295">
        <f>ROUND(F585*mark_up,0)</f>
        <v>11969</v>
      </c>
      <c r="H585" s="98"/>
      <c r="I585" s="295">
        <f>ROUND(G585*1.24441,0)</f>
        <v>14894</v>
      </c>
      <c r="J585" s="98"/>
      <c r="K585" s="295">
        <f>ROUND(G585*1.40363,0)</f>
        <v>16800</v>
      </c>
      <c r="L585" s="98"/>
      <c r="M585" s="295" t="s">
        <v>22</v>
      </c>
      <c r="N585" s="98"/>
      <c r="O585" s="295" t="s">
        <v>22</v>
      </c>
      <c r="P585" s="98"/>
      <c r="Q585" s="295" t="s">
        <v>22</v>
      </c>
      <c r="R585" s="299"/>
      <c r="S585" s="299"/>
      <c r="T585" s="72"/>
    </row>
    <row r="586" spans="1:20" ht="7.5" customHeight="1">
      <c r="A586" s="70"/>
      <c r="B586" s="314"/>
      <c r="C586" s="299"/>
      <c r="D586" s="81"/>
      <c r="E586" s="299"/>
      <c r="F586" s="296"/>
      <c r="G586" s="296"/>
      <c r="H586" s="111"/>
      <c r="I586" s="296"/>
      <c r="J586" s="111"/>
      <c r="K586" s="296"/>
      <c r="L586" s="111"/>
      <c r="M586" s="296"/>
      <c r="N586" s="111"/>
      <c r="O586" s="296"/>
      <c r="P586" s="111"/>
      <c r="Q586" s="296"/>
      <c r="R586" s="85"/>
      <c r="S586" s="299"/>
      <c r="T586" s="72"/>
    </row>
    <row r="587" spans="1:20" ht="7.5" customHeight="1">
      <c r="A587" s="70"/>
      <c r="B587" s="314"/>
      <c r="C587" s="299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105"/>
      <c r="S587" s="92"/>
      <c r="T587" s="72"/>
    </row>
    <row r="588" spans="1:20" ht="7.5" customHeight="1">
      <c r="A588" s="70"/>
      <c r="B588" s="314"/>
      <c r="C588" s="299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105"/>
      <c r="S588" s="92"/>
      <c r="T588" s="72"/>
    </row>
    <row r="589" spans="1:20" ht="7.5" customHeight="1">
      <c r="A589" s="70"/>
      <c r="B589" s="314"/>
      <c r="C589" s="299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105"/>
      <c r="S589" s="92"/>
      <c r="T589" s="72"/>
    </row>
    <row r="590" spans="1:20" ht="7.5" customHeight="1">
      <c r="A590" s="70"/>
      <c r="B590" s="314"/>
      <c r="C590" s="299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105"/>
      <c r="S590" s="92"/>
      <c r="T590" s="72"/>
    </row>
    <row r="591" spans="1:20" ht="7.5" customHeight="1">
      <c r="A591" s="70"/>
      <c r="B591" s="314"/>
      <c r="C591" s="299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105"/>
      <c r="S591" s="92"/>
      <c r="T591" s="72"/>
    </row>
    <row r="592" spans="1:20" ht="7.5" customHeight="1">
      <c r="A592" s="70"/>
      <c r="B592" s="314"/>
      <c r="C592" s="299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105"/>
      <c r="S592" s="92"/>
      <c r="T592" s="72"/>
    </row>
    <row r="593" spans="1:20" ht="7.5" customHeight="1">
      <c r="A593" s="70"/>
      <c r="B593" s="314"/>
      <c r="C593" s="299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105"/>
      <c r="S593" s="92"/>
      <c r="T593" s="72"/>
    </row>
    <row r="594" spans="1:20" ht="7.5" customHeight="1">
      <c r="A594" s="70"/>
      <c r="B594" s="314"/>
      <c r="C594" s="334" t="s">
        <v>147</v>
      </c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150"/>
      <c r="S594" s="151"/>
      <c r="T594" s="72"/>
    </row>
    <row r="595" spans="1:20" ht="7.5" customHeight="1">
      <c r="A595" s="70"/>
      <c r="B595" s="314"/>
      <c r="C595" s="299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150"/>
      <c r="S595" s="151"/>
      <c r="T595" s="72"/>
    </row>
    <row r="596" spans="1:20" ht="7.5" customHeight="1">
      <c r="A596" s="70"/>
      <c r="B596" s="342"/>
      <c r="C596" s="311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152"/>
      <c r="S596" s="153"/>
      <c r="T596" s="72"/>
    </row>
    <row r="597" spans="1:20" ht="7.5" customHeight="1">
      <c r="A597" s="70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150"/>
      <c r="S597" s="151"/>
      <c r="T597" s="72"/>
    </row>
    <row r="598" spans="1:20" ht="7.5" customHeight="1">
      <c r="A598" s="70"/>
      <c r="B598" s="81"/>
      <c r="C598" s="114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150"/>
      <c r="S598" s="151"/>
      <c r="T598" s="72"/>
    </row>
    <row r="599" spans="1:20" ht="7.5" customHeight="1">
      <c r="A599" s="70"/>
      <c r="B599" s="81"/>
      <c r="C599" s="114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150"/>
      <c r="S599" s="151"/>
      <c r="T599" s="72"/>
    </row>
    <row r="600" spans="1:20" ht="7.5" customHeight="1">
      <c r="A600" s="72"/>
      <c r="B600" s="81"/>
      <c r="C600" s="114"/>
      <c r="D600" s="81"/>
      <c r="E600" s="82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2"/>
      <c r="S600" s="108"/>
      <c r="T600" s="72"/>
    </row>
    <row r="601" spans="1:20" ht="7.5" customHeight="1">
      <c r="A601" s="72"/>
      <c r="B601" s="81"/>
      <c r="C601" s="114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2"/>
      <c r="S601" s="108"/>
      <c r="T601" s="147"/>
    </row>
    <row r="602" spans="1:20" ht="7.5" customHeight="1">
      <c r="A602" s="72"/>
      <c r="B602" s="81"/>
      <c r="C602" s="114"/>
      <c r="D602" s="81"/>
      <c r="E602" s="309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2"/>
      <c r="S602" s="108"/>
      <c r="T602" s="147"/>
    </row>
    <row r="603" spans="1:20" ht="7.5" customHeight="1">
      <c r="A603" s="72"/>
      <c r="B603" s="81"/>
      <c r="C603" s="114"/>
      <c r="D603" s="81"/>
      <c r="E603" s="299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2"/>
      <c r="S603" s="108"/>
      <c r="T603" s="72"/>
    </row>
    <row r="604" spans="1:20" ht="7.5" customHeight="1">
      <c r="A604" s="72"/>
      <c r="B604" s="81"/>
      <c r="C604" s="114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2"/>
      <c r="S604" s="108"/>
      <c r="T604" s="147"/>
    </row>
    <row r="605" spans="1:20" ht="7.5" customHeight="1">
      <c r="A605" s="72"/>
      <c r="B605" s="81"/>
      <c r="C605" s="114"/>
      <c r="D605" s="81"/>
      <c r="E605" s="309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2"/>
      <c r="S605" s="108"/>
      <c r="T605" s="147"/>
    </row>
    <row r="606" spans="1:20" ht="7.5" customHeight="1">
      <c r="A606" s="72"/>
      <c r="B606" s="81"/>
      <c r="C606" s="114"/>
      <c r="D606" s="81"/>
      <c r="E606" s="299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2"/>
      <c r="S606" s="108"/>
      <c r="T606" s="72"/>
    </row>
    <row r="607" spans="1:20" ht="7.5" customHeight="1">
      <c r="A607" s="70"/>
      <c r="B607" s="81"/>
      <c r="C607" s="114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2"/>
      <c r="S607" s="108"/>
      <c r="T607" s="72"/>
    </row>
    <row r="608" spans="1:20" ht="11.25" customHeight="1">
      <c r="A608" s="70"/>
      <c r="B608" s="300"/>
      <c r="C608" s="301"/>
      <c r="D608" s="301"/>
      <c r="E608" s="301"/>
      <c r="F608" s="301"/>
      <c r="G608" s="301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2" t="s">
        <v>53</v>
      </c>
      <c r="T608" s="72"/>
    </row>
    <row r="609" spans="1:20" ht="11.25" customHeight="1">
      <c r="A609" s="70"/>
      <c r="B609" s="111"/>
      <c r="C609" s="116"/>
      <c r="D609" s="117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7"/>
      <c r="S609" s="296"/>
      <c r="T609" s="72"/>
    </row>
    <row r="610" spans="1:20" ht="11.25" customHeight="1">
      <c r="A610" s="70"/>
      <c r="B610" s="322" t="s">
        <v>148</v>
      </c>
      <c r="C610" s="323"/>
      <c r="D610" s="323"/>
      <c r="E610" s="323"/>
      <c r="F610" s="323"/>
      <c r="G610" s="323"/>
      <c r="H610" s="323"/>
      <c r="I610" s="323"/>
      <c r="J610" s="323"/>
      <c r="K610" s="323"/>
      <c r="L610" s="323"/>
      <c r="M610" s="323"/>
      <c r="N610" s="323"/>
      <c r="O610" s="323"/>
      <c r="P610" s="323"/>
      <c r="Q610" s="323"/>
      <c r="R610" s="323"/>
      <c r="S610" s="323"/>
      <c r="T610" s="72"/>
    </row>
    <row r="611" spans="1:20" ht="61.5" customHeight="1">
      <c r="A611" s="70"/>
      <c r="B611" s="331"/>
      <c r="C611" s="31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310" t="s">
        <v>5</v>
      </c>
      <c r="P611" s="311"/>
      <c r="Q611" s="311"/>
      <c r="R611" s="311"/>
      <c r="S611" s="311"/>
      <c r="T611" s="72"/>
    </row>
    <row r="612" spans="1:20" ht="34.5" customHeight="1">
      <c r="A612" s="70"/>
      <c r="B612" s="74" t="s">
        <v>6</v>
      </c>
      <c r="C612" s="74" t="s">
        <v>7</v>
      </c>
      <c r="D612" s="74" t="s">
        <v>8</v>
      </c>
      <c r="E612" s="74" t="s">
        <v>9</v>
      </c>
      <c r="F612" s="75" t="s">
        <v>10</v>
      </c>
      <c r="G612" s="74" t="s">
        <v>11</v>
      </c>
      <c r="H612" s="75" t="s">
        <v>10</v>
      </c>
      <c r="I612" s="74" t="s">
        <v>11</v>
      </c>
      <c r="J612" s="75" t="s">
        <v>10</v>
      </c>
      <c r="K612" s="74" t="s">
        <v>11</v>
      </c>
      <c r="L612" s="75" t="s">
        <v>10</v>
      </c>
      <c r="M612" s="74" t="s">
        <v>11</v>
      </c>
      <c r="N612" s="75" t="s">
        <v>10</v>
      </c>
      <c r="O612" s="74" t="s">
        <v>11</v>
      </c>
      <c r="P612" s="75" t="s">
        <v>10</v>
      </c>
      <c r="Q612" s="74" t="s">
        <v>11</v>
      </c>
      <c r="R612" s="328" t="s">
        <v>12</v>
      </c>
      <c r="S612" s="329"/>
      <c r="T612" s="76"/>
    </row>
    <row r="613" spans="1:20" ht="7.5" customHeight="1">
      <c r="A613" s="70"/>
      <c r="B613" s="341" t="s">
        <v>13</v>
      </c>
      <c r="C613" s="335" t="s">
        <v>149</v>
      </c>
      <c r="D613" s="144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330" t="s">
        <v>15</v>
      </c>
      <c r="S613" s="308" t="s">
        <v>55</v>
      </c>
      <c r="T613" s="72"/>
    </row>
    <row r="614" spans="1:20" ht="7.5" customHeight="1">
      <c r="A614" s="70"/>
      <c r="B614" s="314"/>
      <c r="C614" s="299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299"/>
      <c r="S614" s="299"/>
      <c r="T614" s="72"/>
    </row>
    <row r="615" spans="1:20" ht="7.5" customHeight="1">
      <c r="A615" s="70"/>
      <c r="B615" s="314"/>
      <c r="C615" s="299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0"/>
      <c r="S615" s="299"/>
      <c r="T615" s="72"/>
    </row>
    <row r="616" spans="1:20" ht="7.5" customHeight="1">
      <c r="A616" s="70"/>
      <c r="B616" s="314"/>
      <c r="C616" s="299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2"/>
      <c r="S616" s="299"/>
      <c r="T616" s="72"/>
    </row>
    <row r="617" spans="1:20" ht="7.5" customHeight="1">
      <c r="A617" s="72"/>
      <c r="B617" s="314"/>
      <c r="C617" s="299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0"/>
      <c r="S617" s="299"/>
      <c r="T617" s="72"/>
    </row>
    <row r="618" spans="1:20" ht="7.5" customHeight="1">
      <c r="A618" s="72"/>
      <c r="B618" s="314"/>
      <c r="C618" s="299"/>
      <c r="D618" s="81"/>
      <c r="E618" s="81"/>
      <c r="F618" s="81"/>
      <c r="G618" s="81"/>
      <c r="H618" s="81"/>
      <c r="I618" s="307" t="s">
        <v>35</v>
      </c>
      <c r="J618" s="81"/>
      <c r="K618" s="307" t="s">
        <v>36</v>
      </c>
      <c r="L618" s="81"/>
      <c r="M618" s="307" t="s">
        <v>19</v>
      </c>
      <c r="N618" s="81"/>
      <c r="O618" s="307" t="s">
        <v>20</v>
      </c>
      <c r="P618" s="81"/>
      <c r="Q618" s="81"/>
      <c r="R618" s="85"/>
      <c r="S618" s="299"/>
      <c r="T618" s="72"/>
    </row>
    <row r="619" spans="1:20" ht="7.5" customHeight="1">
      <c r="A619" s="72"/>
      <c r="B619" s="314"/>
      <c r="C619" s="299"/>
      <c r="D619" s="81"/>
      <c r="E619" s="81"/>
      <c r="F619" s="99"/>
      <c r="G619" s="100"/>
      <c r="H619" s="78"/>
      <c r="I619" s="299"/>
      <c r="J619" s="99"/>
      <c r="K619" s="299"/>
      <c r="L619" s="79"/>
      <c r="M619" s="299"/>
      <c r="N619" s="99"/>
      <c r="O619" s="299"/>
      <c r="P619" s="99"/>
      <c r="Q619" s="99"/>
      <c r="R619" s="82"/>
      <c r="S619" s="299"/>
      <c r="T619" s="72"/>
    </row>
    <row r="620" spans="1:20" ht="7.5" customHeight="1">
      <c r="A620" s="72"/>
      <c r="B620" s="314"/>
      <c r="C620" s="299"/>
      <c r="D620" s="108"/>
      <c r="E620" s="99"/>
      <c r="F620" s="99"/>
      <c r="G620" s="100"/>
      <c r="H620" s="101"/>
      <c r="I620" s="299"/>
      <c r="J620" s="99"/>
      <c r="K620" s="299"/>
      <c r="L620" s="79"/>
      <c r="M620" s="299"/>
      <c r="N620" s="99"/>
      <c r="O620" s="299"/>
      <c r="P620" s="99"/>
      <c r="Q620" s="99"/>
      <c r="R620" s="82"/>
      <c r="S620" s="299"/>
      <c r="T620" s="72"/>
    </row>
    <row r="621" spans="1:20" ht="7.5" customHeight="1">
      <c r="A621" s="72"/>
      <c r="B621" s="314"/>
      <c r="C621" s="299"/>
      <c r="D621" s="108"/>
      <c r="E621" s="81"/>
      <c r="F621" s="99"/>
      <c r="G621" s="103"/>
      <c r="H621" s="102"/>
      <c r="I621" s="296"/>
      <c r="J621" s="99"/>
      <c r="K621" s="296"/>
      <c r="L621" s="81"/>
      <c r="M621" s="296"/>
      <c r="N621" s="99"/>
      <c r="O621" s="296"/>
      <c r="P621" s="99"/>
      <c r="Q621" s="99"/>
      <c r="R621" s="82"/>
      <c r="S621" s="299"/>
      <c r="T621" s="72"/>
    </row>
    <row r="622" spans="1:20" ht="7.5" customHeight="1">
      <c r="A622" s="72"/>
      <c r="B622" s="314"/>
      <c r="C622" s="299"/>
      <c r="D622" s="327" t="s">
        <v>150</v>
      </c>
      <c r="E622" s="307" t="s">
        <v>22</v>
      </c>
      <c r="F622" s="295"/>
      <c r="G622" s="295" t="s">
        <v>22</v>
      </c>
      <c r="H622" s="295"/>
      <c r="I622" s="295">
        <f>ROUND(K622*1.1,0)</f>
        <v>12529</v>
      </c>
      <c r="J622" s="312">
        <v>2667.3562012499997</v>
      </c>
      <c r="K622" s="295">
        <f>ROUND(J622*mark_up,0)</f>
        <v>11390</v>
      </c>
      <c r="L622" s="295"/>
      <c r="M622" s="295">
        <f>ROUND((I622-K622)+O622,0)</f>
        <v>22211</v>
      </c>
      <c r="N622" s="295"/>
      <c r="O622" s="295">
        <f>ROUND(K622*1.85,0)</f>
        <v>21072</v>
      </c>
      <c r="P622" s="83"/>
      <c r="Q622" s="295" t="s">
        <v>22</v>
      </c>
      <c r="R622" s="82"/>
      <c r="S622" s="299"/>
      <c r="T622" s="72"/>
    </row>
    <row r="623" spans="1:20" ht="7.5" customHeight="1">
      <c r="A623" s="72"/>
      <c r="B623" s="314"/>
      <c r="C623" s="299"/>
      <c r="D623" s="299"/>
      <c r="E623" s="299"/>
      <c r="F623" s="296"/>
      <c r="G623" s="296"/>
      <c r="H623" s="296"/>
      <c r="I623" s="296"/>
      <c r="J623" s="296"/>
      <c r="K623" s="296"/>
      <c r="L623" s="296"/>
      <c r="M623" s="296"/>
      <c r="N623" s="296"/>
      <c r="O623" s="296"/>
      <c r="P623" s="84"/>
      <c r="Q623" s="296"/>
      <c r="R623" s="298" t="s">
        <v>15</v>
      </c>
      <c r="S623" s="325" t="s">
        <v>58</v>
      </c>
      <c r="T623" s="72"/>
    </row>
    <row r="624" spans="1:20" ht="7.5" customHeight="1">
      <c r="A624" s="72"/>
      <c r="B624" s="314"/>
      <c r="C624" s="299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299"/>
      <c r="S624" s="299"/>
      <c r="T624" s="72"/>
    </row>
    <row r="625" spans="1:20" ht="7.5" customHeight="1">
      <c r="A625" s="72"/>
      <c r="B625" s="314"/>
      <c r="C625" s="299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82"/>
      <c r="S625" s="299"/>
      <c r="T625" s="72"/>
    </row>
    <row r="626" spans="1:20" ht="7.5" customHeight="1">
      <c r="A626" s="72"/>
      <c r="B626" s="314"/>
      <c r="C626" s="299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298" t="s">
        <v>15</v>
      </c>
      <c r="S626" s="325" t="s">
        <v>137</v>
      </c>
      <c r="T626" s="72"/>
    </row>
    <row r="627" spans="1:20" ht="7.5" customHeight="1">
      <c r="A627" s="72"/>
      <c r="B627" s="314"/>
      <c r="C627" s="334" t="s">
        <v>144</v>
      </c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299"/>
      <c r="S627" s="299"/>
      <c r="T627" s="72"/>
    </row>
    <row r="628" spans="1:20" ht="7.5" customHeight="1">
      <c r="A628" s="72"/>
      <c r="B628" s="314"/>
      <c r="C628" s="299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2"/>
      <c r="S628" s="299"/>
      <c r="T628" s="72"/>
    </row>
    <row r="629" spans="1:20" ht="7.5" customHeight="1">
      <c r="A629" s="72"/>
      <c r="B629" s="314"/>
      <c r="C629" s="296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298" t="s">
        <v>15</v>
      </c>
      <c r="S629" s="325" t="s">
        <v>24</v>
      </c>
      <c r="T629" s="72"/>
    </row>
    <row r="630" spans="1:20" ht="7.5" customHeight="1">
      <c r="A630" s="72"/>
      <c r="B630" s="314"/>
      <c r="C630" s="337" t="s">
        <v>151</v>
      </c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299"/>
      <c r="S630" s="299"/>
      <c r="T630" s="72"/>
    </row>
    <row r="631" spans="1:20" ht="7.5" customHeight="1">
      <c r="A631" s="72"/>
      <c r="B631" s="314"/>
      <c r="C631" s="299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2"/>
      <c r="S631" s="299"/>
      <c r="T631" s="72"/>
    </row>
    <row r="632" spans="1:20" ht="7.5" customHeight="1">
      <c r="A632" s="72"/>
      <c r="B632" s="314"/>
      <c r="C632" s="299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298" t="s">
        <v>15</v>
      </c>
      <c r="S632" s="325" t="s">
        <v>61</v>
      </c>
      <c r="T632" s="72"/>
    </row>
    <row r="633" spans="1:20" ht="7.5" customHeight="1">
      <c r="A633" s="72"/>
      <c r="B633" s="314"/>
      <c r="C633" s="299"/>
      <c r="D633" s="81"/>
      <c r="E633" s="81"/>
      <c r="F633" s="99"/>
      <c r="G633" s="307" t="s">
        <v>42</v>
      </c>
      <c r="H633" s="78"/>
      <c r="I633" s="307" t="s">
        <v>43</v>
      </c>
      <c r="J633" s="99"/>
      <c r="K633" s="307" t="s">
        <v>44</v>
      </c>
      <c r="L633" s="99"/>
      <c r="M633" s="307" t="s">
        <v>45</v>
      </c>
      <c r="N633" s="81"/>
      <c r="O633" s="307" t="s">
        <v>46</v>
      </c>
      <c r="P633" s="81"/>
      <c r="Q633" s="81"/>
      <c r="R633" s="299"/>
      <c r="S633" s="299"/>
      <c r="T633" s="72"/>
    </row>
    <row r="634" spans="1:20" ht="7.5" customHeight="1">
      <c r="A634" s="72"/>
      <c r="B634" s="314"/>
      <c r="C634" s="299"/>
      <c r="D634" s="81"/>
      <c r="E634" s="99"/>
      <c r="F634" s="99"/>
      <c r="G634" s="299"/>
      <c r="H634" s="101"/>
      <c r="I634" s="299"/>
      <c r="J634" s="99"/>
      <c r="K634" s="299"/>
      <c r="L634" s="99"/>
      <c r="M634" s="299"/>
      <c r="N634" s="81"/>
      <c r="O634" s="299"/>
      <c r="P634" s="81"/>
      <c r="Q634" s="81"/>
      <c r="R634" s="82"/>
      <c r="S634" s="299"/>
      <c r="T634" s="72"/>
    </row>
    <row r="635" spans="1:20" ht="7.5" customHeight="1">
      <c r="A635" s="72"/>
      <c r="B635" s="314"/>
      <c r="C635" s="299"/>
      <c r="D635" s="81"/>
      <c r="E635" s="307" t="s">
        <v>47</v>
      </c>
      <c r="F635" s="99"/>
      <c r="G635" s="296"/>
      <c r="H635" s="102"/>
      <c r="I635" s="296"/>
      <c r="J635" s="99"/>
      <c r="K635" s="296"/>
      <c r="L635" s="99"/>
      <c r="M635" s="296"/>
      <c r="N635" s="81"/>
      <c r="O635" s="296"/>
      <c r="P635" s="81"/>
      <c r="Q635" s="81"/>
      <c r="R635" s="82"/>
      <c r="S635" s="299"/>
      <c r="T635" s="72"/>
    </row>
    <row r="636" spans="1:20" ht="7.5" customHeight="1">
      <c r="A636" s="72"/>
      <c r="B636" s="314"/>
      <c r="C636" s="299"/>
      <c r="D636" s="327" t="s">
        <v>152</v>
      </c>
      <c r="E636" s="299"/>
      <c r="F636" s="312">
        <v>2268.5873388749992</v>
      </c>
      <c r="G636" s="295">
        <f>ROUND(F636*mark_up,0)</f>
        <v>9687</v>
      </c>
      <c r="H636" s="83"/>
      <c r="I636" s="295">
        <f>ROUND(G636*1.0431,0)</f>
        <v>10105</v>
      </c>
      <c r="J636" s="83"/>
      <c r="K636" s="295">
        <f>ROUND(G636*1.65384615384615,0)</f>
        <v>16021</v>
      </c>
      <c r="L636" s="83"/>
      <c r="M636" s="295">
        <f>ROUND(G636*2.39171,0)</f>
        <v>23168</v>
      </c>
      <c r="N636" s="83"/>
      <c r="O636" s="295">
        <f>ROUND(G636*4.02243,0)</f>
        <v>38965</v>
      </c>
      <c r="P636" s="83"/>
      <c r="Q636" s="295" t="s">
        <v>22</v>
      </c>
      <c r="R636" s="82"/>
      <c r="S636" s="299"/>
      <c r="T636" s="72"/>
    </row>
    <row r="637" spans="1:20" ht="7.5" customHeight="1">
      <c r="A637" s="72"/>
      <c r="B637" s="314"/>
      <c r="C637" s="299"/>
      <c r="D637" s="299"/>
      <c r="E637" s="299"/>
      <c r="F637" s="296"/>
      <c r="G637" s="296"/>
      <c r="H637" s="84"/>
      <c r="I637" s="296"/>
      <c r="J637" s="84"/>
      <c r="K637" s="296"/>
      <c r="L637" s="84"/>
      <c r="M637" s="296"/>
      <c r="N637" s="84"/>
      <c r="O637" s="296"/>
      <c r="P637" s="84"/>
      <c r="Q637" s="296"/>
      <c r="R637" s="298" t="s">
        <v>15</v>
      </c>
      <c r="S637" s="326" t="s">
        <v>153</v>
      </c>
      <c r="T637" s="72"/>
    </row>
    <row r="638" spans="1:20" ht="7.5" customHeight="1">
      <c r="A638" s="72"/>
      <c r="B638" s="314"/>
      <c r="C638" s="299"/>
      <c r="D638" s="299"/>
      <c r="E638" s="299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299"/>
      <c r="S638" s="299"/>
      <c r="T638" s="72"/>
    </row>
    <row r="639" spans="1:20" ht="7.5" customHeight="1">
      <c r="A639" s="72"/>
      <c r="B639" s="314"/>
      <c r="C639" s="299"/>
      <c r="D639" s="299"/>
      <c r="E639" s="81"/>
      <c r="F639" s="81"/>
      <c r="G639" s="307" t="s">
        <v>48</v>
      </c>
      <c r="H639" s="81"/>
      <c r="I639" s="307" t="s">
        <v>49</v>
      </c>
      <c r="J639" s="81"/>
      <c r="K639" s="307" t="s">
        <v>50</v>
      </c>
      <c r="L639" s="81"/>
      <c r="M639" s="81"/>
      <c r="N639" s="81"/>
      <c r="O639" s="81"/>
      <c r="P639" s="81"/>
      <c r="Q639" s="81"/>
      <c r="R639" s="298" t="s">
        <v>15</v>
      </c>
      <c r="S639" s="326" t="s">
        <v>31</v>
      </c>
      <c r="T639" s="72"/>
    </row>
    <row r="640" spans="1:20" ht="7.5" customHeight="1">
      <c r="A640" s="72"/>
      <c r="B640" s="314"/>
      <c r="C640" s="299"/>
      <c r="D640" s="299"/>
      <c r="E640" s="81"/>
      <c r="F640" s="81"/>
      <c r="G640" s="299"/>
      <c r="H640" s="81"/>
      <c r="I640" s="299"/>
      <c r="J640" s="81"/>
      <c r="K640" s="299"/>
      <c r="L640" s="81"/>
      <c r="M640" s="81"/>
      <c r="N640" s="81"/>
      <c r="O640" s="81"/>
      <c r="P640" s="81"/>
      <c r="Q640" s="81"/>
      <c r="R640" s="299"/>
      <c r="S640" s="299"/>
      <c r="T640" s="72"/>
    </row>
    <row r="641" spans="1:20" ht="7.5" customHeight="1">
      <c r="A641" s="72"/>
      <c r="B641" s="314"/>
      <c r="C641" s="299"/>
      <c r="D641" s="299"/>
      <c r="E641" s="307" t="s">
        <v>51</v>
      </c>
      <c r="F641" s="81"/>
      <c r="G641" s="299"/>
      <c r="H641" s="81"/>
      <c r="I641" s="299"/>
      <c r="J641" s="81"/>
      <c r="K641" s="299"/>
      <c r="L641" s="81"/>
      <c r="M641" s="81"/>
      <c r="N641" s="81"/>
      <c r="O641" s="81"/>
      <c r="P641" s="81"/>
      <c r="Q641" s="81"/>
      <c r="R641" s="85"/>
      <c r="S641" s="299"/>
      <c r="T641" s="72"/>
    </row>
    <row r="642" spans="1:20" ht="7.5" customHeight="1">
      <c r="A642" s="72"/>
      <c r="B642" s="314"/>
      <c r="C642" s="299"/>
      <c r="D642" s="299"/>
      <c r="E642" s="299"/>
      <c r="F642" s="312">
        <v>2718.7815476249993</v>
      </c>
      <c r="G642" s="295">
        <f>ROUND(F642*mark_up,0)</f>
        <v>11609</v>
      </c>
      <c r="H642" s="98"/>
      <c r="I642" s="295">
        <f>ROUND(G642*1.25197,0)</f>
        <v>14534</v>
      </c>
      <c r="J642" s="98"/>
      <c r="K642" s="295">
        <f>ROUND(G642*1.4154,0)</f>
        <v>16431</v>
      </c>
      <c r="L642" s="98"/>
      <c r="M642" s="295" t="s">
        <v>22</v>
      </c>
      <c r="N642" s="98"/>
      <c r="O642" s="295" t="s">
        <v>22</v>
      </c>
      <c r="P642" s="98"/>
      <c r="Q642" s="295" t="s">
        <v>22</v>
      </c>
      <c r="R642" s="298" t="s">
        <v>15</v>
      </c>
      <c r="S642" s="325" t="s">
        <v>122</v>
      </c>
      <c r="T642" s="72"/>
    </row>
    <row r="643" spans="1:20" ht="7.5" customHeight="1">
      <c r="A643" s="70"/>
      <c r="B643" s="314"/>
      <c r="C643" s="299"/>
      <c r="D643" s="299"/>
      <c r="E643" s="299"/>
      <c r="F643" s="296"/>
      <c r="G643" s="296"/>
      <c r="H643" s="111"/>
      <c r="I643" s="296"/>
      <c r="J643" s="111"/>
      <c r="K643" s="296"/>
      <c r="L643" s="111"/>
      <c r="M643" s="296"/>
      <c r="N643" s="111"/>
      <c r="O643" s="296"/>
      <c r="P643" s="111"/>
      <c r="Q643" s="296"/>
      <c r="R643" s="299"/>
      <c r="S643" s="299"/>
      <c r="T643" s="72"/>
    </row>
    <row r="644" spans="1:20" ht="7.5" customHeight="1">
      <c r="A644" s="70"/>
      <c r="B644" s="314"/>
      <c r="C644" s="299"/>
      <c r="D644" s="108"/>
      <c r="E644" s="299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5"/>
      <c r="S644" s="299"/>
      <c r="T644" s="72"/>
    </row>
    <row r="645" spans="1:20" ht="7.5" customHeight="1">
      <c r="A645" s="70"/>
      <c r="B645" s="314"/>
      <c r="C645" s="299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04"/>
      <c r="S645" s="104"/>
      <c r="T645" s="72"/>
    </row>
    <row r="646" spans="1:20" ht="7.5" customHeight="1">
      <c r="A646" s="70"/>
      <c r="B646" s="314"/>
      <c r="C646" s="334" t="s">
        <v>147</v>
      </c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2"/>
      <c r="S646" s="146"/>
      <c r="T646" s="72"/>
    </row>
    <row r="647" spans="1:20" ht="7.5" customHeight="1">
      <c r="A647" s="70"/>
      <c r="B647" s="314"/>
      <c r="C647" s="299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148"/>
      <c r="S647" s="149"/>
      <c r="T647" s="72"/>
    </row>
    <row r="648" spans="1:20" ht="7.5" customHeight="1">
      <c r="A648" s="70"/>
      <c r="B648" s="342"/>
      <c r="C648" s="311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154"/>
      <c r="S648" s="155"/>
      <c r="T648" s="72"/>
    </row>
    <row r="649" spans="1:20" ht="7.5" customHeight="1">
      <c r="A649" s="70"/>
      <c r="B649" s="333" t="s">
        <v>13</v>
      </c>
      <c r="C649" s="332" t="s">
        <v>154</v>
      </c>
      <c r="D649" s="81"/>
      <c r="E649" s="81"/>
      <c r="F649" s="81"/>
      <c r="G649" s="81"/>
      <c r="H649" s="81"/>
      <c r="I649" s="100"/>
      <c r="J649" s="81"/>
      <c r="K649" s="100"/>
      <c r="L649" s="81"/>
      <c r="M649" s="100"/>
      <c r="N649" s="81"/>
      <c r="O649" s="100"/>
      <c r="P649" s="81"/>
      <c r="Q649" s="81"/>
      <c r="R649" s="298" t="s">
        <v>15</v>
      </c>
      <c r="S649" s="325" t="s">
        <v>155</v>
      </c>
      <c r="T649" s="72"/>
    </row>
    <row r="650" spans="1:20" ht="7.5" customHeight="1">
      <c r="A650" s="70"/>
      <c r="B650" s="299"/>
      <c r="C650" s="299"/>
      <c r="D650" s="81"/>
      <c r="E650" s="81"/>
      <c r="F650" s="81"/>
      <c r="G650" s="81"/>
      <c r="H650" s="81"/>
      <c r="I650" s="307" t="s">
        <v>35</v>
      </c>
      <c r="J650" s="81"/>
      <c r="K650" s="307" t="s">
        <v>36</v>
      </c>
      <c r="L650" s="81"/>
      <c r="M650" s="307" t="s">
        <v>19</v>
      </c>
      <c r="N650" s="81"/>
      <c r="O650" s="307" t="s">
        <v>20</v>
      </c>
      <c r="P650" s="81"/>
      <c r="Q650" s="81"/>
      <c r="R650" s="299"/>
      <c r="S650" s="299"/>
      <c r="T650" s="72"/>
    </row>
    <row r="651" spans="1:20" ht="7.5" customHeight="1">
      <c r="A651" s="70"/>
      <c r="B651" s="299"/>
      <c r="C651" s="299"/>
      <c r="D651" s="81"/>
      <c r="E651" s="81"/>
      <c r="F651" s="81"/>
      <c r="G651" s="81"/>
      <c r="H651" s="81"/>
      <c r="I651" s="299"/>
      <c r="J651" s="81"/>
      <c r="K651" s="299"/>
      <c r="L651" s="81"/>
      <c r="M651" s="299"/>
      <c r="N651" s="81"/>
      <c r="O651" s="299"/>
      <c r="P651" s="81"/>
      <c r="Q651" s="81"/>
      <c r="R651" s="85"/>
      <c r="S651" s="299"/>
      <c r="T651" s="72"/>
    </row>
    <row r="652" spans="1:20" ht="7.5" customHeight="1">
      <c r="A652" s="70"/>
      <c r="B652" s="299"/>
      <c r="C652" s="299"/>
      <c r="D652" s="78"/>
      <c r="E652" s="78"/>
      <c r="F652" s="78"/>
      <c r="G652" s="78"/>
      <c r="H652" s="78"/>
      <c r="I652" s="299"/>
      <c r="J652" s="99"/>
      <c r="K652" s="299"/>
      <c r="L652" s="79"/>
      <c r="M652" s="299"/>
      <c r="N652" s="99"/>
      <c r="O652" s="299"/>
      <c r="P652" s="78"/>
      <c r="Q652" s="78"/>
      <c r="R652" s="80"/>
      <c r="S652" s="299"/>
      <c r="T652" s="72"/>
    </row>
    <row r="653" spans="1:20" ht="7.5" customHeight="1">
      <c r="A653" s="70"/>
      <c r="B653" s="299"/>
      <c r="C653" s="299"/>
      <c r="D653" s="78"/>
      <c r="E653" s="78"/>
      <c r="F653" s="78"/>
      <c r="G653" s="78"/>
      <c r="H653" s="78"/>
      <c r="I653" s="299"/>
      <c r="J653" s="99"/>
      <c r="K653" s="299"/>
      <c r="L653" s="79"/>
      <c r="M653" s="299"/>
      <c r="N653" s="99"/>
      <c r="O653" s="299"/>
      <c r="P653" s="78"/>
      <c r="Q653" s="78"/>
      <c r="R653" s="82"/>
      <c r="S653" s="299"/>
      <c r="T653" s="72"/>
    </row>
    <row r="654" spans="1:20" ht="7.5" customHeight="1">
      <c r="A654" s="70"/>
      <c r="B654" s="299"/>
      <c r="C654" s="299"/>
      <c r="D654" s="78"/>
      <c r="E654" s="78"/>
      <c r="F654" s="78"/>
      <c r="G654" s="78"/>
      <c r="H654" s="78"/>
      <c r="I654" s="296"/>
      <c r="J654" s="99"/>
      <c r="K654" s="296"/>
      <c r="L654" s="81"/>
      <c r="M654" s="296"/>
      <c r="N654" s="99"/>
      <c r="O654" s="296"/>
      <c r="P654" s="78"/>
      <c r="Q654" s="78"/>
      <c r="R654" s="80"/>
      <c r="S654" s="299"/>
      <c r="T654" s="72"/>
    </row>
    <row r="655" spans="1:20" ht="7.5" customHeight="1">
      <c r="A655" s="70"/>
      <c r="B655" s="299"/>
      <c r="C655" s="299"/>
      <c r="D655" s="327" t="s">
        <v>156</v>
      </c>
      <c r="E655" s="307" t="s">
        <v>22</v>
      </c>
      <c r="F655" s="83"/>
      <c r="G655" s="295" t="s">
        <v>22</v>
      </c>
      <c r="H655" s="83"/>
      <c r="I655" s="295">
        <f>ROUND(K655*1.1,0)</f>
        <v>10732</v>
      </c>
      <c r="J655" s="312">
        <v>2284.7800949999992</v>
      </c>
      <c r="K655" s="295">
        <f>ROUND(J655*mark_up,0)</f>
        <v>9756</v>
      </c>
      <c r="L655" s="83"/>
      <c r="M655" s="295">
        <f>ROUND((I655-K655)+O655,0)</f>
        <v>15610</v>
      </c>
      <c r="N655" s="83"/>
      <c r="O655" s="295">
        <f>ROUND(K655*1.5,0)</f>
        <v>14634</v>
      </c>
      <c r="P655" s="83"/>
      <c r="Q655" s="295" t="s">
        <v>22</v>
      </c>
      <c r="R655" s="82"/>
      <c r="S655" s="299"/>
      <c r="T655" s="72"/>
    </row>
    <row r="656" spans="1:20" ht="7.5" customHeight="1">
      <c r="A656" s="70"/>
      <c r="B656" s="299"/>
      <c r="C656" s="299"/>
      <c r="D656" s="299"/>
      <c r="E656" s="299"/>
      <c r="F656" s="84"/>
      <c r="G656" s="296"/>
      <c r="H656" s="84"/>
      <c r="I656" s="296"/>
      <c r="J656" s="296"/>
      <c r="K656" s="296"/>
      <c r="L656" s="84"/>
      <c r="M656" s="296"/>
      <c r="N656" s="84"/>
      <c r="O656" s="296"/>
      <c r="P656" s="84"/>
      <c r="Q656" s="296"/>
      <c r="R656" s="82"/>
      <c r="S656" s="299"/>
      <c r="T656" s="72"/>
    </row>
    <row r="657" spans="1:20" ht="7.5" customHeight="1">
      <c r="A657" s="70"/>
      <c r="B657" s="299"/>
      <c r="C657" s="299"/>
      <c r="D657" s="156"/>
      <c r="E657" s="156"/>
      <c r="F657" s="156"/>
      <c r="G657" s="156"/>
      <c r="H657" s="156"/>
      <c r="I657" s="156"/>
      <c r="J657" s="156"/>
      <c r="K657" s="156"/>
      <c r="L657" s="156"/>
      <c r="M657" s="81"/>
      <c r="N657" s="156"/>
      <c r="O657" s="156"/>
      <c r="P657" s="156"/>
      <c r="Q657" s="156"/>
      <c r="R657" s="298" t="s">
        <v>15</v>
      </c>
      <c r="S657" s="325" t="s">
        <v>24</v>
      </c>
      <c r="T657" s="72"/>
    </row>
    <row r="658" spans="1:20" ht="7.5" customHeight="1">
      <c r="A658" s="72"/>
      <c r="B658" s="299"/>
      <c r="C658" s="299"/>
      <c r="D658" s="327" t="s">
        <v>157</v>
      </c>
      <c r="E658" s="307" t="s">
        <v>22</v>
      </c>
      <c r="F658" s="295"/>
      <c r="G658" s="295" t="s">
        <v>22</v>
      </c>
      <c r="H658" s="295"/>
      <c r="I658" s="295">
        <f>ROUND(K658*1.1,0)</f>
        <v>12346</v>
      </c>
      <c r="J658" s="297">
        <f t="shared" ref="J658:K658" si="10">ROUND(J655*1.15051903114186,0)</f>
        <v>2629</v>
      </c>
      <c r="K658" s="295">
        <f t="shared" si="10"/>
        <v>11224</v>
      </c>
      <c r="L658" s="295"/>
      <c r="M658" s="295">
        <f>ROUND((I658-K658)+O658,0)</f>
        <v>17958</v>
      </c>
      <c r="N658" s="295"/>
      <c r="O658" s="295">
        <f>ROUND(K658*1.5,0)</f>
        <v>16836</v>
      </c>
      <c r="P658" s="295"/>
      <c r="Q658" s="295" t="s">
        <v>22</v>
      </c>
      <c r="R658" s="299"/>
      <c r="S658" s="299"/>
      <c r="T658" s="147"/>
    </row>
    <row r="659" spans="1:20" ht="7.5" customHeight="1">
      <c r="A659" s="72"/>
      <c r="B659" s="299"/>
      <c r="C659" s="299"/>
      <c r="D659" s="299"/>
      <c r="E659" s="299"/>
      <c r="F659" s="296"/>
      <c r="G659" s="296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82"/>
      <c r="S659" s="299"/>
      <c r="T659" s="147"/>
    </row>
    <row r="660" spans="1:20" ht="7.5" customHeight="1">
      <c r="A660" s="72"/>
      <c r="B660" s="299"/>
      <c r="C660" s="299"/>
      <c r="D660" s="156"/>
      <c r="E660" s="156"/>
      <c r="F660" s="156"/>
      <c r="G660" s="156"/>
      <c r="H660" s="156"/>
      <c r="I660" s="156"/>
      <c r="J660" s="156"/>
      <c r="K660" s="156"/>
      <c r="L660" s="156"/>
      <c r="M660" s="81"/>
      <c r="N660" s="156"/>
      <c r="O660" s="156"/>
      <c r="P660" s="156"/>
      <c r="Q660" s="156"/>
      <c r="R660" s="298" t="s">
        <v>15</v>
      </c>
      <c r="S660" s="326" t="s">
        <v>31</v>
      </c>
      <c r="T660" s="147"/>
    </row>
    <row r="661" spans="1:20" ht="7.5" customHeight="1">
      <c r="A661" s="72"/>
      <c r="B661" s="299"/>
      <c r="C661" s="299"/>
      <c r="D661" s="327" t="s">
        <v>158</v>
      </c>
      <c r="E661" s="307" t="s">
        <v>22</v>
      </c>
      <c r="F661" s="295"/>
      <c r="G661" s="295" t="s">
        <v>22</v>
      </c>
      <c r="H661" s="295"/>
      <c r="I661" s="295">
        <f>ROUND(K661*1.1,0)</f>
        <v>13739</v>
      </c>
      <c r="J661" s="297">
        <f t="shared" ref="J661:K661" si="11">ROUND(J655*1.28027681660899,0)</f>
        <v>2925</v>
      </c>
      <c r="K661" s="295">
        <f t="shared" si="11"/>
        <v>12490</v>
      </c>
      <c r="L661" s="295"/>
      <c r="M661" s="295">
        <f>ROUND((I661-K661)+O661,0)</f>
        <v>19984</v>
      </c>
      <c r="N661" s="295"/>
      <c r="O661" s="295">
        <f>ROUND(K661*1.5,0)</f>
        <v>18735</v>
      </c>
      <c r="P661" s="295"/>
      <c r="Q661" s="295" t="s">
        <v>22</v>
      </c>
      <c r="R661" s="299"/>
      <c r="S661" s="299"/>
      <c r="T661" s="72"/>
    </row>
    <row r="662" spans="1:20" ht="7.5" customHeight="1">
      <c r="A662" s="72"/>
      <c r="B662" s="299"/>
      <c r="C662" s="299"/>
      <c r="D662" s="299"/>
      <c r="E662" s="299"/>
      <c r="F662" s="296"/>
      <c r="G662" s="296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85"/>
      <c r="S662" s="299"/>
      <c r="T662" s="147"/>
    </row>
    <row r="663" spans="1:20" ht="7.5" customHeight="1">
      <c r="A663" s="72"/>
      <c r="B663" s="299"/>
      <c r="C663" s="299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04"/>
      <c r="S663" s="104"/>
      <c r="T663" s="147"/>
    </row>
    <row r="664" spans="1:20" ht="7.5" customHeight="1">
      <c r="A664" s="72"/>
      <c r="B664" s="299"/>
      <c r="C664" s="299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04"/>
      <c r="S664" s="104"/>
      <c r="T664" s="72"/>
    </row>
    <row r="665" spans="1:20" ht="7.5" customHeight="1">
      <c r="A665" s="72"/>
      <c r="B665" s="299"/>
      <c r="C665" s="299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04"/>
      <c r="S665" s="104"/>
      <c r="T665" s="147"/>
    </row>
    <row r="666" spans="1:20" ht="7.5" customHeight="1">
      <c r="A666" s="72"/>
      <c r="B666" s="299"/>
      <c r="C666" s="334" t="s">
        <v>159</v>
      </c>
      <c r="D666" s="81"/>
      <c r="E666" s="309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2"/>
      <c r="S666" s="108"/>
      <c r="T666" s="147"/>
    </row>
    <row r="667" spans="1:20" ht="7.5" customHeight="1">
      <c r="A667" s="72"/>
      <c r="B667" s="299"/>
      <c r="C667" s="299"/>
      <c r="D667" s="81"/>
      <c r="E667" s="299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2"/>
      <c r="S667" s="108"/>
      <c r="T667" s="72"/>
    </row>
    <row r="668" spans="1:20" ht="7.5" customHeight="1">
      <c r="A668" s="70"/>
      <c r="B668" s="311"/>
      <c r="C668" s="31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2"/>
      <c r="S668" s="108"/>
      <c r="T668" s="72"/>
    </row>
    <row r="669" spans="1:20" ht="11.25" customHeight="1">
      <c r="A669" s="70"/>
      <c r="B669" s="300"/>
      <c r="C669" s="301"/>
      <c r="D669" s="301"/>
      <c r="E669" s="301"/>
      <c r="F669" s="301"/>
      <c r="G669" s="301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2" t="s">
        <v>53</v>
      </c>
      <c r="T669" s="72"/>
    </row>
    <row r="670" spans="1:20" ht="11.25" customHeight="1">
      <c r="A670" s="70"/>
      <c r="B670" s="111"/>
      <c r="C670" s="116"/>
      <c r="D670" s="117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7"/>
      <c r="S670" s="296"/>
      <c r="T670" s="72"/>
    </row>
    <row r="671" spans="1:20" ht="11.25" customHeight="1">
      <c r="A671" s="70"/>
      <c r="B671" s="322" t="s">
        <v>160</v>
      </c>
      <c r="C671" s="323"/>
      <c r="D671" s="323"/>
      <c r="E671" s="323"/>
      <c r="F671" s="323"/>
      <c r="G671" s="323"/>
      <c r="H671" s="323"/>
      <c r="I671" s="323"/>
      <c r="J671" s="323"/>
      <c r="K671" s="323"/>
      <c r="L671" s="323"/>
      <c r="M671" s="323"/>
      <c r="N671" s="323"/>
      <c r="O671" s="323"/>
      <c r="P671" s="323"/>
      <c r="Q671" s="323"/>
      <c r="R671" s="323"/>
      <c r="S671" s="323"/>
      <c r="T671" s="72"/>
    </row>
    <row r="672" spans="1:20" ht="61.5" customHeight="1">
      <c r="A672" s="70"/>
      <c r="B672" s="331"/>
      <c r="C672" s="31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310" t="s">
        <v>5</v>
      </c>
      <c r="P672" s="311"/>
      <c r="Q672" s="311"/>
      <c r="R672" s="311"/>
      <c r="S672" s="311"/>
      <c r="T672" s="72"/>
    </row>
    <row r="673" spans="1:20" ht="34.5" customHeight="1">
      <c r="A673" s="70"/>
      <c r="B673" s="74" t="s">
        <v>6</v>
      </c>
      <c r="C673" s="74" t="s">
        <v>7</v>
      </c>
      <c r="D673" s="74" t="s">
        <v>8</v>
      </c>
      <c r="E673" s="74" t="s">
        <v>9</v>
      </c>
      <c r="F673" s="75" t="s">
        <v>10</v>
      </c>
      <c r="G673" s="74" t="s">
        <v>11</v>
      </c>
      <c r="H673" s="75" t="s">
        <v>10</v>
      </c>
      <c r="I673" s="74" t="s">
        <v>11</v>
      </c>
      <c r="J673" s="75" t="s">
        <v>10</v>
      </c>
      <c r="K673" s="74" t="s">
        <v>11</v>
      </c>
      <c r="L673" s="75" t="s">
        <v>10</v>
      </c>
      <c r="M673" s="74" t="s">
        <v>11</v>
      </c>
      <c r="N673" s="75" t="s">
        <v>10</v>
      </c>
      <c r="O673" s="74" t="s">
        <v>11</v>
      </c>
      <c r="P673" s="75" t="s">
        <v>10</v>
      </c>
      <c r="Q673" s="74" t="s">
        <v>11</v>
      </c>
      <c r="R673" s="328" t="s">
        <v>12</v>
      </c>
      <c r="S673" s="329"/>
      <c r="T673" s="76"/>
    </row>
    <row r="674" spans="1:20" ht="7.5" customHeight="1">
      <c r="A674" s="72"/>
      <c r="B674" s="333" t="s">
        <v>13</v>
      </c>
      <c r="C674" s="335" t="s">
        <v>161</v>
      </c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330" t="s">
        <v>15</v>
      </c>
      <c r="S674" s="308" t="s">
        <v>162</v>
      </c>
      <c r="T674" s="72"/>
    </row>
    <row r="675" spans="1:20" ht="7.5" customHeight="1">
      <c r="A675" s="72"/>
      <c r="B675" s="299"/>
      <c r="C675" s="299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299"/>
      <c r="S675" s="299"/>
      <c r="T675" s="72"/>
    </row>
    <row r="676" spans="1:20" ht="7.5" customHeight="1">
      <c r="A676" s="72"/>
      <c r="B676" s="299"/>
      <c r="C676" s="299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298" t="s">
        <v>15</v>
      </c>
      <c r="S676" s="325" t="s">
        <v>163</v>
      </c>
      <c r="T676" s="72"/>
    </row>
    <row r="677" spans="1:20" ht="7.5" customHeight="1">
      <c r="A677" s="72"/>
      <c r="B677" s="299"/>
      <c r="C677" s="299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299"/>
      <c r="S677" s="299"/>
      <c r="T677" s="72"/>
    </row>
    <row r="678" spans="1:20" ht="7.5" customHeight="1">
      <c r="A678" s="72"/>
      <c r="B678" s="299"/>
      <c r="C678" s="299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82"/>
      <c r="S678" s="299"/>
      <c r="T678" s="72"/>
    </row>
    <row r="679" spans="1:20" ht="7.5" customHeight="1">
      <c r="A679" s="72"/>
      <c r="B679" s="299"/>
      <c r="C679" s="299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303" t="s">
        <v>164</v>
      </c>
      <c r="S679" s="299"/>
      <c r="T679" s="72"/>
    </row>
    <row r="680" spans="1:20" ht="7.5" customHeight="1">
      <c r="A680" s="72"/>
      <c r="B680" s="299"/>
      <c r="C680" s="299"/>
      <c r="D680" s="327" t="s">
        <v>165</v>
      </c>
      <c r="E680" s="307" t="s">
        <v>22</v>
      </c>
      <c r="F680" s="83"/>
      <c r="G680" s="295" t="s">
        <v>22</v>
      </c>
      <c r="H680" s="83"/>
      <c r="I680" s="295" t="s">
        <v>22</v>
      </c>
      <c r="J680" s="83"/>
      <c r="K680" s="295" t="s">
        <v>22</v>
      </c>
      <c r="L680" s="312">
        <v>886.68685462499991</v>
      </c>
      <c r="M680" s="295">
        <f>ROUND(L680*mark_up,0)</f>
        <v>3786</v>
      </c>
      <c r="N680" s="83"/>
      <c r="O680" s="295" t="s">
        <v>22</v>
      </c>
      <c r="P680" s="83"/>
      <c r="Q680" s="295" t="s">
        <v>22</v>
      </c>
      <c r="R680" s="299"/>
      <c r="S680" s="299"/>
      <c r="T680" s="72"/>
    </row>
    <row r="681" spans="1:20" ht="7.5" customHeight="1">
      <c r="A681" s="72"/>
      <c r="B681" s="299"/>
      <c r="C681" s="299"/>
      <c r="D681" s="299"/>
      <c r="E681" s="299"/>
      <c r="F681" s="84"/>
      <c r="G681" s="296"/>
      <c r="H681" s="84"/>
      <c r="I681" s="296"/>
      <c r="J681" s="84"/>
      <c r="K681" s="296"/>
      <c r="L681" s="296"/>
      <c r="M681" s="296"/>
      <c r="N681" s="84"/>
      <c r="O681" s="296"/>
      <c r="P681" s="84"/>
      <c r="Q681" s="296"/>
      <c r="R681" s="303" t="s">
        <v>166</v>
      </c>
      <c r="S681" s="299"/>
      <c r="T681" s="72"/>
    </row>
    <row r="682" spans="1:20" ht="7.5" customHeight="1">
      <c r="A682" s="72"/>
      <c r="B682" s="299"/>
      <c r="C682" s="299"/>
      <c r="D682" s="327" t="s">
        <v>167</v>
      </c>
      <c r="E682" s="307" t="s">
        <v>22</v>
      </c>
      <c r="F682" s="295"/>
      <c r="G682" s="295" t="s">
        <v>22</v>
      </c>
      <c r="H682" s="295"/>
      <c r="I682" s="295" t="s">
        <v>22</v>
      </c>
      <c r="J682" s="295"/>
      <c r="K682" s="295" t="s">
        <v>22</v>
      </c>
      <c r="L682" s="297">
        <f t="shared" ref="L682:M682" si="12">ROUND(L680*1.28476821192053,0)</f>
        <v>1139</v>
      </c>
      <c r="M682" s="295">
        <f t="shared" si="12"/>
        <v>4864</v>
      </c>
      <c r="N682" s="295"/>
      <c r="O682" s="295" t="s">
        <v>22</v>
      </c>
      <c r="P682" s="295"/>
      <c r="Q682" s="295" t="s">
        <v>22</v>
      </c>
      <c r="R682" s="299"/>
      <c r="S682" s="299"/>
      <c r="T682" s="72"/>
    </row>
    <row r="683" spans="1:20" ht="7.5" customHeight="1">
      <c r="A683" s="72"/>
      <c r="B683" s="299"/>
      <c r="C683" s="299"/>
      <c r="D683" s="299"/>
      <c r="E683" s="299"/>
      <c r="F683" s="296"/>
      <c r="G683" s="296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303" t="s">
        <v>168</v>
      </c>
      <c r="S683" s="299"/>
      <c r="T683" s="72"/>
    </row>
    <row r="684" spans="1:20" ht="7.5" customHeight="1">
      <c r="A684" s="72"/>
      <c r="B684" s="299"/>
      <c r="C684" s="299"/>
      <c r="D684" s="327" t="s">
        <v>169</v>
      </c>
      <c r="E684" s="307" t="s">
        <v>22</v>
      </c>
      <c r="F684" s="295"/>
      <c r="G684" s="295" t="s">
        <v>22</v>
      </c>
      <c r="H684" s="295"/>
      <c r="I684" s="295" t="s">
        <v>22</v>
      </c>
      <c r="J684" s="295"/>
      <c r="K684" s="295" t="s">
        <v>22</v>
      </c>
      <c r="L684" s="297">
        <f t="shared" ref="L684:M684" si="13">ROUND(L680*1.42825607064017,0)</f>
        <v>1266</v>
      </c>
      <c r="M684" s="295">
        <f t="shared" si="13"/>
        <v>5407</v>
      </c>
      <c r="N684" s="295"/>
      <c r="O684" s="295" t="s">
        <v>22</v>
      </c>
      <c r="P684" s="295"/>
      <c r="Q684" s="295" t="s">
        <v>22</v>
      </c>
      <c r="R684" s="299"/>
      <c r="S684" s="299"/>
      <c r="T684" s="72"/>
    </row>
    <row r="685" spans="1:20" ht="7.5" customHeight="1">
      <c r="A685" s="72"/>
      <c r="B685" s="299"/>
      <c r="C685" s="299"/>
      <c r="D685" s="299"/>
      <c r="E685" s="299"/>
      <c r="F685" s="296"/>
      <c r="G685" s="296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8" t="s">
        <v>15</v>
      </c>
      <c r="S685" s="304" t="s">
        <v>170</v>
      </c>
      <c r="T685" s="72"/>
    </row>
    <row r="686" spans="1:20" ht="7.5" customHeight="1">
      <c r="A686" s="72"/>
      <c r="B686" s="299"/>
      <c r="C686" s="299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299"/>
      <c r="S686" s="299"/>
      <c r="T686" s="72"/>
    </row>
    <row r="687" spans="1:20" ht="7.5" customHeight="1">
      <c r="A687" s="72"/>
      <c r="B687" s="299"/>
      <c r="C687" s="299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158"/>
      <c r="S687" s="299"/>
      <c r="T687" s="72"/>
    </row>
    <row r="688" spans="1:20" ht="7.5" customHeight="1">
      <c r="A688" s="72"/>
      <c r="B688" s="299"/>
      <c r="C688" s="299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2"/>
      <c r="S688" s="108"/>
      <c r="T688" s="72"/>
    </row>
    <row r="689" spans="1:20" ht="7.5" customHeight="1">
      <c r="A689" s="72"/>
      <c r="B689" s="299"/>
      <c r="C689" s="299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2"/>
      <c r="S689" s="108"/>
      <c r="T689" s="72"/>
    </row>
    <row r="690" spans="1:20" ht="7.5" customHeight="1">
      <c r="A690" s="72"/>
      <c r="B690" s="299"/>
      <c r="C690" s="334" t="s">
        <v>171</v>
      </c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2"/>
      <c r="S690" s="108"/>
      <c r="T690" s="72"/>
    </row>
    <row r="691" spans="1:20" ht="7.5" customHeight="1">
      <c r="A691" s="72"/>
      <c r="B691" s="299"/>
      <c r="C691" s="299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2"/>
      <c r="S691" s="108"/>
      <c r="T691" s="72"/>
    </row>
    <row r="692" spans="1:20" ht="7.5" customHeight="1">
      <c r="A692" s="72"/>
      <c r="B692" s="311"/>
      <c r="C692" s="311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4"/>
      <c r="S692" s="95"/>
      <c r="T692" s="72"/>
    </row>
    <row r="693" spans="1:20" ht="7.5" customHeight="1">
      <c r="A693" s="72"/>
      <c r="B693" s="341" t="s">
        <v>13</v>
      </c>
      <c r="C693" s="335" t="s">
        <v>172</v>
      </c>
      <c r="D693" s="144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298" t="s">
        <v>15</v>
      </c>
      <c r="S693" s="325" t="s">
        <v>173</v>
      </c>
      <c r="T693" s="72"/>
    </row>
    <row r="694" spans="1:20" ht="7.5" customHeight="1">
      <c r="A694" s="72"/>
      <c r="B694" s="314"/>
      <c r="C694" s="299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299"/>
      <c r="S694" s="299"/>
      <c r="T694" s="72"/>
    </row>
    <row r="695" spans="1:20" ht="7.5" customHeight="1">
      <c r="A695" s="72"/>
      <c r="B695" s="314"/>
      <c r="C695" s="299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80"/>
      <c r="S695" s="299"/>
      <c r="T695" s="72"/>
    </row>
    <row r="696" spans="1:20" ht="7.5" customHeight="1">
      <c r="A696" s="72"/>
      <c r="B696" s="314"/>
      <c r="C696" s="299"/>
      <c r="D696" s="108"/>
      <c r="E696" s="81"/>
      <c r="F696" s="81"/>
      <c r="G696" s="81"/>
      <c r="H696" s="81"/>
      <c r="I696" s="307" t="s">
        <v>35</v>
      </c>
      <c r="J696" s="81"/>
      <c r="K696" s="307" t="s">
        <v>36</v>
      </c>
      <c r="L696" s="81"/>
      <c r="M696" s="307" t="s">
        <v>19</v>
      </c>
      <c r="N696" s="81"/>
      <c r="O696" s="307" t="s">
        <v>20</v>
      </c>
      <c r="P696" s="81"/>
      <c r="Q696" s="81"/>
      <c r="R696" s="82"/>
      <c r="S696" s="299"/>
      <c r="T696" s="72"/>
    </row>
    <row r="697" spans="1:20" ht="7.5" customHeight="1">
      <c r="A697" s="72"/>
      <c r="B697" s="314"/>
      <c r="C697" s="299"/>
      <c r="D697" s="81"/>
      <c r="E697" s="81"/>
      <c r="F697" s="99"/>
      <c r="G697" s="100"/>
      <c r="H697" s="78"/>
      <c r="I697" s="299"/>
      <c r="J697" s="99"/>
      <c r="K697" s="299"/>
      <c r="L697" s="79"/>
      <c r="M697" s="299"/>
      <c r="N697" s="99"/>
      <c r="O697" s="299"/>
      <c r="P697" s="99"/>
      <c r="Q697" s="99"/>
      <c r="R697" s="80"/>
      <c r="S697" s="299"/>
      <c r="T697" s="72"/>
    </row>
    <row r="698" spans="1:20" ht="7.5" customHeight="1">
      <c r="A698" s="72"/>
      <c r="B698" s="314"/>
      <c r="C698" s="299"/>
      <c r="D698" s="108"/>
      <c r="E698" s="99"/>
      <c r="F698" s="99"/>
      <c r="G698" s="100"/>
      <c r="H698" s="101"/>
      <c r="I698" s="299"/>
      <c r="J698" s="99"/>
      <c r="K698" s="299"/>
      <c r="L698" s="79"/>
      <c r="M698" s="299"/>
      <c r="N698" s="99"/>
      <c r="O698" s="299"/>
      <c r="P698" s="99"/>
      <c r="Q698" s="99"/>
      <c r="R698" s="85"/>
      <c r="S698" s="299"/>
      <c r="T698" s="72"/>
    </row>
    <row r="699" spans="1:20" ht="7.5" customHeight="1">
      <c r="A699" s="145"/>
      <c r="B699" s="314"/>
      <c r="C699" s="299"/>
      <c r="D699" s="108"/>
      <c r="E699" s="81"/>
      <c r="F699" s="99"/>
      <c r="G699" s="103"/>
      <c r="H699" s="102"/>
      <c r="I699" s="296"/>
      <c r="J699" s="99"/>
      <c r="K699" s="296"/>
      <c r="L699" s="81"/>
      <c r="M699" s="296"/>
      <c r="N699" s="99"/>
      <c r="O699" s="296"/>
      <c r="P699" s="99"/>
      <c r="Q699" s="99"/>
      <c r="R699" s="82"/>
      <c r="S699" s="299"/>
      <c r="T699" s="147"/>
    </row>
    <row r="700" spans="1:20" ht="7.5" customHeight="1">
      <c r="A700" s="145"/>
      <c r="B700" s="314"/>
      <c r="C700" s="299"/>
      <c r="D700" s="327" t="s">
        <v>174</v>
      </c>
      <c r="E700" s="307" t="s">
        <v>22</v>
      </c>
      <c r="F700" s="295"/>
      <c r="G700" s="295" t="s">
        <v>22</v>
      </c>
      <c r="H700" s="295"/>
      <c r="I700" s="295">
        <f>ROUND(K700*1.1,0)</f>
        <v>5315</v>
      </c>
      <c r="J700" s="312">
        <v>1131.7135049999997</v>
      </c>
      <c r="K700" s="295">
        <f>ROUND(J700*mark_up,0)</f>
        <v>4832</v>
      </c>
      <c r="L700" s="295"/>
      <c r="M700" s="295">
        <f>ROUND((I700-K700)+O700,0)</f>
        <v>10147</v>
      </c>
      <c r="N700" s="295"/>
      <c r="O700" s="295">
        <f>ROUND(K700*2,0)</f>
        <v>9664</v>
      </c>
      <c r="P700" s="83"/>
      <c r="Q700" s="295" t="s">
        <v>22</v>
      </c>
      <c r="R700" s="82"/>
      <c r="S700" s="299"/>
      <c r="T700" s="147"/>
    </row>
    <row r="701" spans="1:20" ht="7.5" customHeight="1">
      <c r="A701" s="145"/>
      <c r="B701" s="314"/>
      <c r="C701" s="299"/>
      <c r="D701" s="299"/>
      <c r="E701" s="299"/>
      <c r="F701" s="296"/>
      <c r="G701" s="296"/>
      <c r="H701" s="296"/>
      <c r="I701" s="296"/>
      <c r="J701" s="296"/>
      <c r="K701" s="296"/>
      <c r="L701" s="296"/>
      <c r="M701" s="296"/>
      <c r="N701" s="296"/>
      <c r="O701" s="296"/>
      <c r="P701" s="84"/>
      <c r="Q701" s="296"/>
      <c r="R701" s="298" t="s">
        <v>15</v>
      </c>
      <c r="S701" s="325" t="s">
        <v>175</v>
      </c>
      <c r="T701" s="147"/>
    </row>
    <row r="702" spans="1:20" ht="7.5" customHeight="1">
      <c r="A702" s="70"/>
      <c r="B702" s="314"/>
      <c r="C702" s="299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299"/>
      <c r="S702" s="299"/>
      <c r="T702" s="72"/>
    </row>
    <row r="703" spans="1:20" ht="7.5" customHeight="1">
      <c r="A703" s="70"/>
      <c r="B703" s="314"/>
      <c r="C703" s="299"/>
      <c r="D703" s="81"/>
      <c r="E703" s="99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2"/>
      <c r="S703" s="299"/>
      <c r="T703" s="72"/>
    </row>
    <row r="704" spans="1:20" ht="7.5" customHeight="1">
      <c r="A704" s="70"/>
      <c r="B704" s="314"/>
      <c r="C704" s="334" t="s">
        <v>176</v>
      </c>
      <c r="D704" s="108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298" t="s">
        <v>15</v>
      </c>
      <c r="S704" s="304" t="s">
        <v>24</v>
      </c>
      <c r="T704" s="72"/>
    </row>
    <row r="705" spans="1:20" ht="7.5" customHeight="1">
      <c r="A705" s="70"/>
      <c r="B705" s="314"/>
      <c r="C705" s="299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299"/>
      <c r="S705" s="299"/>
      <c r="T705" s="72"/>
    </row>
    <row r="706" spans="1:20" ht="7.5" customHeight="1">
      <c r="A706" s="70"/>
      <c r="B706" s="314"/>
      <c r="C706" s="296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82"/>
      <c r="S706" s="299"/>
      <c r="T706" s="72"/>
    </row>
    <row r="707" spans="1:20" ht="7.5" customHeight="1">
      <c r="A707" s="70"/>
      <c r="B707" s="314"/>
      <c r="C707" s="337" t="s">
        <v>177</v>
      </c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298" t="s">
        <v>15</v>
      </c>
      <c r="S707" s="325" t="s">
        <v>61</v>
      </c>
      <c r="T707" s="72"/>
    </row>
    <row r="708" spans="1:20" ht="7.5" customHeight="1">
      <c r="A708" s="70"/>
      <c r="B708" s="314"/>
      <c r="C708" s="299"/>
      <c r="D708" s="81"/>
      <c r="E708" s="81"/>
      <c r="F708" s="99"/>
      <c r="G708" s="307" t="s">
        <v>42</v>
      </c>
      <c r="H708" s="78"/>
      <c r="I708" s="307" t="s">
        <v>43</v>
      </c>
      <c r="J708" s="99"/>
      <c r="K708" s="307" t="s">
        <v>44</v>
      </c>
      <c r="L708" s="99"/>
      <c r="M708" s="307" t="s">
        <v>45</v>
      </c>
      <c r="N708" s="81"/>
      <c r="O708" s="307" t="s">
        <v>46</v>
      </c>
      <c r="P708" s="81"/>
      <c r="Q708" s="81"/>
      <c r="R708" s="299"/>
      <c r="S708" s="299"/>
      <c r="T708" s="147"/>
    </row>
    <row r="709" spans="1:20" ht="7.5" customHeight="1">
      <c r="A709" s="145"/>
      <c r="B709" s="314"/>
      <c r="C709" s="299"/>
      <c r="D709" s="81"/>
      <c r="E709" s="81"/>
      <c r="F709" s="99"/>
      <c r="G709" s="299"/>
      <c r="H709" s="101"/>
      <c r="I709" s="299"/>
      <c r="J709" s="99"/>
      <c r="K709" s="299"/>
      <c r="L709" s="99"/>
      <c r="M709" s="299"/>
      <c r="N709" s="81"/>
      <c r="O709" s="299"/>
      <c r="P709" s="81"/>
      <c r="Q709" s="81"/>
      <c r="R709" s="82"/>
      <c r="S709" s="299"/>
      <c r="T709" s="147"/>
    </row>
    <row r="710" spans="1:20" ht="7.5" customHeight="1">
      <c r="A710" s="70"/>
      <c r="B710" s="314"/>
      <c r="C710" s="299"/>
      <c r="D710" s="81"/>
      <c r="E710" s="307" t="s">
        <v>47</v>
      </c>
      <c r="F710" s="99"/>
      <c r="G710" s="296"/>
      <c r="H710" s="102"/>
      <c r="I710" s="296"/>
      <c r="J710" s="99"/>
      <c r="K710" s="296"/>
      <c r="L710" s="99"/>
      <c r="M710" s="296"/>
      <c r="N710" s="81"/>
      <c r="O710" s="296"/>
      <c r="P710" s="81"/>
      <c r="Q710" s="81"/>
      <c r="R710" s="82"/>
      <c r="S710" s="299"/>
      <c r="T710" s="72"/>
    </row>
    <row r="711" spans="1:20" ht="7.5" customHeight="1">
      <c r="A711" s="70"/>
      <c r="B711" s="314"/>
      <c r="C711" s="299"/>
      <c r="D711" s="156"/>
      <c r="E711" s="299"/>
      <c r="F711" s="312">
        <v>1068.7219042499996</v>
      </c>
      <c r="G711" s="295">
        <f>ROUND(F711*mark_up,0)</f>
        <v>4563</v>
      </c>
      <c r="H711" s="106"/>
      <c r="I711" s="295">
        <f>ROUND(G711*1.03846153846153,0)</f>
        <v>4738</v>
      </c>
      <c r="J711" s="106"/>
      <c r="K711" s="295">
        <f>ROUND(G711*1.3076923076923,0)</f>
        <v>5967</v>
      </c>
      <c r="L711" s="106"/>
      <c r="M711" s="295">
        <f>ROUND(G711*1.83699,0)</f>
        <v>8382</v>
      </c>
      <c r="N711" s="106"/>
      <c r="O711" s="295">
        <f>ROUND(G711*2.81135,0)</f>
        <v>12828</v>
      </c>
      <c r="P711" s="83"/>
      <c r="Q711" s="295" t="s">
        <v>22</v>
      </c>
      <c r="R711" s="82"/>
      <c r="S711" s="299"/>
      <c r="T711" s="72"/>
    </row>
    <row r="712" spans="1:20" ht="7.5" customHeight="1">
      <c r="A712" s="70"/>
      <c r="B712" s="314"/>
      <c r="C712" s="299"/>
      <c r="D712" s="327" t="s">
        <v>174</v>
      </c>
      <c r="E712" s="299"/>
      <c r="F712" s="296"/>
      <c r="G712" s="296"/>
      <c r="H712" s="107"/>
      <c r="I712" s="296"/>
      <c r="J712" s="107"/>
      <c r="K712" s="296"/>
      <c r="L712" s="107"/>
      <c r="M712" s="296"/>
      <c r="N712" s="107"/>
      <c r="O712" s="296"/>
      <c r="P712" s="84"/>
      <c r="Q712" s="296"/>
      <c r="R712" s="298" t="s">
        <v>15</v>
      </c>
      <c r="S712" s="326" t="s">
        <v>31</v>
      </c>
      <c r="T712" s="72"/>
    </row>
    <row r="713" spans="1:20" ht="7.5" customHeight="1">
      <c r="A713" s="70"/>
      <c r="B713" s="314"/>
      <c r="C713" s="299"/>
      <c r="D713" s="299"/>
      <c r="E713" s="299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299"/>
      <c r="S713" s="299"/>
      <c r="T713" s="72"/>
    </row>
    <row r="714" spans="1:20" ht="7.5" customHeight="1">
      <c r="A714" s="70"/>
      <c r="B714" s="314"/>
      <c r="C714" s="299"/>
      <c r="D714" s="299"/>
      <c r="E714" s="81"/>
      <c r="F714" s="81"/>
      <c r="G714" s="307" t="s">
        <v>48</v>
      </c>
      <c r="H714" s="81"/>
      <c r="I714" s="307" t="s">
        <v>49</v>
      </c>
      <c r="J714" s="81"/>
      <c r="K714" s="307" t="s">
        <v>50</v>
      </c>
      <c r="L714" s="81"/>
      <c r="M714" s="81"/>
      <c r="N714" s="81"/>
      <c r="O714" s="81"/>
      <c r="P714" s="81"/>
      <c r="Q714" s="81"/>
      <c r="R714" s="85"/>
      <c r="S714" s="299"/>
      <c r="T714" s="72"/>
    </row>
    <row r="715" spans="1:20" ht="7.5" customHeight="1">
      <c r="A715" s="70"/>
      <c r="B715" s="314"/>
      <c r="C715" s="299"/>
      <c r="D715" s="299"/>
      <c r="E715" s="81"/>
      <c r="F715" s="81"/>
      <c r="G715" s="299"/>
      <c r="H715" s="81"/>
      <c r="I715" s="299"/>
      <c r="J715" s="81"/>
      <c r="K715" s="299"/>
      <c r="L715" s="81"/>
      <c r="M715" s="81"/>
      <c r="N715" s="81"/>
      <c r="O715" s="81"/>
      <c r="P715" s="81"/>
      <c r="Q715" s="81"/>
      <c r="R715" s="104"/>
      <c r="S715" s="104"/>
      <c r="T715" s="72"/>
    </row>
    <row r="716" spans="1:20" ht="7.5" customHeight="1">
      <c r="A716" s="70"/>
      <c r="B716" s="314"/>
      <c r="C716" s="299"/>
      <c r="D716" s="299"/>
      <c r="E716" s="307" t="s">
        <v>51</v>
      </c>
      <c r="F716" s="81"/>
      <c r="G716" s="299"/>
      <c r="H716" s="81"/>
      <c r="I716" s="299"/>
      <c r="J716" s="81"/>
      <c r="K716" s="299"/>
      <c r="L716" s="81"/>
      <c r="M716" s="81"/>
      <c r="N716" s="81"/>
      <c r="O716" s="81"/>
      <c r="P716" s="81"/>
      <c r="Q716" s="81"/>
      <c r="R716" s="104"/>
      <c r="S716" s="104"/>
      <c r="T716" s="72"/>
    </row>
    <row r="717" spans="1:20" ht="7.5" customHeight="1">
      <c r="A717" s="72"/>
      <c r="B717" s="314"/>
      <c r="C717" s="299"/>
      <c r="D717" s="299"/>
      <c r="E717" s="299"/>
      <c r="F717" s="312">
        <v>1215.5243636249995</v>
      </c>
      <c r="G717" s="295">
        <f>ROUND(F717*mark_up,0)</f>
        <v>5190</v>
      </c>
      <c r="H717" s="106"/>
      <c r="I717" s="295">
        <f>ROUND(G717*1.1578,0)</f>
        <v>6009</v>
      </c>
      <c r="J717" s="106"/>
      <c r="K717" s="295">
        <f>ROUND(G717*1.25925,0)</f>
        <v>6536</v>
      </c>
      <c r="L717" s="106"/>
      <c r="M717" s="295" t="s">
        <v>22</v>
      </c>
      <c r="N717" s="106"/>
      <c r="O717" s="295" t="s">
        <v>22</v>
      </c>
      <c r="P717" s="106"/>
      <c r="Q717" s="295" t="s">
        <v>22</v>
      </c>
      <c r="R717" s="85"/>
      <c r="S717" s="159"/>
      <c r="T717" s="72"/>
    </row>
    <row r="718" spans="1:20" ht="7.5" customHeight="1">
      <c r="A718" s="72"/>
      <c r="B718" s="314"/>
      <c r="C718" s="299"/>
      <c r="D718" s="299"/>
      <c r="E718" s="299"/>
      <c r="F718" s="296"/>
      <c r="G718" s="296"/>
      <c r="H718" s="107"/>
      <c r="I718" s="296"/>
      <c r="J718" s="107"/>
      <c r="K718" s="296"/>
      <c r="L718" s="107"/>
      <c r="M718" s="296"/>
      <c r="N718" s="107"/>
      <c r="O718" s="296"/>
      <c r="P718" s="107"/>
      <c r="Q718" s="296"/>
      <c r="R718" s="82"/>
      <c r="S718" s="108"/>
      <c r="T718" s="72"/>
    </row>
    <row r="719" spans="1:20" ht="7.5" customHeight="1">
      <c r="A719" s="72"/>
      <c r="B719" s="314"/>
      <c r="C719" s="299"/>
      <c r="D719" s="299"/>
      <c r="E719" s="299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82"/>
      <c r="S719" s="108"/>
      <c r="T719" s="72"/>
    </row>
    <row r="720" spans="1:20" ht="7.5" customHeight="1">
      <c r="A720" s="72"/>
      <c r="B720" s="314"/>
      <c r="C720" s="334" t="s">
        <v>178</v>
      </c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2"/>
      <c r="S720" s="108"/>
      <c r="T720" s="72"/>
    </row>
    <row r="721" spans="1:20" ht="7.5" customHeight="1">
      <c r="A721" s="72"/>
      <c r="B721" s="314"/>
      <c r="C721" s="299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2"/>
      <c r="S721" s="108"/>
      <c r="T721" s="72"/>
    </row>
    <row r="722" spans="1:20" ht="7.5" customHeight="1">
      <c r="A722" s="72"/>
      <c r="B722" s="314"/>
      <c r="C722" s="296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82"/>
      <c r="S722" s="108"/>
      <c r="T722" s="72"/>
    </row>
    <row r="723" spans="1:20" ht="7.5" customHeight="1">
      <c r="A723" s="72"/>
      <c r="B723" s="314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2"/>
      <c r="S723" s="108"/>
      <c r="T723" s="72"/>
    </row>
    <row r="724" spans="1:20" ht="7.5" customHeight="1">
      <c r="A724" s="72"/>
      <c r="B724" s="314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2"/>
      <c r="S724" s="108"/>
      <c r="T724" s="72"/>
    </row>
    <row r="725" spans="1:20" ht="7.5" customHeight="1">
      <c r="A725" s="72"/>
      <c r="B725" s="314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2"/>
      <c r="S725" s="108"/>
      <c r="T725" s="72"/>
    </row>
    <row r="726" spans="1:20" ht="7.5" customHeight="1">
      <c r="A726" s="72"/>
      <c r="B726" s="314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2"/>
      <c r="S726" s="108"/>
      <c r="T726" s="72"/>
    </row>
    <row r="727" spans="1:20" ht="7.5" customHeight="1">
      <c r="A727" s="72"/>
      <c r="B727" s="314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2"/>
      <c r="S727" s="108"/>
      <c r="T727" s="72"/>
    </row>
    <row r="728" spans="1:20" ht="7.5" customHeight="1">
      <c r="A728" s="72"/>
      <c r="B728" s="314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2"/>
      <c r="S728" s="108"/>
      <c r="T728" s="72"/>
    </row>
    <row r="729" spans="1:20" ht="7.5" customHeight="1">
      <c r="A729" s="72"/>
      <c r="B729" s="342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2"/>
      <c r="S729" s="108"/>
      <c r="T729" s="72"/>
    </row>
    <row r="730" spans="1:20" ht="11.25" customHeight="1">
      <c r="A730" s="70"/>
      <c r="B730" s="300"/>
      <c r="C730" s="301"/>
      <c r="D730" s="301"/>
      <c r="E730" s="301"/>
      <c r="F730" s="301"/>
      <c r="G730" s="301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2" t="s">
        <v>53</v>
      </c>
      <c r="T730" s="72"/>
    </row>
    <row r="731" spans="1:20" ht="11.25" customHeight="1">
      <c r="A731" s="70"/>
      <c r="B731" s="111"/>
      <c r="C731" s="116"/>
      <c r="D731" s="117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7"/>
      <c r="S731" s="296"/>
      <c r="T731" s="72"/>
    </row>
    <row r="732" spans="1:20" ht="11.25" customHeight="1">
      <c r="A732" s="70"/>
      <c r="B732" s="322" t="s">
        <v>179</v>
      </c>
      <c r="C732" s="323"/>
      <c r="D732" s="323"/>
      <c r="E732" s="323"/>
      <c r="F732" s="323"/>
      <c r="G732" s="323"/>
      <c r="H732" s="323"/>
      <c r="I732" s="323"/>
      <c r="J732" s="323"/>
      <c r="K732" s="323"/>
      <c r="L732" s="323"/>
      <c r="M732" s="323"/>
      <c r="N732" s="323"/>
      <c r="O732" s="323"/>
      <c r="P732" s="323"/>
      <c r="Q732" s="323"/>
      <c r="R732" s="323"/>
      <c r="S732" s="323"/>
      <c r="T732" s="72"/>
    </row>
    <row r="733" spans="1:20" ht="61.5" customHeight="1">
      <c r="A733" s="70"/>
      <c r="B733" s="331"/>
      <c r="C733" s="31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310" t="s">
        <v>5</v>
      </c>
      <c r="P733" s="311"/>
      <c r="Q733" s="311"/>
      <c r="R733" s="311"/>
      <c r="S733" s="311"/>
      <c r="T733" s="72"/>
    </row>
    <row r="734" spans="1:20" ht="34.5" customHeight="1">
      <c r="A734" s="70"/>
      <c r="B734" s="74" t="s">
        <v>6</v>
      </c>
      <c r="C734" s="74" t="s">
        <v>7</v>
      </c>
      <c r="D734" s="74" t="s">
        <v>8</v>
      </c>
      <c r="E734" s="74" t="s">
        <v>9</v>
      </c>
      <c r="F734" s="75" t="s">
        <v>10</v>
      </c>
      <c r="G734" s="74" t="s">
        <v>11</v>
      </c>
      <c r="H734" s="75" t="s">
        <v>10</v>
      </c>
      <c r="I734" s="74" t="s">
        <v>11</v>
      </c>
      <c r="J734" s="75" t="s">
        <v>10</v>
      </c>
      <c r="K734" s="74" t="s">
        <v>11</v>
      </c>
      <c r="L734" s="75" t="s">
        <v>10</v>
      </c>
      <c r="M734" s="74" t="s">
        <v>11</v>
      </c>
      <c r="N734" s="75" t="s">
        <v>10</v>
      </c>
      <c r="O734" s="74" t="s">
        <v>11</v>
      </c>
      <c r="P734" s="75" t="s">
        <v>10</v>
      </c>
      <c r="Q734" s="74" t="s">
        <v>11</v>
      </c>
      <c r="R734" s="160"/>
      <c r="S734" s="74" t="s">
        <v>12</v>
      </c>
      <c r="T734" s="76"/>
    </row>
    <row r="735" spans="1:20" ht="7.5" customHeight="1">
      <c r="A735" s="70"/>
      <c r="B735" s="341" t="s">
        <v>13</v>
      </c>
      <c r="C735" s="340" t="s">
        <v>180</v>
      </c>
      <c r="D735" s="161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324" t="s">
        <v>15</v>
      </c>
      <c r="S735" s="316" t="s">
        <v>173</v>
      </c>
      <c r="T735" s="72"/>
    </row>
    <row r="736" spans="1:20" ht="7.5" customHeight="1">
      <c r="A736" s="70"/>
      <c r="B736" s="314"/>
      <c r="C736" s="3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314"/>
      <c r="S736" s="314"/>
      <c r="T736" s="72"/>
    </row>
    <row r="737" spans="1:20" ht="7.5" customHeight="1">
      <c r="A737" s="70"/>
      <c r="B737" s="314"/>
      <c r="C737" s="314"/>
      <c r="D737" s="149"/>
      <c r="E737" s="114"/>
      <c r="F737" s="114"/>
      <c r="G737" s="114"/>
      <c r="H737" s="114"/>
      <c r="I737" s="317" t="s">
        <v>35</v>
      </c>
      <c r="J737" s="114"/>
      <c r="K737" s="317" t="s">
        <v>36</v>
      </c>
      <c r="L737" s="114"/>
      <c r="M737" s="317" t="s">
        <v>19</v>
      </c>
      <c r="N737" s="114"/>
      <c r="O737" s="317" t="s">
        <v>20</v>
      </c>
      <c r="P737" s="114"/>
      <c r="Q737" s="114"/>
      <c r="R737" s="163"/>
      <c r="S737" s="314"/>
      <c r="T737" s="72"/>
    </row>
    <row r="738" spans="1:20" ht="7.5" customHeight="1">
      <c r="A738" s="70"/>
      <c r="B738" s="314"/>
      <c r="C738" s="314"/>
      <c r="D738" s="114"/>
      <c r="E738" s="114"/>
      <c r="F738" s="164"/>
      <c r="G738" s="165"/>
      <c r="H738" s="166"/>
      <c r="I738" s="314"/>
      <c r="J738" s="164"/>
      <c r="K738" s="314"/>
      <c r="L738" s="167"/>
      <c r="M738" s="314"/>
      <c r="N738" s="164"/>
      <c r="O738" s="314"/>
      <c r="P738" s="164"/>
      <c r="Q738" s="164"/>
      <c r="R738" s="148"/>
      <c r="S738" s="314"/>
      <c r="T738" s="72"/>
    </row>
    <row r="739" spans="1:20" ht="7.5" customHeight="1">
      <c r="A739" s="72"/>
      <c r="B739" s="314"/>
      <c r="C739" s="314"/>
      <c r="D739" s="149"/>
      <c r="E739" s="164"/>
      <c r="F739" s="164"/>
      <c r="G739" s="165"/>
      <c r="H739" s="168"/>
      <c r="I739" s="314"/>
      <c r="J739" s="164"/>
      <c r="K739" s="314"/>
      <c r="L739" s="167"/>
      <c r="M739" s="314"/>
      <c r="N739" s="164"/>
      <c r="O739" s="314"/>
      <c r="P739" s="164"/>
      <c r="Q739" s="164"/>
      <c r="R739" s="163"/>
      <c r="S739" s="314"/>
      <c r="T739" s="72"/>
    </row>
    <row r="740" spans="1:20" ht="7.5" customHeight="1">
      <c r="A740" s="72"/>
      <c r="B740" s="314"/>
      <c r="C740" s="314"/>
      <c r="D740" s="149"/>
      <c r="E740" s="114"/>
      <c r="F740" s="164"/>
      <c r="G740" s="169"/>
      <c r="H740" s="170"/>
      <c r="I740" s="306"/>
      <c r="J740" s="164"/>
      <c r="K740" s="306"/>
      <c r="L740" s="114"/>
      <c r="M740" s="306"/>
      <c r="N740" s="164"/>
      <c r="O740" s="306"/>
      <c r="P740" s="164"/>
      <c r="Q740" s="164"/>
      <c r="R740" s="171"/>
      <c r="S740" s="314"/>
      <c r="T740" s="72"/>
    </row>
    <row r="741" spans="1:20" ht="7.5" customHeight="1">
      <c r="A741" s="72"/>
      <c r="B741" s="314"/>
      <c r="C741" s="314"/>
      <c r="D741" s="313" t="s">
        <v>181</v>
      </c>
      <c r="E741" s="317" t="s">
        <v>22</v>
      </c>
      <c r="F741" s="305"/>
      <c r="G741" s="305" t="s">
        <v>22</v>
      </c>
      <c r="H741" s="305"/>
      <c r="I741" s="305">
        <f>ROUND(K741*1.1,0)</f>
        <v>6653</v>
      </c>
      <c r="J741" s="315">
        <v>1416.4213049999996</v>
      </c>
      <c r="K741" s="305">
        <f>ROUND(J741*mark_up,0)</f>
        <v>6048</v>
      </c>
      <c r="L741" s="305"/>
      <c r="M741" s="305">
        <f>ROUND((I741-K741)+O741,0)</f>
        <v>13911</v>
      </c>
      <c r="N741" s="305"/>
      <c r="O741" s="305">
        <f>ROUND(K741*2.2,0)</f>
        <v>13306</v>
      </c>
      <c r="P741" s="172"/>
      <c r="Q741" s="305" t="s">
        <v>22</v>
      </c>
      <c r="R741" s="148"/>
      <c r="S741" s="314"/>
      <c r="T741" s="72"/>
    </row>
    <row r="742" spans="1:20" ht="7.5" customHeight="1">
      <c r="A742" s="72"/>
      <c r="B742" s="314"/>
      <c r="C742" s="314"/>
      <c r="D742" s="314"/>
      <c r="E742" s="314"/>
      <c r="F742" s="306"/>
      <c r="G742" s="306"/>
      <c r="H742" s="306"/>
      <c r="I742" s="306"/>
      <c r="J742" s="306"/>
      <c r="K742" s="306"/>
      <c r="L742" s="306"/>
      <c r="M742" s="306"/>
      <c r="N742" s="306"/>
      <c r="O742" s="306"/>
      <c r="P742" s="173"/>
      <c r="Q742" s="306"/>
      <c r="R742" s="148"/>
      <c r="S742" s="314"/>
      <c r="T742" s="72"/>
    </row>
    <row r="743" spans="1:20" ht="7.5" customHeight="1">
      <c r="A743" s="72"/>
      <c r="B743" s="314"/>
      <c r="C743" s="314"/>
      <c r="D743" s="313" t="s">
        <v>182</v>
      </c>
      <c r="E743" s="317" t="s">
        <v>22</v>
      </c>
      <c r="F743" s="305"/>
      <c r="G743" s="305" t="s">
        <v>22</v>
      </c>
      <c r="H743" s="305"/>
      <c r="I743" s="305">
        <f>ROUND(K743*1.1,0)</f>
        <v>8901</v>
      </c>
      <c r="J743" s="315">
        <v>1895.0862937499996</v>
      </c>
      <c r="K743" s="305">
        <f>ROUND(J743*mark_up,0)</f>
        <v>8092</v>
      </c>
      <c r="L743" s="305"/>
      <c r="M743" s="305">
        <f>ROUND((I743-K743)+O743,0)</f>
        <v>18611</v>
      </c>
      <c r="N743" s="305"/>
      <c r="O743" s="305">
        <f>ROUND(K743*2.2,0)</f>
        <v>17802</v>
      </c>
      <c r="P743" s="172"/>
      <c r="Q743" s="305" t="s">
        <v>22</v>
      </c>
      <c r="R743" s="318" t="s">
        <v>15</v>
      </c>
      <c r="S743" s="319" t="s">
        <v>183</v>
      </c>
      <c r="T743" s="72"/>
    </row>
    <row r="744" spans="1:20" ht="7.5" customHeight="1">
      <c r="A744" s="72"/>
      <c r="B744" s="314"/>
      <c r="C744" s="314"/>
      <c r="D744" s="314"/>
      <c r="E744" s="314"/>
      <c r="F744" s="306"/>
      <c r="G744" s="306"/>
      <c r="H744" s="306"/>
      <c r="I744" s="306"/>
      <c r="J744" s="306"/>
      <c r="K744" s="306"/>
      <c r="L744" s="306"/>
      <c r="M744" s="306"/>
      <c r="N744" s="306"/>
      <c r="O744" s="306"/>
      <c r="P744" s="173"/>
      <c r="Q744" s="306"/>
      <c r="R744" s="314"/>
      <c r="S744" s="314"/>
      <c r="T744" s="72"/>
    </row>
    <row r="745" spans="1:20" ht="7.5" customHeight="1">
      <c r="A745" s="72"/>
      <c r="B745" s="314"/>
      <c r="C745" s="3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318" t="s">
        <v>15</v>
      </c>
      <c r="S745" s="319" t="s">
        <v>184</v>
      </c>
      <c r="T745" s="72"/>
    </row>
    <row r="746" spans="1:20" ht="7.5" customHeight="1">
      <c r="A746" s="72"/>
      <c r="B746" s="314"/>
      <c r="C746" s="3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314"/>
      <c r="S746" s="314"/>
      <c r="T746" s="72"/>
    </row>
    <row r="747" spans="1:20" ht="7.5" customHeight="1">
      <c r="A747" s="72"/>
      <c r="B747" s="314"/>
      <c r="C747" s="339" t="s">
        <v>185</v>
      </c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48"/>
      <c r="S747" s="314"/>
      <c r="T747" s="72"/>
    </row>
    <row r="748" spans="1:20" ht="7.5" customHeight="1">
      <c r="A748" s="72"/>
      <c r="B748" s="314"/>
      <c r="C748" s="3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318" t="s">
        <v>15</v>
      </c>
      <c r="S748" s="321" t="s">
        <v>24</v>
      </c>
      <c r="T748" s="72"/>
    </row>
    <row r="749" spans="1:20" ht="7.5" customHeight="1">
      <c r="A749" s="72"/>
      <c r="B749" s="314"/>
      <c r="C749" s="30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314"/>
      <c r="S749" s="314"/>
      <c r="T749" s="72"/>
    </row>
    <row r="750" spans="1:20" ht="7.5" customHeight="1">
      <c r="A750" s="72"/>
      <c r="B750" s="314"/>
      <c r="C750" s="338" t="s">
        <v>186</v>
      </c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148"/>
      <c r="S750" s="314"/>
      <c r="T750" s="72"/>
    </row>
    <row r="751" spans="1:20" ht="7.5" customHeight="1">
      <c r="A751" s="72"/>
      <c r="B751" s="314"/>
      <c r="C751" s="3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318" t="s">
        <v>15</v>
      </c>
      <c r="S751" s="319" t="s">
        <v>61</v>
      </c>
      <c r="T751" s="72"/>
    </row>
    <row r="752" spans="1:20" ht="7.5" customHeight="1">
      <c r="A752" s="72"/>
      <c r="B752" s="314"/>
      <c r="C752" s="3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314"/>
      <c r="S752" s="314"/>
      <c r="T752" s="72"/>
    </row>
    <row r="753" spans="1:20" ht="7.5" customHeight="1">
      <c r="A753" s="72"/>
      <c r="B753" s="314"/>
      <c r="C753" s="3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48"/>
      <c r="S753" s="314"/>
      <c r="T753" s="72"/>
    </row>
    <row r="754" spans="1:20" ht="7.5" customHeight="1">
      <c r="A754" s="72"/>
      <c r="B754" s="314"/>
      <c r="C754" s="314"/>
      <c r="D754" s="114"/>
      <c r="E754" s="114"/>
      <c r="F754" s="164"/>
      <c r="G754" s="317" t="s">
        <v>42</v>
      </c>
      <c r="H754" s="166"/>
      <c r="I754" s="317" t="s">
        <v>43</v>
      </c>
      <c r="J754" s="164"/>
      <c r="K754" s="317" t="s">
        <v>44</v>
      </c>
      <c r="L754" s="164"/>
      <c r="M754" s="317" t="s">
        <v>45</v>
      </c>
      <c r="N754" s="114"/>
      <c r="O754" s="317" t="s">
        <v>46</v>
      </c>
      <c r="P754" s="114"/>
      <c r="Q754" s="114"/>
      <c r="R754" s="148"/>
      <c r="S754" s="314"/>
      <c r="T754" s="72"/>
    </row>
    <row r="755" spans="1:20" ht="7.5" customHeight="1">
      <c r="A755" s="72"/>
      <c r="B755" s="314"/>
      <c r="C755" s="314"/>
      <c r="D755" s="114"/>
      <c r="E755" s="114"/>
      <c r="F755" s="164"/>
      <c r="G755" s="314"/>
      <c r="H755" s="168"/>
      <c r="I755" s="314"/>
      <c r="J755" s="164"/>
      <c r="K755" s="314"/>
      <c r="L755" s="164"/>
      <c r="M755" s="314"/>
      <c r="N755" s="114"/>
      <c r="O755" s="314"/>
      <c r="P755" s="114"/>
      <c r="Q755" s="114"/>
      <c r="R755" s="148"/>
      <c r="S755" s="314"/>
      <c r="T755" s="72"/>
    </row>
    <row r="756" spans="1:20" ht="7.5" customHeight="1">
      <c r="A756" s="72"/>
      <c r="B756" s="314"/>
      <c r="C756" s="314"/>
      <c r="D756" s="114"/>
      <c r="E756" s="114"/>
      <c r="F756" s="164"/>
      <c r="G756" s="306"/>
      <c r="H756" s="170"/>
      <c r="I756" s="306"/>
      <c r="J756" s="164"/>
      <c r="K756" s="306"/>
      <c r="L756" s="164"/>
      <c r="M756" s="306"/>
      <c r="N756" s="114"/>
      <c r="O756" s="306"/>
      <c r="P756" s="114"/>
      <c r="Q756" s="114"/>
      <c r="R756" s="318" t="s">
        <v>15</v>
      </c>
      <c r="S756" s="320" t="s">
        <v>31</v>
      </c>
      <c r="T756" s="72"/>
    </row>
    <row r="757" spans="1:20" ht="7.5" customHeight="1">
      <c r="A757" s="72"/>
      <c r="B757" s="314"/>
      <c r="C757" s="314"/>
      <c r="D757" s="313" t="s">
        <v>181</v>
      </c>
      <c r="E757" s="317" t="s">
        <v>47</v>
      </c>
      <c r="F757" s="315">
        <v>1164.6328443749999</v>
      </c>
      <c r="G757" s="305">
        <f>ROUND(F757*mark_up,0)</f>
        <v>4973</v>
      </c>
      <c r="H757" s="174"/>
      <c r="I757" s="305">
        <f>ROUND(G757*1.04201,0)</f>
        <v>5182</v>
      </c>
      <c r="J757" s="174"/>
      <c r="K757" s="305">
        <f>ROUND(G757*1.564705,0)</f>
        <v>7781</v>
      </c>
      <c r="L757" s="174"/>
      <c r="M757" s="305">
        <f>ROUND(G757*2.14957,0)</f>
        <v>10690</v>
      </c>
      <c r="N757" s="174"/>
      <c r="O757" s="305">
        <f>ROUND(G757*3.49075,0)</f>
        <v>17359</v>
      </c>
      <c r="P757" s="172"/>
      <c r="Q757" s="305" t="s">
        <v>22</v>
      </c>
      <c r="R757" s="314"/>
      <c r="S757" s="314"/>
      <c r="T757" s="72"/>
    </row>
    <row r="758" spans="1:20" ht="7.5" customHeight="1">
      <c r="A758" s="72"/>
      <c r="B758" s="314"/>
      <c r="C758" s="314"/>
      <c r="D758" s="314"/>
      <c r="E758" s="314"/>
      <c r="F758" s="306"/>
      <c r="G758" s="306"/>
      <c r="H758" s="175"/>
      <c r="I758" s="306"/>
      <c r="J758" s="175"/>
      <c r="K758" s="306"/>
      <c r="L758" s="175"/>
      <c r="M758" s="306"/>
      <c r="N758" s="175"/>
      <c r="O758" s="306"/>
      <c r="P758" s="173"/>
      <c r="Q758" s="306"/>
      <c r="R758" s="171"/>
      <c r="S758" s="314"/>
      <c r="T758" s="72"/>
    </row>
    <row r="759" spans="1:20" ht="7.5" customHeight="1">
      <c r="A759" s="72"/>
      <c r="B759" s="314"/>
      <c r="C759" s="314"/>
      <c r="D759" s="313" t="s">
        <v>182</v>
      </c>
      <c r="E759" s="314"/>
      <c r="F759" s="315">
        <v>1577.6370967499995</v>
      </c>
      <c r="G759" s="305">
        <f>ROUND(F759*mark_up,0)</f>
        <v>6737</v>
      </c>
      <c r="H759" s="174"/>
      <c r="I759" s="305">
        <f>ROUND(G759*1.04218,0)</f>
        <v>7021</v>
      </c>
      <c r="J759" s="174"/>
      <c r="K759" s="305">
        <f>ROUND(G759*1.52853,0)</f>
        <v>10298</v>
      </c>
      <c r="L759" s="174"/>
      <c r="M759" s="305">
        <f>ROUND(G759*2.05459,0)</f>
        <v>13842</v>
      </c>
      <c r="N759" s="174"/>
      <c r="O759" s="305">
        <f>ROUND(G759*3.28784,0)</f>
        <v>22150</v>
      </c>
      <c r="P759" s="172"/>
      <c r="Q759" s="305" t="s">
        <v>22</v>
      </c>
      <c r="R759" s="318" t="s">
        <v>15</v>
      </c>
      <c r="S759" s="319" t="s">
        <v>187</v>
      </c>
      <c r="T759" s="72"/>
    </row>
    <row r="760" spans="1:20" ht="7.5" customHeight="1">
      <c r="A760" s="72"/>
      <c r="B760" s="314"/>
      <c r="C760" s="314"/>
      <c r="D760" s="314"/>
      <c r="E760" s="314"/>
      <c r="F760" s="306"/>
      <c r="G760" s="306"/>
      <c r="H760" s="175"/>
      <c r="I760" s="306"/>
      <c r="J760" s="175"/>
      <c r="K760" s="306"/>
      <c r="L760" s="175"/>
      <c r="M760" s="306"/>
      <c r="N760" s="175"/>
      <c r="O760" s="306"/>
      <c r="P760" s="173"/>
      <c r="Q760" s="306"/>
      <c r="R760" s="314"/>
      <c r="S760" s="314"/>
      <c r="T760" s="72"/>
    </row>
    <row r="761" spans="1:20" ht="7.5" customHeight="1">
      <c r="A761" s="72"/>
      <c r="B761" s="314"/>
      <c r="C761" s="3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71"/>
      <c r="S761" s="314"/>
      <c r="T761" s="72"/>
    </row>
    <row r="762" spans="1:20" ht="7.5" customHeight="1">
      <c r="A762" s="72"/>
      <c r="B762" s="314"/>
      <c r="C762" s="314"/>
      <c r="D762" s="114"/>
      <c r="E762" s="114"/>
      <c r="F762" s="114"/>
      <c r="G762" s="317" t="s">
        <v>48</v>
      </c>
      <c r="H762" s="114"/>
      <c r="I762" s="317" t="s">
        <v>49</v>
      </c>
      <c r="J762" s="164"/>
      <c r="K762" s="317" t="s">
        <v>50</v>
      </c>
      <c r="L762" s="164"/>
      <c r="M762" s="165"/>
      <c r="N762" s="114"/>
      <c r="O762" s="165"/>
      <c r="P762" s="114"/>
      <c r="Q762" s="114"/>
      <c r="R762" s="318"/>
      <c r="S762" s="314"/>
      <c r="T762" s="72"/>
    </row>
    <row r="763" spans="1:20" ht="7.5" customHeight="1">
      <c r="A763" s="72"/>
      <c r="B763" s="314"/>
      <c r="C763" s="314"/>
      <c r="D763" s="114"/>
      <c r="E763" s="114"/>
      <c r="F763" s="114"/>
      <c r="G763" s="314"/>
      <c r="H763" s="114"/>
      <c r="I763" s="314"/>
      <c r="J763" s="164"/>
      <c r="K763" s="314"/>
      <c r="L763" s="164"/>
      <c r="M763" s="165"/>
      <c r="N763" s="114"/>
      <c r="O763" s="165"/>
      <c r="P763" s="114"/>
      <c r="Q763" s="114"/>
      <c r="R763" s="314"/>
      <c r="S763" s="314"/>
      <c r="T763" s="72"/>
    </row>
    <row r="764" spans="1:20" ht="7.5" customHeight="1">
      <c r="A764" s="72"/>
      <c r="B764" s="314"/>
      <c r="C764" s="314"/>
      <c r="D764" s="176"/>
      <c r="E764" s="114"/>
      <c r="F764" s="114"/>
      <c r="G764" s="314"/>
      <c r="H764" s="114"/>
      <c r="I764" s="314"/>
      <c r="J764" s="164"/>
      <c r="K764" s="314"/>
      <c r="L764" s="164"/>
      <c r="M764" s="169"/>
      <c r="N764" s="114"/>
      <c r="O764" s="169"/>
      <c r="P764" s="114"/>
      <c r="Q764" s="114"/>
      <c r="R764" s="104"/>
      <c r="S764" s="104"/>
      <c r="T764" s="72"/>
    </row>
    <row r="765" spans="1:20" ht="7.5" customHeight="1">
      <c r="A765" s="72"/>
      <c r="B765" s="314"/>
      <c r="C765" s="314"/>
      <c r="D765" s="313" t="s">
        <v>181</v>
      </c>
      <c r="E765" s="317" t="s">
        <v>51</v>
      </c>
      <c r="F765" s="315">
        <v>1409.3036099999997</v>
      </c>
      <c r="G765" s="305">
        <f>ROUND(F765*mark_up,0)</f>
        <v>6018</v>
      </c>
      <c r="H765" s="177"/>
      <c r="I765" s="305">
        <f>ROUND(G765*1.20277,0)</f>
        <v>7238</v>
      </c>
      <c r="J765" s="174"/>
      <c r="K765" s="305">
        <f>ROUND(G765*1.33472,0)</f>
        <v>8032</v>
      </c>
      <c r="L765" s="174"/>
      <c r="M765" s="305" t="s">
        <v>22</v>
      </c>
      <c r="N765" s="174"/>
      <c r="O765" s="305" t="s">
        <v>22</v>
      </c>
      <c r="P765" s="172"/>
      <c r="Q765" s="305" t="s">
        <v>22</v>
      </c>
      <c r="R765" s="104"/>
      <c r="S765" s="104"/>
      <c r="T765" s="72"/>
    </row>
    <row r="766" spans="1:20" ht="7.5" customHeight="1">
      <c r="A766" s="72"/>
      <c r="B766" s="314"/>
      <c r="C766" s="314"/>
      <c r="D766" s="314"/>
      <c r="E766" s="314"/>
      <c r="F766" s="306"/>
      <c r="G766" s="306"/>
      <c r="H766" s="165"/>
      <c r="I766" s="306"/>
      <c r="J766" s="175"/>
      <c r="K766" s="306"/>
      <c r="L766" s="175"/>
      <c r="M766" s="306"/>
      <c r="N766" s="175"/>
      <c r="O766" s="306"/>
      <c r="P766" s="173"/>
      <c r="Q766" s="306"/>
      <c r="R766" s="115"/>
      <c r="S766" s="178"/>
      <c r="T766" s="72"/>
    </row>
    <row r="767" spans="1:20" ht="7.5" customHeight="1">
      <c r="A767" s="72"/>
      <c r="B767" s="314"/>
      <c r="C767" s="314"/>
      <c r="D767" s="313" t="s">
        <v>182</v>
      </c>
      <c r="E767" s="314"/>
      <c r="F767" s="315">
        <v>1918.2188024999991</v>
      </c>
      <c r="G767" s="305">
        <f>ROUND(F767*mark_up,0)</f>
        <v>8191</v>
      </c>
      <c r="H767" s="174"/>
      <c r="I767" s="305">
        <f>ROUND(G767*1.188775,0)</f>
        <v>9737</v>
      </c>
      <c r="J767" s="174"/>
      <c r="K767" s="305">
        <f>ROUND(G767*1.3102,0)</f>
        <v>10732</v>
      </c>
      <c r="L767" s="174"/>
      <c r="M767" s="305" t="s">
        <v>22</v>
      </c>
      <c r="N767" s="174"/>
      <c r="O767" s="305" t="s">
        <v>22</v>
      </c>
      <c r="P767" s="172"/>
      <c r="Q767" s="305" t="s">
        <v>22</v>
      </c>
      <c r="R767" s="148"/>
      <c r="S767" s="149"/>
      <c r="T767" s="72"/>
    </row>
    <row r="768" spans="1:20" ht="7.5" customHeight="1">
      <c r="A768" s="72"/>
      <c r="B768" s="314"/>
      <c r="C768" s="314"/>
      <c r="D768" s="314"/>
      <c r="E768" s="314"/>
      <c r="F768" s="306"/>
      <c r="G768" s="306"/>
      <c r="H768" s="175"/>
      <c r="I768" s="306"/>
      <c r="J768" s="175"/>
      <c r="K768" s="306"/>
      <c r="L768" s="175"/>
      <c r="M768" s="306"/>
      <c r="N768" s="175"/>
      <c r="O768" s="306"/>
      <c r="P768" s="173"/>
      <c r="Q768" s="306"/>
      <c r="R768" s="148"/>
      <c r="S768" s="149"/>
      <c r="T768" s="72"/>
    </row>
    <row r="769" spans="1:20" ht="7.5" customHeight="1">
      <c r="A769" s="72"/>
      <c r="B769" s="314"/>
      <c r="C769" s="3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48"/>
      <c r="S769" s="149"/>
      <c r="T769" s="72"/>
    </row>
    <row r="770" spans="1:20" ht="7.5" customHeight="1">
      <c r="A770" s="72"/>
      <c r="B770" s="314"/>
      <c r="C770" s="3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48"/>
      <c r="S770" s="149"/>
      <c r="T770" s="72"/>
    </row>
    <row r="771" spans="1:20" ht="7.5" customHeight="1">
      <c r="A771" s="72"/>
      <c r="B771" s="314"/>
      <c r="C771" s="3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48"/>
      <c r="S771" s="149"/>
      <c r="T771" s="72"/>
    </row>
    <row r="772" spans="1:20" ht="7.5" customHeight="1">
      <c r="A772" s="72"/>
      <c r="B772" s="314"/>
      <c r="C772" s="339" t="s">
        <v>188</v>
      </c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48"/>
      <c r="S772" s="149"/>
      <c r="T772" s="72"/>
    </row>
    <row r="773" spans="1:20" ht="7.5" customHeight="1">
      <c r="A773" s="72"/>
      <c r="B773" s="314"/>
      <c r="C773" s="3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48"/>
      <c r="S773" s="149"/>
      <c r="T773" s="72"/>
    </row>
    <row r="774" spans="1:20" ht="7.5" customHeight="1">
      <c r="A774" s="72"/>
      <c r="B774" s="314"/>
      <c r="C774" s="30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48"/>
      <c r="S774" s="149"/>
      <c r="T774" s="72"/>
    </row>
    <row r="775" spans="1:20" ht="7.5" customHeight="1">
      <c r="A775" s="72"/>
      <c r="B775" s="314"/>
      <c r="C775" s="179"/>
      <c r="D775" s="149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48"/>
      <c r="S775" s="149"/>
      <c r="T775" s="72"/>
    </row>
    <row r="776" spans="1:20" ht="7.5" customHeight="1">
      <c r="A776" s="72"/>
      <c r="B776" s="314"/>
      <c r="C776" s="179"/>
      <c r="D776" s="149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48"/>
      <c r="S776" s="149"/>
      <c r="T776" s="72"/>
    </row>
    <row r="777" spans="1:20" ht="7.5" customHeight="1">
      <c r="A777" s="72"/>
      <c r="B777" s="314"/>
      <c r="C777" s="179"/>
      <c r="D777" s="149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48"/>
      <c r="S777" s="149"/>
      <c r="T777" s="72"/>
    </row>
    <row r="778" spans="1:20" ht="7.5" customHeight="1">
      <c r="A778" s="72"/>
      <c r="B778" s="314"/>
      <c r="C778" s="179"/>
      <c r="D778" s="149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48"/>
      <c r="S778" s="149"/>
      <c r="T778" s="72"/>
    </row>
    <row r="779" spans="1:20" ht="7.5" customHeight="1">
      <c r="A779" s="72"/>
      <c r="B779" s="314"/>
      <c r="C779" s="179"/>
      <c r="D779" s="149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48"/>
      <c r="S779" s="149"/>
      <c r="T779" s="72"/>
    </row>
    <row r="780" spans="1:20" ht="7.5" customHeight="1">
      <c r="A780" s="72"/>
      <c r="B780" s="314"/>
      <c r="C780" s="179"/>
      <c r="D780" s="149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48"/>
      <c r="S780" s="149"/>
      <c r="T780" s="72"/>
    </row>
    <row r="781" spans="1:20" ht="7.5" customHeight="1">
      <c r="A781" s="72"/>
      <c r="B781" s="314"/>
      <c r="C781" s="179"/>
      <c r="D781" s="149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48"/>
      <c r="S781" s="149"/>
      <c r="T781" s="72"/>
    </row>
    <row r="782" spans="1:20" ht="7.5" customHeight="1">
      <c r="A782" s="72"/>
      <c r="B782" s="314"/>
      <c r="C782" s="179"/>
      <c r="D782" s="149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48"/>
      <c r="S782" s="149"/>
      <c r="T782" s="72"/>
    </row>
    <row r="783" spans="1:20" ht="7.5" customHeight="1">
      <c r="A783" s="72"/>
      <c r="B783" s="314"/>
      <c r="C783" s="179"/>
      <c r="D783" s="149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48"/>
      <c r="S783" s="149"/>
      <c r="T783" s="72"/>
    </row>
    <row r="784" spans="1:20" ht="7.5" customHeight="1">
      <c r="A784" s="145"/>
      <c r="B784" s="342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1"/>
      <c r="S784" s="182"/>
      <c r="T784" s="147"/>
    </row>
    <row r="785" spans="1:20" ht="7.5" customHeight="1">
      <c r="A785" s="145"/>
      <c r="B785" s="157"/>
      <c r="C785" s="179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83"/>
      <c r="S785" s="156"/>
      <c r="T785" s="147"/>
    </row>
    <row r="786" spans="1:20" ht="7.5" customHeight="1">
      <c r="A786" s="145"/>
      <c r="B786" s="157"/>
      <c r="C786" s="179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83"/>
      <c r="S786" s="156"/>
      <c r="T786" s="147"/>
    </row>
    <row r="787" spans="1:20" ht="7.5" customHeight="1">
      <c r="A787" s="145"/>
      <c r="B787" s="157"/>
      <c r="C787" s="179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83"/>
      <c r="S787" s="156"/>
      <c r="T787" s="147"/>
    </row>
    <row r="788" spans="1:20" ht="7.5" customHeight="1">
      <c r="A788" s="70"/>
      <c r="B788" s="157"/>
      <c r="C788" s="179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12"/>
      <c r="S788" s="113"/>
      <c r="T788" s="72"/>
    </row>
    <row r="789" spans="1:20" ht="7.5" customHeight="1">
      <c r="A789" s="70"/>
      <c r="B789" s="157"/>
      <c r="C789" s="179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12"/>
      <c r="S789" s="113"/>
      <c r="T789" s="72"/>
    </row>
    <row r="790" spans="1:20" ht="7.5" customHeight="1">
      <c r="A790" s="70"/>
      <c r="B790" s="184"/>
      <c r="C790" s="180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5"/>
      <c r="S790" s="186"/>
      <c r="T790" s="72"/>
    </row>
    <row r="791" spans="1:20" ht="11.25" customHeight="1">
      <c r="A791" s="70"/>
      <c r="B791" s="300"/>
      <c r="C791" s="301"/>
      <c r="D791" s="301"/>
      <c r="E791" s="301"/>
      <c r="F791" s="301"/>
      <c r="G791" s="301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2" t="s">
        <v>53</v>
      </c>
      <c r="T791" s="72"/>
    </row>
    <row r="792" spans="1:20" ht="11.25" customHeight="1">
      <c r="A792" s="70"/>
      <c r="B792" s="111"/>
      <c r="C792" s="116"/>
      <c r="D792" s="117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7"/>
      <c r="S792" s="296"/>
      <c r="T792" s="72"/>
    </row>
    <row r="793" spans="1:20" ht="11.25" customHeight="1">
      <c r="A793" s="70"/>
      <c r="B793" s="322" t="s">
        <v>189</v>
      </c>
      <c r="C793" s="323"/>
      <c r="D793" s="323"/>
      <c r="E793" s="323"/>
      <c r="F793" s="323"/>
      <c r="G793" s="323"/>
      <c r="H793" s="323"/>
      <c r="I793" s="323"/>
      <c r="J793" s="323"/>
      <c r="K793" s="323"/>
      <c r="L793" s="323"/>
      <c r="M793" s="323"/>
      <c r="N793" s="323"/>
      <c r="O793" s="323"/>
      <c r="P793" s="323"/>
      <c r="Q793" s="323"/>
      <c r="R793" s="323"/>
      <c r="S793" s="323"/>
      <c r="T793" s="72"/>
    </row>
    <row r="794" spans="1:20" ht="61.5" customHeight="1">
      <c r="A794" s="70"/>
      <c r="B794" s="331"/>
      <c r="C794" s="31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310" t="s">
        <v>5</v>
      </c>
      <c r="P794" s="311"/>
      <c r="Q794" s="311"/>
      <c r="R794" s="311"/>
      <c r="S794" s="311"/>
      <c r="T794" s="72"/>
    </row>
    <row r="795" spans="1:20" ht="34.5" customHeight="1">
      <c r="A795" s="70"/>
      <c r="B795" s="74" t="s">
        <v>6</v>
      </c>
      <c r="C795" s="74" t="s">
        <v>7</v>
      </c>
      <c r="D795" s="74" t="s">
        <v>8</v>
      </c>
      <c r="E795" s="74" t="s">
        <v>9</v>
      </c>
      <c r="F795" s="75" t="s">
        <v>10</v>
      </c>
      <c r="G795" s="74" t="s">
        <v>11</v>
      </c>
      <c r="H795" s="75" t="s">
        <v>10</v>
      </c>
      <c r="I795" s="74" t="s">
        <v>11</v>
      </c>
      <c r="J795" s="75" t="s">
        <v>10</v>
      </c>
      <c r="K795" s="74" t="s">
        <v>11</v>
      </c>
      <c r="L795" s="75" t="s">
        <v>10</v>
      </c>
      <c r="M795" s="74" t="s">
        <v>11</v>
      </c>
      <c r="N795" s="75" t="s">
        <v>10</v>
      </c>
      <c r="O795" s="74" t="s">
        <v>11</v>
      </c>
      <c r="P795" s="75" t="s">
        <v>10</v>
      </c>
      <c r="Q795" s="74" t="s">
        <v>11</v>
      </c>
      <c r="R795" s="105"/>
      <c r="S795" s="74" t="s">
        <v>12</v>
      </c>
      <c r="T795" s="76"/>
    </row>
    <row r="796" spans="1:20" ht="7.5" customHeight="1">
      <c r="A796" s="70"/>
      <c r="B796" s="333" t="s">
        <v>13</v>
      </c>
      <c r="C796" s="335" t="s">
        <v>190</v>
      </c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330" t="s">
        <v>15</v>
      </c>
      <c r="S796" s="308" t="s">
        <v>155</v>
      </c>
      <c r="T796" s="72"/>
    </row>
    <row r="797" spans="1:20" ht="7.5" customHeight="1">
      <c r="A797" s="70"/>
      <c r="B797" s="299"/>
      <c r="C797" s="299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299"/>
      <c r="S797" s="299"/>
      <c r="T797" s="72"/>
    </row>
    <row r="798" spans="1:20" ht="7.5" customHeight="1">
      <c r="A798" s="70"/>
      <c r="B798" s="299"/>
      <c r="C798" s="299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85"/>
      <c r="S798" s="299"/>
      <c r="T798" s="72"/>
    </row>
    <row r="799" spans="1:20" ht="7.5" customHeight="1">
      <c r="A799" s="70"/>
      <c r="B799" s="299"/>
      <c r="C799" s="299"/>
      <c r="D799" s="78"/>
      <c r="E799" s="78"/>
      <c r="F799" s="78"/>
      <c r="G799" s="78"/>
      <c r="H799" s="78"/>
      <c r="I799" s="78"/>
      <c r="J799" s="78"/>
      <c r="K799" s="78"/>
      <c r="L799" s="78"/>
      <c r="M799" s="79"/>
      <c r="N799" s="78"/>
      <c r="O799" s="78"/>
      <c r="P799" s="78"/>
      <c r="Q799" s="78"/>
      <c r="R799" s="80"/>
      <c r="S799" s="299"/>
      <c r="T799" s="72"/>
    </row>
    <row r="800" spans="1:20" ht="7.5" customHeight="1">
      <c r="A800" s="70"/>
      <c r="B800" s="299"/>
      <c r="C800" s="299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2"/>
      <c r="S800" s="299"/>
      <c r="T800" s="72"/>
    </row>
    <row r="801" spans="1:20" ht="7.5" customHeight="1">
      <c r="A801" s="70"/>
      <c r="B801" s="299"/>
      <c r="C801" s="299"/>
      <c r="D801" s="81"/>
      <c r="E801" s="81"/>
      <c r="F801" s="81"/>
      <c r="G801" s="81"/>
      <c r="H801" s="81"/>
      <c r="I801" s="307" t="s">
        <v>35</v>
      </c>
      <c r="J801" s="81"/>
      <c r="K801" s="307" t="s">
        <v>36</v>
      </c>
      <c r="L801" s="81"/>
      <c r="M801" s="307" t="s">
        <v>19</v>
      </c>
      <c r="N801" s="81"/>
      <c r="O801" s="307" t="s">
        <v>20</v>
      </c>
      <c r="P801" s="81"/>
      <c r="Q801" s="81"/>
      <c r="R801" s="80"/>
      <c r="S801" s="299"/>
      <c r="T801" s="72"/>
    </row>
    <row r="802" spans="1:20" ht="7.5" customHeight="1">
      <c r="A802" s="70"/>
      <c r="B802" s="299"/>
      <c r="C802" s="299"/>
      <c r="D802" s="78"/>
      <c r="E802" s="78"/>
      <c r="F802" s="78"/>
      <c r="G802" s="78"/>
      <c r="H802" s="78"/>
      <c r="I802" s="299"/>
      <c r="J802" s="99"/>
      <c r="K802" s="299"/>
      <c r="L802" s="79"/>
      <c r="M802" s="299"/>
      <c r="N802" s="99"/>
      <c r="O802" s="299"/>
      <c r="P802" s="78"/>
      <c r="Q802" s="78"/>
      <c r="R802" s="82"/>
      <c r="S802" s="299"/>
      <c r="T802" s="72"/>
    </row>
    <row r="803" spans="1:20" ht="7.5" customHeight="1">
      <c r="A803" s="145"/>
      <c r="B803" s="299"/>
      <c r="C803" s="299"/>
      <c r="D803" s="82"/>
      <c r="E803" s="81"/>
      <c r="F803" s="81"/>
      <c r="G803" s="81"/>
      <c r="H803" s="81"/>
      <c r="I803" s="299"/>
      <c r="J803" s="99"/>
      <c r="K803" s="299"/>
      <c r="L803" s="79"/>
      <c r="M803" s="299"/>
      <c r="N803" s="99"/>
      <c r="O803" s="299"/>
      <c r="P803" s="81"/>
      <c r="Q803" s="81"/>
      <c r="R803" s="183"/>
      <c r="S803" s="299"/>
      <c r="T803" s="145"/>
    </row>
    <row r="804" spans="1:20" ht="7.5" customHeight="1">
      <c r="A804" s="145"/>
      <c r="B804" s="299"/>
      <c r="C804" s="299"/>
      <c r="D804" s="156"/>
      <c r="E804" s="156"/>
      <c r="F804" s="156"/>
      <c r="G804" s="156"/>
      <c r="H804" s="156"/>
      <c r="I804" s="296"/>
      <c r="J804" s="99"/>
      <c r="K804" s="296"/>
      <c r="L804" s="81"/>
      <c r="M804" s="296"/>
      <c r="N804" s="99"/>
      <c r="O804" s="296"/>
      <c r="P804" s="156"/>
      <c r="Q804" s="156"/>
      <c r="R804" s="298" t="s">
        <v>15</v>
      </c>
      <c r="S804" s="325" t="s">
        <v>191</v>
      </c>
      <c r="T804" s="145"/>
    </row>
    <row r="805" spans="1:20" ht="7.5" customHeight="1">
      <c r="A805" s="145"/>
      <c r="B805" s="299"/>
      <c r="C805" s="299"/>
      <c r="D805" s="327" t="s">
        <v>192</v>
      </c>
      <c r="E805" s="307" t="s">
        <v>22</v>
      </c>
      <c r="F805" s="83"/>
      <c r="G805" s="295" t="s">
        <v>22</v>
      </c>
      <c r="H805" s="83"/>
      <c r="I805" s="295">
        <f>ROUND(K805*1.1,0)</f>
        <v>13264</v>
      </c>
      <c r="J805" s="312">
        <v>2823.9454912499991</v>
      </c>
      <c r="K805" s="295">
        <f>ROUND(J805*mark_up,0)</f>
        <v>12058</v>
      </c>
      <c r="L805" s="83"/>
      <c r="M805" s="295">
        <f>ROUND((I805-K805)+O805,0)</f>
        <v>24116</v>
      </c>
      <c r="N805" s="83"/>
      <c r="O805" s="295">
        <f>ROUND(K805*1.9,0)</f>
        <v>22910</v>
      </c>
      <c r="P805" s="83"/>
      <c r="Q805" s="295" t="s">
        <v>22</v>
      </c>
      <c r="R805" s="299"/>
      <c r="S805" s="299"/>
      <c r="T805" s="145"/>
    </row>
    <row r="806" spans="1:20" ht="7.5" customHeight="1">
      <c r="A806" s="145"/>
      <c r="B806" s="299"/>
      <c r="C806" s="299"/>
      <c r="D806" s="299"/>
      <c r="E806" s="299"/>
      <c r="F806" s="84"/>
      <c r="G806" s="296"/>
      <c r="H806" s="84"/>
      <c r="I806" s="296"/>
      <c r="J806" s="296"/>
      <c r="K806" s="296"/>
      <c r="L806" s="84"/>
      <c r="M806" s="296"/>
      <c r="N806" s="84"/>
      <c r="O806" s="296"/>
      <c r="P806" s="84"/>
      <c r="Q806" s="296"/>
      <c r="R806" s="82"/>
      <c r="S806" s="299"/>
      <c r="T806" s="145"/>
    </row>
    <row r="807" spans="1:20" ht="7.5" customHeight="1">
      <c r="A807" s="145"/>
      <c r="B807" s="299"/>
      <c r="C807" s="299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82"/>
      <c r="S807" s="299"/>
      <c r="T807" s="145"/>
    </row>
    <row r="808" spans="1:20" ht="7.5" customHeight="1">
      <c r="A808" s="145"/>
      <c r="B808" s="299"/>
      <c r="C808" s="299"/>
      <c r="D808" s="327" t="s">
        <v>193</v>
      </c>
      <c r="E808" s="307" t="s">
        <v>22</v>
      </c>
      <c r="F808" s="295"/>
      <c r="G808" s="295" t="s">
        <v>22</v>
      </c>
      <c r="H808" s="295"/>
      <c r="I808" s="295">
        <f>ROUND(K808*1.1,0)</f>
        <v>15410</v>
      </c>
      <c r="J808" s="297">
        <f t="shared" ref="J808:K808" si="14">ROUND(J805*1.16176470588235,0)</f>
        <v>3281</v>
      </c>
      <c r="K808" s="295">
        <f t="shared" si="14"/>
        <v>14009</v>
      </c>
      <c r="L808" s="295"/>
      <c r="M808" s="295">
        <f>ROUND((I808-K808)+O808,0)</f>
        <v>28018</v>
      </c>
      <c r="N808" s="295"/>
      <c r="O808" s="295">
        <f>ROUND(K808*1.9,0)</f>
        <v>26617</v>
      </c>
      <c r="P808" s="295"/>
      <c r="Q808" s="295" t="s">
        <v>22</v>
      </c>
      <c r="R808" s="82"/>
      <c r="S808" s="299"/>
      <c r="T808" s="145"/>
    </row>
    <row r="809" spans="1:20" ht="7.5" customHeight="1">
      <c r="A809" s="145"/>
      <c r="B809" s="299"/>
      <c r="C809" s="299"/>
      <c r="D809" s="299"/>
      <c r="E809" s="299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8" t="s">
        <v>15</v>
      </c>
      <c r="S809" s="325" t="s">
        <v>24</v>
      </c>
      <c r="T809" s="145"/>
    </row>
    <row r="810" spans="1:20" ht="7.5" customHeight="1">
      <c r="A810" s="145"/>
      <c r="B810" s="299"/>
      <c r="C810" s="299"/>
      <c r="D810" s="108"/>
      <c r="E810" s="108"/>
      <c r="F810" s="108"/>
      <c r="G810" s="108"/>
      <c r="H810" s="108"/>
      <c r="I810" s="108"/>
      <c r="J810" s="108"/>
      <c r="K810" s="108"/>
      <c r="L810" s="108"/>
      <c r="M810" s="156"/>
      <c r="N810" s="108"/>
      <c r="O810" s="108"/>
      <c r="P810" s="108"/>
      <c r="Q810" s="108"/>
      <c r="R810" s="299"/>
      <c r="S810" s="299"/>
      <c r="T810" s="145"/>
    </row>
    <row r="811" spans="1:20" ht="7.5" customHeight="1">
      <c r="A811" s="145"/>
      <c r="B811" s="299"/>
      <c r="C811" s="299"/>
      <c r="D811" s="327" t="s">
        <v>194</v>
      </c>
      <c r="E811" s="307" t="s">
        <v>22</v>
      </c>
      <c r="F811" s="295"/>
      <c r="G811" s="295" t="s">
        <v>22</v>
      </c>
      <c r="H811" s="295"/>
      <c r="I811" s="295">
        <f>ROUND(K811*1.1,0)</f>
        <v>17848</v>
      </c>
      <c r="J811" s="297">
        <f t="shared" ref="J811:K811" si="15">ROUND(J805*1.34558823529411,0)</f>
        <v>3800</v>
      </c>
      <c r="K811" s="295">
        <f t="shared" si="15"/>
        <v>16225</v>
      </c>
      <c r="L811" s="187"/>
      <c r="M811" s="295">
        <f>ROUND((I811-K811)+O811,0)</f>
        <v>32451</v>
      </c>
      <c r="N811" s="295"/>
      <c r="O811" s="295">
        <f>ROUND(K811*1.9,0)</f>
        <v>30828</v>
      </c>
      <c r="P811" s="295"/>
      <c r="Q811" s="295" t="s">
        <v>22</v>
      </c>
      <c r="R811" s="82"/>
      <c r="S811" s="299"/>
      <c r="T811" s="145"/>
    </row>
    <row r="812" spans="1:20" ht="7.5" customHeight="1">
      <c r="A812" s="145"/>
      <c r="B812" s="299"/>
      <c r="C812" s="299"/>
      <c r="D812" s="299"/>
      <c r="E812" s="299"/>
      <c r="F812" s="296"/>
      <c r="G812" s="296"/>
      <c r="H812" s="296"/>
      <c r="I812" s="296"/>
      <c r="J812" s="296"/>
      <c r="K812" s="296"/>
      <c r="L812" s="188"/>
      <c r="M812" s="296"/>
      <c r="N812" s="296"/>
      <c r="O812" s="296"/>
      <c r="P812" s="296"/>
      <c r="Q812" s="296"/>
      <c r="R812" s="298" t="s">
        <v>15</v>
      </c>
      <c r="S812" s="325" t="s">
        <v>30</v>
      </c>
      <c r="T812" s="145"/>
    </row>
    <row r="813" spans="1:20" ht="7.5" customHeight="1">
      <c r="A813" s="145"/>
      <c r="B813" s="299"/>
      <c r="C813" s="299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299"/>
      <c r="S813" s="299"/>
      <c r="T813" s="145"/>
    </row>
    <row r="814" spans="1:20" ht="7.5" customHeight="1">
      <c r="A814" s="145"/>
      <c r="B814" s="299"/>
      <c r="C814" s="299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298" t="s">
        <v>15</v>
      </c>
      <c r="S814" s="326" t="s">
        <v>31</v>
      </c>
      <c r="T814" s="145"/>
    </row>
    <row r="815" spans="1:20" ht="7.5" customHeight="1">
      <c r="A815" s="145"/>
      <c r="B815" s="299"/>
      <c r="C815" s="299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299"/>
      <c r="S815" s="299"/>
      <c r="T815" s="145"/>
    </row>
    <row r="816" spans="1:20" ht="7.5" customHeight="1">
      <c r="A816" s="145"/>
      <c r="B816" s="299"/>
      <c r="C816" s="299"/>
      <c r="D816" s="87"/>
      <c r="E816" s="88"/>
      <c r="F816" s="88"/>
      <c r="G816" s="89"/>
      <c r="H816" s="89"/>
      <c r="I816" s="89"/>
      <c r="J816" s="89"/>
      <c r="K816" s="89"/>
      <c r="L816" s="89"/>
      <c r="M816" s="90"/>
      <c r="N816" s="90"/>
      <c r="O816" s="90"/>
      <c r="P816" s="90"/>
      <c r="Q816" s="90"/>
      <c r="R816" s="85"/>
      <c r="S816" s="299"/>
      <c r="T816" s="145"/>
    </row>
    <row r="817" spans="1:20" ht="7.5" customHeight="1">
      <c r="A817" s="145"/>
      <c r="B817" s="299"/>
      <c r="C817" s="299"/>
      <c r="D817" s="87"/>
      <c r="E817" s="88"/>
      <c r="F817" s="88"/>
      <c r="G817" s="89"/>
      <c r="H817" s="89"/>
      <c r="I817" s="89"/>
      <c r="J817" s="89"/>
      <c r="K817" s="89"/>
      <c r="L817" s="89"/>
      <c r="M817" s="90"/>
      <c r="N817" s="90"/>
      <c r="O817" s="90"/>
      <c r="P817" s="90"/>
      <c r="Q817" s="90"/>
      <c r="R817" s="298" t="s">
        <v>15</v>
      </c>
      <c r="S817" s="325" t="s">
        <v>195</v>
      </c>
      <c r="T817" s="145"/>
    </row>
    <row r="818" spans="1:20" ht="7.5" customHeight="1">
      <c r="A818" s="145"/>
      <c r="B818" s="299"/>
      <c r="C818" s="299"/>
      <c r="D818" s="87"/>
      <c r="E818" s="88"/>
      <c r="F818" s="88"/>
      <c r="G818" s="89"/>
      <c r="H818" s="89"/>
      <c r="I818" s="89"/>
      <c r="J818" s="89"/>
      <c r="K818" s="89"/>
      <c r="L818" s="89"/>
      <c r="M818" s="90"/>
      <c r="N818" s="90"/>
      <c r="O818" s="90"/>
      <c r="P818" s="90"/>
      <c r="Q818" s="90"/>
      <c r="R818" s="299"/>
      <c r="S818" s="299"/>
      <c r="T818" s="145"/>
    </row>
    <row r="819" spans="1:20" ht="7.5" customHeight="1">
      <c r="A819" s="145"/>
      <c r="B819" s="299"/>
      <c r="C819" s="299"/>
      <c r="D819" s="87"/>
      <c r="E819" s="88"/>
      <c r="F819" s="88"/>
      <c r="G819" s="89"/>
      <c r="H819" s="89"/>
      <c r="I819" s="89"/>
      <c r="J819" s="89"/>
      <c r="K819" s="89"/>
      <c r="L819" s="89"/>
      <c r="M819" s="90"/>
      <c r="N819" s="90"/>
      <c r="O819" s="90"/>
      <c r="P819" s="90"/>
      <c r="Q819" s="90"/>
      <c r="R819" s="104"/>
      <c r="S819" s="104"/>
      <c r="T819" s="145"/>
    </row>
    <row r="820" spans="1:20" ht="7.5" customHeight="1">
      <c r="A820" s="145"/>
      <c r="B820" s="299"/>
      <c r="C820" s="299"/>
      <c r="D820" s="87"/>
      <c r="E820" s="88"/>
      <c r="F820" s="88"/>
      <c r="G820" s="89"/>
      <c r="H820" s="89"/>
      <c r="I820" s="89"/>
      <c r="J820" s="89"/>
      <c r="K820" s="89"/>
      <c r="L820" s="89"/>
      <c r="M820" s="90"/>
      <c r="N820" s="90"/>
      <c r="O820" s="90"/>
      <c r="P820" s="90"/>
      <c r="Q820" s="90"/>
      <c r="R820" s="104"/>
      <c r="S820" s="104"/>
      <c r="T820" s="145"/>
    </row>
    <row r="821" spans="1:20" ht="7.5" customHeight="1">
      <c r="A821" s="70"/>
      <c r="B821" s="299"/>
      <c r="C821" s="299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2"/>
      <c r="S821" s="108"/>
      <c r="T821" s="72"/>
    </row>
    <row r="822" spans="1:20" ht="7.5" customHeight="1">
      <c r="A822" s="70"/>
      <c r="B822" s="299"/>
      <c r="C822" s="334" t="s">
        <v>196</v>
      </c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2"/>
      <c r="S822" s="108"/>
      <c r="T822" s="72"/>
    </row>
    <row r="823" spans="1:20" ht="7.5" customHeight="1">
      <c r="A823" s="70"/>
      <c r="B823" s="299"/>
      <c r="C823" s="299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2"/>
      <c r="S823" s="108"/>
      <c r="T823" s="72"/>
    </row>
    <row r="824" spans="1:20" ht="7.5" customHeight="1">
      <c r="A824" s="70"/>
      <c r="B824" s="311"/>
      <c r="C824" s="311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4"/>
      <c r="S824" s="95"/>
      <c r="T824" s="72"/>
    </row>
    <row r="825" spans="1:20" ht="7.5" customHeight="1">
      <c r="A825" s="72"/>
      <c r="B825" s="333" t="s">
        <v>13</v>
      </c>
      <c r="C825" s="335" t="s">
        <v>197</v>
      </c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298" t="s">
        <v>15</v>
      </c>
      <c r="S825" s="325" t="s">
        <v>155</v>
      </c>
      <c r="T825" s="72"/>
    </row>
    <row r="826" spans="1:20" ht="7.5" customHeight="1">
      <c r="A826" s="72"/>
      <c r="B826" s="299"/>
      <c r="C826" s="299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299"/>
      <c r="S826" s="299"/>
      <c r="T826" s="72"/>
    </row>
    <row r="827" spans="1:20" ht="7.5" customHeight="1">
      <c r="A827" s="72"/>
      <c r="B827" s="299"/>
      <c r="C827" s="299"/>
      <c r="D827" s="78"/>
      <c r="E827" s="78"/>
      <c r="F827" s="78"/>
      <c r="G827" s="78"/>
      <c r="H827" s="78"/>
      <c r="I827" s="78"/>
      <c r="J827" s="78"/>
      <c r="K827" s="78"/>
      <c r="L827" s="78"/>
      <c r="M827" s="79"/>
      <c r="N827" s="78"/>
      <c r="O827" s="78"/>
      <c r="P827" s="78"/>
      <c r="Q827" s="78"/>
      <c r="R827" s="80"/>
      <c r="S827" s="299"/>
      <c r="T827" s="72"/>
    </row>
    <row r="828" spans="1:20" ht="7.5" customHeight="1">
      <c r="A828" s="72"/>
      <c r="B828" s="299"/>
      <c r="C828" s="299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82"/>
      <c r="S828" s="299"/>
      <c r="T828" s="72"/>
    </row>
    <row r="829" spans="1:20" ht="7.5" customHeight="1">
      <c r="A829" s="72"/>
      <c r="B829" s="299"/>
      <c r="C829" s="299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80"/>
      <c r="S829" s="299"/>
      <c r="T829" s="72"/>
    </row>
    <row r="830" spans="1:20" ht="7.5" customHeight="1">
      <c r="A830" s="72"/>
      <c r="B830" s="299"/>
      <c r="C830" s="299"/>
      <c r="D830" s="81"/>
      <c r="E830" s="81"/>
      <c r="F830" s="81"/>
      <c r="G830" s="81"/>
      <c r="H830" s="81"/>
      <c r="I830" s="307" t="s">
        <v>35</v>
      </c>
      <c r="J830" s="81"/>
      <c r="K830" s="307" t="s">
        <v>36</v>
      </c>
      <c r="L830" s="81"/>
      <c r="M830" s="307" t="s">
        <v>19</v>
      </c>
      <c r="N830" s="81"/>
      <c r="O830" s="307" t="s">
        <v>20</v>
      </c>
      <c r="P830" s="81"/>
      <c r="Q830" s="81"/>
      <c r="R830" s="82"/>
      <c r="S830" s="299"/>
      <c r="T830" s="72"/>
    </row>
    <row r="831" spans="1:20" ht="7.5" customHeight="1">
      <c r="A831" s="72"/>
      <c r="B831" s="299"/>
      <c r="C831" s="299"/>
      <c r="D831" s="78"/>
      <c r="E831" s="78"/>
      <c r="F831" s="78"/>
      <c r="G831" s="78"/>
      <c r="H831" s="78"/>
      <c r="I831" s="299"/>
      <c r="J831" s="99"/>
      <c r="K831" s="299"/>
      <c r="L831" s="79"/>
      <c r="M831" s="299"/>
      <c r="N831" s="99"/>
      <c r="O831" s="299"/>
      <c r="P831" s="78"/>
      <c r="Q831" s="78"/>
      <c r="R831" s="82"/>
      <c r="S831" s="299"/>
      <c r="T831" s="72"/>
    </row>
    <row r="832" spans="1:20" ht="7.5" customHeight="1">
      <c r="A832" s="72"/>
      <c r="B832" s="299"/>
      <c r="C832" s="299"/>
      <c r="D832" s="82"/>
      <c r="E832" s="81"/>
      <c r="F832" s="81"/>
      <c r="G832" s="81"/>
      <c r="H832" s="81"/>
      <c r="I832" s="299"/>
      <c r="J832" s="99"/>
      <c r="K832" s="299"/>
      <c r="L832" s="79"/>
      <c r="M832" s="299"/>
      <c r="N832" s="99"/>
      <c r="O832" s="299"/>
      <c r="P832" s="81"/>
      <c r="Q832" s="81"/>
      <c r="R832" s="82"/>
      <c r="S832" s="299"/>
      <c r="T832" s="72"/>
    </row>
    <row r="833" spans="1:20" ht="7.5" customHeight="1">
      <c r="A833" s="72"/>
      <c r="B833" s="299"/>
      <c r="C833" s="299"/>
      <c r="D833" s="156"/>
      <c r="E833" s="156"/>
      <c r="F833" s="156"/>
      <c r="G833" s="156"/>
      <c r="H833" s="156"/>
      <c r="I833" s="296"/>
      <c r="J833" s="99"/>
      <c r="K833" s="296"/>
      <c r="L833" s="81"/>
      <c r="M833" s="296"/>
      <c r="N833" s="99"/>
      <c r="O833" s="296"/>
      <c r="P833" s="156"/>
      <c r="Q833" s="156"/>
      <c r="R833" s="298" t="s">
        <v>15</v>
      </c>
      <c r="S833" s="325" t="s">
        <v>24</v>
      </c>
      <c r="T833" s="72"/>
    </row>
    <row r="834" spans="1:20" ht="7.5" customHeight="1">
      <c r="A834" s="72"/>
      <c r="B834" s="299"/>
      <c r="C834" s="299"/>
      <c r="D834" s="327" t="s">
        <v>198</v>
      </c>
      <c r="E834" s="307" t="s">
        <v>22</v>
      </c>
      <c r="F834" s="83"/>
      <c r="G834" s="295" t="s">
        <v>22</v>
      </c>
      <c r="H834" s="83"/>
      <c r="I834" s="295">
        <f>ROUND(K834*1.1,0)</f>
        <v>8058</v>
      </c>
      <c r="J834" s="312">
        <v>1715.3644949999996</v>
      </c>
      <c r="K834" s="295">
        <f>ROUND(J834*mark_up,0)</f>
        <v>7325</v>
      </c>
      <c r="L834" s="83"/>
      <c r="M834" s="295">
        <f>ROUND((I834-K834)+O834,0)</f>
        <v>13918</v>
      </c>
      <c r="N834" s="83"/>
      <c r="O834" s="295">
        <f>ROUND(K834*1.8,0)</f>
        <v>13185</v>
      </c>
      <c r="P834" s="83"/>
      <c r="Q834" s="295" t="s">
        <v>22</v>
      </c>
      <c r="R834" s="299"/>
      <c r="S834" s="299"/>
      <c r="T834" s="72"/>
    </row>
    <row r="835" spans="1:20" ht="7.5" customHeight="1">
      <c r="A835" s="72"/>
      <c r="B835" s="299"/>
      <c r="C835" s="299"/>
      <c r="D835" s="299"/>
      <c r="E835" s="299"/>
      <c r="F835" s="84"/>
      <c r="G835" s="296"/>
      <c r="H835" s="84"/>
      <c r="I835" s="296"/>
      <c r="J835" s="296"/>
      <c r="K835" s="296"/>
      <c r="L835" s="84"/>
      <c r="M835" s="296"/>
      <c r="N835" s="84"/>
      <c r="O835" s="296"/>
      <c r="P835" s="84"/>
      <c r="Q835" s="296"/>
      <c r="R835" s="82"/>
      <c r="S835" s="299"/>
      <c r="T835" s="72"/>
    </row>
    <row r="836" spans="1:20" ht="7.5" customHeight="1">
      <c r="A836" s="72"/>
      <c r="B836" s="299"/>
      <c r="C836" s="299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298" t="s">
        <v>15</v>
      </c>
      <c r="S836" s="325" t="s">
        <v>30</v>
      </c>
      <c r="T836" s="72"/>
    </row>
    <row r="837" spans="1:20" ht="7.5" customHeight="1">
      <c r="A837" s="72"/>
      <c r="B837" s="299"/>
      <c r="C837" s="299"/>
      <c r="D837" s="327" t="s">
        <v>199</v>
      </c>
      <c r="E837" s="307" t="s">
        <v>22</v>
      </c>
      <c r="F837" s="83"/>
      <c r="G837" s="295" t="s">
        <v>22</v>
      </c>
      <c r="H837" s="83"/>
      <c r="I837" s="295">
        <f>ROUND(K837*1.1,0)</f>
        <v>9428</v>
      </c>
      <c r="J837" s="312">
        <v>2007.1899899999992</v>
      </c>
      <c r="K837" s="295">
        <f>ROUND(J837*mark_up,0)</f>
        <v>8571</v>
      </c>
      <c r="L837" s="295"/>
      <c r="M837" s="295">
        <f>ROUND((I837-K837)+O837,0)</f>
        <v>16285</v>
      </c>
      <c r="N837" s="83"/>
      <c r="O837" s="295">
        <f>ROUND(K837*1.8,0)</f>
        <v>15428</v>
      </c>
      <c r="P837" s="83"/>
      <c r="Q837" s="295" t="s">
        <v>22</v>
      </c>
      <c r="R837" s="299"/>
      <c r="S837" s="299"/>
      <c r="T837" s="72"/>
    </row>
    <row r="838" spans="1:20" ht="7.5" customHeight="1">
      <c r="A838" s="72"/>
      <c r="B838" s="299"/>
      <c r="C838" s="299"/>
      <c r="D838" s="299"/>
      <c r="E838" s="299"/>
      <c r="F838" s="84"/>
      <c r="G838" s="296"/>
      <c r="H838" s="84"/>
      <c r="I838" s="296"/>
      <c r="J838" s="296"/>
      <c r="K838" s="296"/>
      <c r="L838" s="296"/>
      <c r="M838" s="296"/>
      <c r="N838" s="84"/>
      <c r="O838" s="296"/>
      <c r="P838" s="84"/>
      <c r="Q838" s="296"/>
      <c r="R838" s="298" t="s">
        <v>15</v>
      </c>
      <c r="S838" s="326" t="s">
        <v>31</v>
      </c>
      <c r="T838" s="72"/>
    </row>
    <row r="839" spans="1:20" ht="7.5" customHeight="1">
      <c r="A839" s="72"/>
      <c r="B839" s="299"/>
      <c r="C839" s="299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299"/>
      <c r="S839" s="299"/>
      <c r="T839" s="72"/>
    </row>
    <row r="840" spans="1:20" ht="7.5" customHeight="1">
      <c r="A840" s="72"/>
      <c r="B840" s="299"/>
      <c r="C840" s="299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85"/>
      <c r="S840" s="299"/>
      <c r="T840" s="72"/>
    </row>
    <row r="841" spans="1:20" ht="7.5" customHeight="1">
      <c r="A841" s="72"/>
      <c r="B841" s="299"/>
      <c r="C841" s="299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4"/>
      <c r="S841" s="104"/>
      <c r="T841" s="72"/>
    </row>
    <row r="842" spans="1:20" ht="7.5" customHeight="1">
      <c r="A842" s="72"/>
      <c r="B842" s="299"/>
      <c r="C842" s="299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104"/>
      <c r="S842" s="104"/>
      <c r="T842" s="72"/>
    </row>
    <row r="843" spans="1:20" ht="7.5" customHeight="1">
      <c r="A843" s="72"/>
      <c r="B843" s="299"/>
      <c r="C843" s="299"/>
      <c r="D843" s="87"/>
      <c r="E843" s="88"/>
      <c r="F843" s="88"/>
      <c r="G843" s="89"/>
      <c r="H843" s="89"/>
      <c r="I843" s="89"/>
      <c r="J843" s="89"/>
      <c r="K843" s="89"/>
      <c r="L843" s="89"/>
      <c r="M843" s="90"/>
      <c r="N843" s="90"/>
      <c r="O843" s="90"/>
      <c r="P843" s="90"/>
      <c r="Q843" s="90"/>
      <c r="R843" s="183"/>
      <c r="S843" s="156"/>
      <c r="T843" s="72"/>
    </row>
    <row r="844" spans="1:20" ht="7.5" customHeight="1">
      <c r="A844" s="72"/>
      <c r="B844" s="299"/>
      <c r="C844" s="299"/>
      <c r="D844" s="87"/>
      <c r="E844" s="88"/>
      <c r="F844" s="88"/>
      <c r="G844" s="89"/>
      <c r="H844" s="89"/>
      <c r="I844" s="89"/>
      <c r="J844" s="89"/>
      <c r="K844" s="89"/>
      <c r="L844" s="89"/>
      <c r="M844" s="90"/>
      <c r="N844" s="90"/>
      <c r="O844" s="90"/>
      <c r="P844" s="90"/>
      <c r="Q844" s="90"/>
      <c r="R844" s="183"/>
      <c r="S844" s="156"/>
      <c r="T844" s="72"/>
    </row>
    <row r="845" spans="1:20" ht="7.5" customHeight="1">
      <c r="A845" s="72"/>
      <c r="B845" s="299"/>
      <c r="C845" s="334" t="s">
        <v>200</v>
      </c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12"/>
      <c r="S845" s="113"/>
      <c r="T845" s="72"/>
    </row>
    <row r="846" spans="1:20" ht="7.5" customHeight="1">
      <c r="A846" s="72"/>
      <c r="B846" s="299"/>
      <c r="C846" s="299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12"/>
      <c r="S846" s="113"/>
      <c r="T846" s="72"/>
    </row>
    <row r="847" spans="1:20" ht="7.5" customHeight="1">
      <c r="A847" s="72"/>
      <c r="B847" s="311"/>
      <c r="C847" s="311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5"/>
      <c r="S847" s="186"/>
      <c r="T847" s="72"/>
    </row>
    <row r="848" spans="1:20" ht="7.5" customHeight="1">
      <c r="A848" s="72"/>
      <c r="B848" s="157"/>
      <c r="C848" s="179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12"/>
      <c r="S848" s="113"/>
      <c r="T848" s="72"/>
    </row>
    <row r="849" spans="1:20" ht="7.5" customHeight="1">
      <c r="A849" s="72"/>
      <c r="B849" s="157"/>
      <c r="C849" s="179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12"/>
      <c r="S849" s="113"/>
      <c r="T849" s="72"/>
    </row>
    <row r="850" spans="1:20" ht="7.5" customHeight="1">
      <c r="A850" s="72"/>
      <c r="B850" s="157"/>
      <c r="C850" s="179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12"/>
      <c r="S850" s="113"/>
      <c r="T850" s="72"/>
    </row>
    <row r="851" spans="1:20" ht="7.5" customHeight="1">
      <c r="A851" s="72"/>
      <c r="B851" s="157"/>
      <c r="C851" s="179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12"/>
      <c r="S851" s="113"/>
      <c r="T851" s="72"/>
    </row>
    <row r="852" spans="1:20" ht="11.25" customHeight="1">
      <c r="A852" s="70"/>
      <c r="B852" s="300"/>
      <c r="C852" s="301"/>
      <c r="D852" s="301"/>
      <c r="E852" s="301"/>
      <c r="F852" s="301"/>
      <c r="G852" s="301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2" t="s">
        <v>53</v>
      </c>
      <c r="T852" s="72"/>
    </row>
    <row r="853" spans="1:20" ht="11.25" customHeight="1">
      <c r="A853" s="70"/>
      <c r="B853" s="111"/>
      <c r="C853" s="116"/>
      <c r="D853" s="117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7"/>
      <c r="S853" s="296"/>
      <c r="T853" s="72"/>
    </row>
    <row r="854" spans="1:20" ht="11.25" customHeight="1">
      <c r="A854" s="70"/>
      <c r="B854" s="322" t="s">
        <v>201</v>
      </c>
      <c r="C854" s="323"/>
      <c r="D854" s="323"/>
      <c r="E854" s="323"/>
      <c r="F854" s="323"/>
      <c r="G854" s="323"/>
      <c r="H854" s="323"/>
      <c r="I854" s="323"/>
      <c r="J854" s="323"/>
      <c r="K854" s="323"/>
      <c r="L854" s="323"/>
      <c r="M854" s="323"/>
      <c r="N854" s="323"/>
      <c r="O854" s="323"/>
      <c r="P854" s="323"/>
      <c r="Q854" s="323"/>
      <c r="R854" s="323"/>
      <c r="S854" s="323"/>
      <c r="T854" s="72"/>
    </row>
    <row r="855" spans="1:20" ht="61.5" customHeight="1">
      <c r="A855" s="70"/>
      <c r="B855" s="331"/>
      <c r="C855" s="31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310" t="s">
        <v>5</v>
      </c>
      <c r="P855" s="311"/>
      <c r="Q855" s="311"/>
      <c r="R855" s="311"/>
      <c r="S855" s="311"/>
      <c r="T855" s="72"/>
    </row>
    <row r="856" spans="1:20" ht="34.5" customHeight="1">
      <c r="A856" s="70"/>
      <c r="B856" s="74" t="s">
        <v>6</v>
      </c>
      <c r="C856" s="74" t="s">
        <v>7</v>
      </c>
      <c r="D856" s="74" t="s">
        <v>8</v>
      </c>
      <c r="E856" s="74" t="s">
        <v>9</v>
      </c>
      <c r="F856" s="75" t="s">
        <v>10</v>
      </c>
      <c r="G856" s="74" t="s">
        <v>11</v>
      </c>
      <c r="H856" s="75" t="s">
        <v>10</v>
      </c>
      <c r="I856" s="74" t="s">
        <v>11</v>
      </c>
      <c r="J856" s="75" t="s">
        <v>10</v>
      </c>
      <c r="K856" s="74" t="s">
        <v>11</v>
      </c>
      <c r="L856" s="75" t="s">
        <v>10</v>
      </c>
      <c r="M856" s="74" t="s">
        <v>11</v>
      </c>
      <c r="N856" s="75" t="s">
        <v>10</v>
      </c>
      <c r="O856" s="74" t="s">
        <v>11</v>
      </c>
      <c r="P856" s="75" t="s">
        <v>10</v>
      </c>
      <c r="Q856" s="74" t="s">
        <v>11</v>
      </c>
      <c r="R856" s="160"/>
      <c r="S856" s="74" t="s">
        <v>12</v>
      </c>
      <c r="T856" s="76"/>
    </row>
    <row r="857" spans="1:20" ht="7.5" customHeight="1">
      <c r="A857" s="70"/>
      <c r="B857" s="333" t="s">
        <v>13</v>
      </c>
      <c r="C857" s="335" t="s">
        <v>202</v>
      </c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330" t="s">
        <v>15</v>
      </c>
      <c r="S857" s="308" t="s">
        <v>203</v>
      </c>
      <c r="T857" s="147"/>
    </row>
    <row r="858" spans="1:20" ht="7.5" customHeight="1">
      <c r="A858" s="70"/>
      <c r="B858" s="299"/>
      <c r="C858" s="299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299"/>
      <c r="S858" s="299"/>
      <c r="T858" s="147"/>
    </row>
    <row r="859" spans="1:20" ht="7.5" customHeight="1">
      <c r="A859" s="70"/>
      <c r="B859" s="299"/>
      <c r="C859" s="299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85"/>
      <c r="S859" s="299"/>
      <c r="T859" s="147"/>
    </row>
    <row r="860" spans="1:20" ht="7.5" customHeight="1">
      <c r="A860" s="70"/>
      <c r="B860" s="299"/>
      <c r="C860" s="299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0"/>
      <c r="S860" s="299"/>
      <c r="T860" s="147"/>
    </row>
    <row r="861" spans="1:20" ht="7.5" customHeight="1">
      <c r="A861" s="70"/>
      <c r="B861" s="299"/>
      <c r="C861" s="299"/>
      <c r="D861" s="81"/>
      <c r="E861" s="81"/>
      <c r="F861" s="81"/>
      <c r="G861" s="81"/>
      <c r="H861" s="81"/>
      <c r="I861" s="307" t="s">
        <v>35</v>
      </c>
      <c r="J861" s="81"/>
      <c r="K861" s="307" t="s">
        <v>36</v>
      </c>
      <c r="L861" s="81"/>
      <c r="M861" s="307" t="s">
        <v>19</v>
      </c>
      <c r="N861" s="81"/>
      <c r="O861" s="307" t="s">
        <v>20</v>
      </c>
      <c r="P861" s="81"/>
      <c r="Q861" s="81"/>
      <c r="R861" s="82"/>
      <c r="S861" s="299"/>
      <c r="T861" s="147"/>
    </row>
    <row r="862" spans="1:20" ht="7.5" customHeight="1">
      <c r="A862" s="70"/>
      <c r="B862" s="299"/>
      <c r="C862" s="299"/>
      <c r="D862" s="78"/>
      <c r="E862" s="78"/>
      <c r="F862" s="78"/>
      <c r="G862" s="78"/>
      <c r="H862" s="78"/>
      <c r="I862" s="299"/>
      <c r="J862" s="99"/>
      <c r="K862" s="299"/>
      <c r="L862" s="79"/>
      <c r="M862" s="299"/>
      <c r="N862" s="99"/>
      <c r="O862" s="299"/>
      <c r="P862" s="78"/>
      <c r="Q862" s="78"/>
      <c r="R862" s="80"/>
      <c r="S862" s="299"/>
      <c r="T862" s="147"/>
    </row>
    <row r="863" spans="1:20" ht="7.5" customHeight="1">
      <c r="A863" s="70"/>
      <c r="B863" s="299"/>
      <c r="C863" s="299"/>
      <c r="D863" s="81"/>
      <c r="E863" s="81"/>
      <c r="F863" s="81"/>
      <c r="G863" s="81"/>
      <c r="H863" s="81"/>
      <c r="I863" s="299"/>
      <c r="J863" s="99"/>
      <c r="K863" s="299"/>
      <c r="L863" s="79"/>
      <c r="M863" s="299"/>
      <c r="N863" s="99"/>
      <c r="O863" s="299"/>
      <c r="P863" s="81"/>
      <c r="Q863" s="81"/>
      <c r="R863" s="82"/>
      <c r="S863" s="299"/>
      <c r="T863" s="147"/>
    </row>
    <row r="864" spans="1:20" ht="7.5" customHeight="1">
      <c r="A864" s="145"/>
      <c r="B864" s="299"/>
      <c r="C864" s="299"/>
      <c r="D864" s="78"/>
      <c r="E864" s="78"/>
      <c r="F864" s="78"/>
      <c r="G864" s="78"/>
      <c r="H864" s="78"/>
      <c r="I864" s="296"/>
      <c r="J864" s="99"/>
      <c r="K864" s="296"/>
      <c r="L864" s="81"/>
      <c r="M864" s="296"/>
      <c r="N864" s="99"/>
      <c r="O864" s="296"/>
      <c r="P864" s="78"/>
      <c r="Q864" s="78"/>
      <c r="R864" s="183"/>
      <c r="S864" s="299"/>
      <c r="T864" s="147"/>
    </row>
    <row r="865" spans="1:20" ht="7.5" customHeight="1">
      <c r="A865" s="145"/>
      <c r="B865" s="299"/>
      <c r="C865" s="299"/>
      <c r="D865" s="327" t="s">
        <v>204</v>
      </c>
      <c r="E865" s="307" t="s">
        <v>22</v>
      </c>
      <c r="F865" s="83"/>
      <c r="G865" s="295" t="s">
        <v>22</v>
      </c>
      <c r="H865" s="83"/>
      <c r="I865" s="295">
        <f>ROUND(K865*1.1,0)</f>
        <v>10632</v>
      </c>
      <c r="J865" s="312">
        <v>2263.4270099999994</v>
      </c>
      <c r="K865" s="295">
        <f>ROUND(J865*mark_up,0)</f>
        <v>9665</v>
      </c>
      <c r="L865" s="83"/>
      <c r="M865" s="295">
        <f>ROUND((I865-K865)+O865,0)</f>
        <v>18364</v>
      </c>
      <c r="N865" s="83"/>
      <c r="O865" s="295">
        <f>ROUND(K865*1.8,0)</f>
        <v>17397</v>
      </c>
      <c r="P865" s="83"/>
      <c r="Q865" s="295" t="s">
        <v>22</v>
      </c>
      <c r="R865" s="298" t="s">
        <v>15</v>
      </c>
      <c r="S865" s="325" t="s">
        <v>24</v>
      </c>
      <c r="T865" s="145"/>
    </row>
    <row r="866" spans="1:20" ht="7.5" customHeight="1">
      <c r="A866" s="145"/>
      <c r="B866" s="299"/>
      <c r="C866" s="299"/>
      <c r="D866" s="299"/>
      <c r="E866" s="299"/>
      <c r="F866" s="84"/>
      <c r="G866" s="296"/>
      <c r="H866" s="84"/>
      <c r="I866" s="296"/>
      <c r="J866" s="296"/>
      <c r="K866" s="296"/>
      <c r="L866" s="84"/>
      <c r="M866" s="296"/>
      <c r="N866" s="84"/>
      <c r="O866" s="296"/>
      <c r="P866" s="84"/>
      <c r="Q866" s="296"/>
      <c r="R866" s="299"/>
      <c r="S866" s="299"/>
      <c r="T866" s="145"/>
    </row>
    <row r="867" spans="1:20" ht="7.5" customHeight="1">
      <c r="A867" s="145"/>
      <c r="B867" s="299"/>
      <c r="C867" s="299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82"/>
      <c r="S867" s="299"/>
      <c r="T867" s="145"/>
    </row>
    <row r="868" spans="1:20" ht="7.5" customHeight="1">
      <c r="A868" s="145"/>
      <c r="B868" s="299"/>
      <c r="C868" s="299"/>
      <c r="D868" s="327" t="s">
        <v>205</v>
      </c>
      <c r="E868" s="307" t="s">
        <v>22</v>
      </c>
      <c r="F868" s="295"/>
      <c r="G868" s="295" t="s">
        <v>22</v>
      </c>
      <c r="H868" s="295"/>
      <c r="I868" s="295">
        <f>ROUND(K868*1.1,0)</f>
        <v>12778</v>
      </c>
      <c r="J868" s="297">
        <f t="shared" ref="J868:K868" si="16">ROUND(J865*1.20183486238532,0)</f>
        <v>2720</v>
      </c>
      <c r="K868" s="295">
        <f t="shared" si="16"/>
        <v>11616</v>
      </c>
      <c r="L868" s="83"/>
      <c r="M868" s="295">
        <f>ROUND((I868-K868)+O868,0)</f>
        <v>22071</v>
      </c>
      <c r="N868" s="295"/>
      <c r="O868" s="295">
        <f>ROUND(K868*1.8,0)</f>
        <v>20909</v>
      </c>
      <c r="P868" s="295"/>
      <c r="Q868" s="295" t="s">
        <v>22</v>
      </c>
      <c r="R868" s="298" t="s">
        <v>15</v>
      </c>
      <c r="S868" s="325" t="s">
        <v>30</v>
      </c>
      <c r="T868" s="145"/>
    </row>
    <row r="869" spans="1:20" ht="7.5" customHeight="1">
      <c r="A869" s="145"/>
      <c r="B869" s="299"/>
      <c r="C869" s="299"/>
      <c r="D869" s="299"/>
      <c r="E869" s="299"/>
      <c r="F869" s="296"/>
      <c r="G869" s="296"/>
      <c r="H869" s="296"/>
      <c r="I869" s="296"/>
      <c r="J869" s="296"/>
      <c r="K869" s="296"/>
      <c r="L869" s="84"/>
      <c r="M869" s="296"/>
      <c r="N869" s="296"/>
      <c r="O869" s="296"/>
      <c r="P869" s="296"/>
      <c r="Q869" s="296"/>
      <c r="R869" s="299"/>
      <c r="S869" s="299"/>
      <c r="T869" s="145"/>
    </row>
    <row r="870" spans="1:20" ht="7.5" customHeight="1">
      <c r="A870" s="145"/>
      <c r="B870" s="299"/>
      <c r="C870" s="299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298" t="s">
        <v>15</v>
      </c>
      <c r="S870" s="325" t="s">
        <v>206</v>
      </c>
      <c r="T870" s="145"/>
    </row>
    <row r="871" spans="1:20" ht="7.5" customHeight="1">
      <c r="A871" s="145"/>
      <c r="B871" s="299"/>
      <c r="C871" s="299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299"/>
      <c r="S871" s="299"/>
      <c r="T871" s="145"/>
    </row>
    <row r="872" spans="1:20" ht="7.5" customHeight="1">
      <c r="A872" s="145"/>
      <c r="B872" s="299"/>
      <c r="C872" s="299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298" t="s">
        <v>15</v>
      </c>
      <c r="S872" s="326" t="s">
        <v>31</v>
      </c>
      <c r="T872" s="145"/>
    </row>
    <row r="873" spans="1:20" ht="7.5" customHeight="1">
      <c r="A873" s="145"/>
      <c r="B873" s="299"/>
      <c r="C873" s="299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299"/>
      <c r="S873" s="299"/>
      <c r="T873" s="145"/>
    </row>
    <row r="874" spans="1:20" ht="7.5" customHeight="1">
      <c r="A874" s="145"/>
      <c r="B874" s="299"/>
      <c r="C874" s="334" t="s">
        <v>207</v>
      </c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85"/>
      <c r="S874" s="299"/>
      <c r="T874" s="147"/>
    </row>
    <row r="875" spans="1:20" ht="7.5" customHeight="1">
      <c r="A875" s="145"/>
      <c r="B875" s="299"/>
      <c r="C875" s="299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04"/>
      <c r="S875" s="189"/>
      <c r="T875" s="190"/>
    </row>
    <row r="876" spans="1:20" ht="7.5" customHeight="1">
      <c r="A876" s="145"/>
      <c r="B876" s="311"/>
      <c r="C876" s="31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2"/>
      <c r="S876" s="193"/>
      <c r="T876" s="190"/>
    </row>
    <row r="877" spans="1:20" ht="7.5" customHeight="1">
      <c r="A877" s="70"/>
      <c r="B877" s="333" t="s">
        <v>13</v>
      </c>
      <c r="C877" s="335" t="s">
        <v>208</v>
      </c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298" t="s">
        <v>15</v>
      </c>
      <c r="S877" s="325" t="s">
        <v>155</v>
      </c>
      <c r="T877" s="147"/>
    </row>
    <row r="878" spans="1:20" ht="7.5" customHeight="1">
      <c r="A878" s="70"/>
      <c r="B878" s="299"/>
      <c r="C878" s="299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299"/>
      <c r="S878" s="299"/>
      <c r="T878" s="147"/>
    </row>
    <row r="879" spans="1:20" ht="7.5" customHeight="1">
      <c r="A879" s="70"/>
      <c r="B879" s="299"/>
      <c r="C879" s="299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85"/>
      <c r="S879" s="299"/>
      <c r="T879" s="147"/>
    </row>
    <row r="880" spans="1:20" ht="7.5" customHeight="1">
      <c r="A880" s="70"/>
      <c r="B880" s="299"/>
      <c r="C880" s="299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0"/>
      <c r="S880" s="299"/>
      <c r="T880" s="147"/>
    </row>
    <row r="881" spans="1:20" ht="7.5" customHeight="1">
      <c r="A881" s="145"/>
      <c r="B881" s="299"/>
      <c r="C881" s="299"/>
      <c r="D881" s="81"/>
      <c r="E881" s="81"/>
      <c r="F881" s="81"/>
      <c r="G881" s="81"/>
      <c r="H881" s="81"/>
      <c r="I881" s="307" t="s">
        <v>35</v>
      </c>
      <c r="J881" s="81"/>
      <c r="K881" s="307" t="s">
        <v>36</v>
      </c>
      <c r="L881" s="81"/>
      <c r="M881" s="307" t="s">
        <v>19</v>
      </c>
      <c r="N881" s="81"/>
      <c r="O881" s="307" t="s">
        <v>20</v>
      </c>
      <c r="P881" s="81"/>
      <c r="Q881" s="81"/>
      <c r="R881" s="82"/>
      <c r="S881" s="299"/>
      <c r="T881" s="147"/>
    </row>
    <row r="882" spans="1:20" ht="7.5" customHeight="1">
      <c r="A882" s="145"/>
      <c r="B882" s="299"/>
      <c r="C882" s="299"/>
      <c r="D882" s="78"/>
      <c r="E882" s="78"/>
      <c r="F882" s="78"/>
      <c r="G882" s="78"/>
      <c r="H882" s="78"/>
      <c r="I882" s="299"/>
      <c r="J882" s="99"/>
      <c r="K882" s="299"/>
      <c r="L882" s="79"/>
      <c r="M882" s="299"/>
      <c r="N882" s="99"/>
      <c r="O882" s="299"/>
      <c r="P882" s="78"/>
      <c r="Q882" s="78"/>
      <c r="R882" s="80"/>
      <c r="S882" s="299"/>
      <c r="T882" s="145"/>
    </row>
    <row r="883" spans="1:20" ht="7.5" customHeight="1">
      <c r="A883" s="145"/>
      <c r="B883" s="299"/>
      <c r="C883" s="299"/>
      <c r="D883" s="81"/>
      <c r="E883" s="81"/>
      <c r="F883" s="81"/>
      <c r="G883" s="81"/>
      <c r="H883" s="81"/>
      <c r="I883" s="299"/>
      <c r="J883" s="99"/>
      <c r="K883" s="299"/>
      <c r="L883" s="79"/>
      <c r="M883" s="299"/>
      <c r="N883" s="99"/>
      <c r="O883" s="299"/>
      <c r="P883" s="81"/>
      <c r="Q883" s="81"/>
      <c r="R883" s="82"/>
      <c r="S883" s="299"/>
      <c r="T883" s="145"/>
    </row>
    <row r="884" spans="1:20" ht="7.5" customHeight="1">
      <c r="A884" s="145"/>
      <c r="B884" s="299"/>
      <c r="C884" s="299"/>
      <c r="D884" s="78"/>
      <c r="E884" s="78"/>
      <c r="F884" s="78"/>
      <c r="G884" s="78"/>
      <c r="H884" s="78"/>
      <c r="I884" s="296"/>
      <c r="J884" s="99"/>
      <c r="K884" s="296"/>
      <c r="L884" s="81"/>
      <c r="M884" s="296"/>
      <c r="N884" s="99"/>
      <c r="O884" s="296"/>
      <c r="P884" s="78"/>
      <c r="Q884" s="78"/>
      <c r="R884" s="183"/>
      <c r="S884" s="299"/>
      <c r="T884" s="145"/>
    </row>
    <row r="885" spans="1:20" ht="7.5" customHeight="1">
      <c r="A885" s="145"/>
      <c r="B885" s="299"/>
      <c r="C885" s="299"/>
      <c r="D885" s="327" t="s">
        <v>209</v>
      </c>
      <c r="E885" s="307" t="s">
        <v>22</v>
      </c>
      <c r="F885" s="83"/>
      <c r="G885" s="295" t="s">
        <v>22</v>
      </c>
      <c r="H885" s="83"/>
      <c r="I885" s="295">
        <f>ROUND(K885*1.1,0)</f>
        <v>12119</v>
      </c>
      <c r="J885" s="312">
        <v>2580.1644374999987</v>
      </c>
      <c r="K885" s="295">
        <f>ROUND(J885*mark_up,0)</f>
        <v>11017</v>
      </c>
      <c r="L885" s="83"/>
      <c r="M885" s="295">
        <f>ROUND((I885-K885)+O885,0)</f>
        <v>20933</v>
      </c>
      <c r="N885" s="83"/>
      <c r="O885" s="295">
        <f>ROUND(K885*1.8,0)</f>
        <v>19831</v>
      </c>
      <c r="P885" s="83"/>
      <c r="Q885" s="295" t="s">
        <v>22</v>
      </c>
      <c r="R885" s="298" t="s">
        <v>15</v>
      </c>
      <c r="S885" s="325" t="s">
        <v>210</v>
      </c>
      <c r="T885" s="145"/>
    </row>
    <row r="886" spans="1:20" ht="7.5" customHeight="1">
      <c r="A886" s="145"/>
      <c r="B886" s="299"/>
      <c r="C886" s="299"/>
      <c r="D886" s="299"/>
      <c r="E886" s="299"/>
      <c r="F886" s="84"/>
      <c r="G886" s="296"/>
      <c r="H886" s="84"/>
      <c r="I886" s="296"/>
      <c r="J886" s="296"/>
      <c r="K886" s="296"/>
      <c r="L886" s="84"/>
      <c r="M886" s="296"/>
      <c r="N886" s="84"/>
      <c r="O886" s="296"/>
      <c r="P886" s="84"/>
      <c r="Q886" s="296"/>
      <c r="R886" s="299"/>
      <c r="S886" s="299"/>
      <c r="T886" s="145"/>
    </row>
    <row r="887" spans="1:20" ht="7.5" customHeight="1">
      <c r="A887" s="145"/>
      <c r="B887" s="299"/>
      <c r="C887" s="299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298" t="s">
        <v>15</v>
      </c>
      <c r="S887" s="325" t="s">
        <v>24</v>
      </c>
      <c r="T887" s="145"/>
    </row>
    <row r="888" spans="1:20" ht="7.5" customHeight="1">
      <c r="A888" s="145"/>
      <c r="B888" s="299"/>
      <c r="C888" s="299"/>
      <c r="D888" s="327" t="s">
        <v>211</v>
      </c>
      <c r="E888" s="307" t="s">
        <v>22</v>
      </c>
      <c r="F888" s="295"/>
      <c r="G888" s="295" t="s">
        <v>22</v>
      </c>
      <c r="H888" s="295"/>
      <c r="I888" s="295">
        <f>ROUND(K888*1.1,0)</f>
        <v>14793</v>
      </c>
      <c r="J888" s="297">
        <f t="shared" ref="J888:K888" si="17">ROUND(J885*1.22068965,0)</f>
        <v>3150</v>
      </c>
      <c r="K888" s="295">
        <f t="shared" si="17"/>
        <v>13448</v>
      </c>
      <c r="L888" s="83"/>
      <c r="M888" s="295">
        <f>ROUND((I888-K888)+O888,0)</f>
        <v>25551</v>
      </c>
      <c r="N888" s="295"/>
      <c r="O888" s="295">
        <f>ROUND(K888*1.8,0)</f>
        <v>24206</v>
      </c>
      <c r="P888" s="295"/>
      <c r="Q888" s="295" t="s">
        <v>22</v>
      </c>
      <c r="R888" s="299"/>
      <c r="S888" s="299"/>
      <c r="T888" s="145"/>
    </row>
    <row r="889" spans="1:20" ht="7.5" customHeight="1">
      <c r="A889" s="145"/>
      <c r="B889" s="299"/>
      <c r="C889" s="299"/>
      <c r="D889" s="299"/>
      <c r="E889" s="299"/>
      <c r="F889" s="296"/>
      <c r="G889" s="296"/>
      <c r="H889" s="296"/>
      <c r="I889" s="296"/>
      <c r="J889" s="296"/>
      <c r="K889" s="296"/>
      <c r="L889" s="84"/>
      <c r="M889" s="296"/>
      <c r="N889" s="296"/>
      <c r="O889" s="296"/>
      <c r="P889" s="296"/>
      <c r="Q889" s="296"/>
      <c r="R889" s="82"/>
      <c r="S889" s="299"/>
      <c r="T889" s="145"/>
    </row>
    <row r="890" spans="1:20" ht="7.5" customHeight="1">
      <c r="A890" s="145"/>
      <c r="B890" s="299"/>
      <c r="C890" s="299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298" t="s">
        <v>15</v>
      </c>
      <c r="S890" s="325" t="s">
        <v>206</v>
      </c>
      <c r="T890" s="145"/>
    </row>
    <row r="891" spans="1:20" ht="7.5" customHeight="1">
      <c r="A891" s="145"/>
      <c r="B891" s="299"/>
      <c r="C891" s="299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299"/>
      <c r="S891" s="299"/>
      <c r="T891" s="145"/>
    </row>
    <row r="892" spans="1:20" ht="7.5" customHeight="1">
      <c r="A892" s="145"/>
      <c r="B892" s="299"/>
      <c r="C892" s="299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298" t="s">
        <v>15</v>
      </c>
      <c r="S892" s="326" t="s">
        <v>31</v>
      </c>
      <c r="T892" s="145"/>
    </row>
    <row r="893" spans="1:20" ht="7.5" customHeight="1">
      <c r="A893" s="145"/>
      <c r="B893" s="299"/>
      <c r="C893" s="299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299"/>
      <c r="S893" s="299"/>
      <c r="T893" s="147"/>
    </row>
    <row r="894" spans="1:20" ht="7.5" customHeight="1">
      <c r="A894" s="145"/>
      <c r="B894" s="299"/>
      <c r="C894" s="334" t="s">
        <v>212</v>
      </c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85"/>
      <c r="S894" s="299"/>
      <c r="T894" s="147"/>
    </row>
    <row r="895" spans="1:20" ht="7.5" customHeight="1">
      <c r="A895" s="145"/>
      <c r="B895" s="299"/>
      <c r="C895" s="299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04"/>
      <c r="S895" s="104"/>
      <c r="T895" s="147"/>
    </row>
    <row r="896" spans="1:20" ht="7.5" customHeight="1">
      <c r="A896" s="145"/>
      <c r="B896" s="311"/>
      <c r="C896" s="311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04"/>
      <c r="S896" s="104"/>
      <c r="T896" s="147"/>
    </row>
    <row r="897" spans="1:20" ht="7.5" customHeight="1">
      <c r="A897" s="70"/>
      <c r="B897" s="333" t="s">
        <v>13</v>
      </c>
      <c r="C897" s="335" t="s">
        <v>213</v>
      </c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330" t="s">
        <v>15</v>
      </c>
      <c r="S897" s="308" t="s">
        <v>214</v>
      </c>
      <c r="T897" s="145"/>
    </row>
    <row r="898" spans="1:20" ht="7.5" customHeight="1">
      <c r="A898" s="70"/>
      <c r="B898" s="299"/>
      <c r="C898" s="299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299"/>
      <c r="S898" s="299"/>
      <c r="T898" s="145"/>
    </row>
    <row r="899" spans="1:20" ht="7.5" customHeight="1">
      <c r="A899" s="70"/>
      <c r="B899" s="299"/>
      <c r="C899" s="299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298" t="s">
        <v>15</v>
      </c>
      <c r="S899" s="325" t="s">
        <v>215</v>
      </c>
      <c r="T899" s="145"/>
    </row>
    <row r="900" spans="1:20" ht="7.5" customHeight="1">
      <c r="A900" s="70"/>
      <c r="B900" s="299"/>
      <c r="C900" s="299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299"/>
      <c r="S900" s="299"/>
      <c r="T900" s="145"/>
    </row>
    <row r="901" spans="1:20" ht="7.5" customHeight="1">
      <c r="A901" s="70"/>
      <c r="B901" s="299"/>
      <c r="C901" s="299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2"/>
      <c r="S901" s="299"/>
      <c r="T901" s="145"/>
    </row>
    <row r="902" spans="1:20" ht="7.5" customHeight="1">
      <c r="A902" s="70"/>
      <c r="B902" s="299"/>
      <c r="C902" s="299"/>
      <c r="D902" s="327" t="s">
        <v>216</v>
      </c>
      <c r="E902" s="307" t="s">
        <v>22</v>
      </c>
      <c r="F902" s="83"/>
      <c r="G902" s="295" t="s">
        <v>22</v>
      </c>
      <c r="H902" s="83"/>
      <c r="I902" s="295" t="s">
        <v>22</v>
      </c>
      <c r="J902" s="83"/>
      <c r="K902" s="295" t="s">
        <v>22</v>
      </c>
      <c r="L902" s="312">
        <v>904.30314974999987</v>
      </c>
      <c r="M902" s="295">
        <f>ROUND(L902*mark_up,0)</f>
        <v>3861</v>
      </c>
      <c r="N902" s="83"/>
      <c r="O902" s="295" t="s">
        <v>22</v>
      </c>
      <c r="P902" s="83"/>
      <c r="Q902" s="295" t="s">
        <v>22</v>
      </c>
      <c r="R902" s="303" t="s">
        <v>217</v>
      </c>
      <c r="S902" s="299"/>
      <c r="T902" s="145"/>
    </row>
    <row r="903" spans="1:20" ht="7.5" customHeight="1">
      <c r="A903" s="70"/>
      <c r="B903" s="299"/>
      <c r="C903" s="299"/>
      <c r="D903" s="299"/>
      <c r="E903" s="299"/>
      <c r="F903" s="84"/>
      <c r="G903" s="296"/>
      <c r="H903" s="84"/>
      <c r="I903" s="296"/>
      <c r="J903" s="84"/>
      <c r="K903" s="296"/>
      <c r="L903" s="296"/>
      <c r="M903" s="296"/>
      <c r="N903" s="84"/>
      <c r="O903" s="296"/>
      <c r="P903" s="84"/>
      <c r="Q903" s="296"/>
      <c r="R903" s="299"/>
      <c r="S903" s="299"/>
      <c r="T903" s="72"/>
    </row>
    <row r="904" spans="1:20" ht="7.5" customHeight="1">
      <c r="A904" s="70"/>
      <c r="B904" s="299"/>
      <c r="C904" s="299"/>
      <c r="D904" s="327" t="s">
        <v>218</v>
      </c>
      <c r="E904" s="307" t="s">
        <v>22</v>
      </c>
      <c r="F904" s="295"/>
      <c r="G904" s="295" t="s">
        <v>22</v>
      </c>
      <c r="H904" s="295"/>
      <c r="I904" s="295" t="s">
        <v>22</v>
      </c>
      <c r="J904" s="295"/>
      <c r="K904" s="295" t="s">
        <v>22</v>
      </c>
      <c r="L904" s="297">
        <f t="shared" ref="L904:M904" si="18">ROUND(L902*1.43939393939393,0)</f>
        <v>1302</v>
      </c>
      <c r="M904" s="295">
        <f t="shared" si="18"/>
        <v>5557</v>
      </c>
      <c r="N904" s="295"/>
      <c r="O904" s="295" t="s">
        <v>22</v>
      </c>
      <c r="P904" s="295"/>
      <c r="Q904" s="295" t="s">
        <v>22</v>
      </c>
      <c r="R904" s="303" t="s">
        <v>219</v>
      </c>
      <c r="S904" s="299"/>
      <c r="T904" s="72"/>
    </row>
    <row r="905" spans="1:20" ht="7.5" customHeight="1">
      <c r="A905" s="70"/>
      <c r="B905" s="299"/>
      <c r="C905" s="299"/>
      <c r="D905" s="299"/>
      <c r="E905" s="299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9"/>
      <c r="S905" s="299"/>
      <c r="T905" s="72"/>
    </row>
    <row r="906" spans="1:20" ht="7.5" customHeight="1">
      <c r="A906" s="70"/>
      <c r="B906" s="299"/>
      <c r="C906" s="299"/>
      <c r="D906" s="327" t="s">
        <v>220</v>
      </c>
      <c r="E906" s="307" t="s">
        <v>22</v>
      </c>
      <c r="F906" s="295"/>
      <c r="G906" s="295" t="s">
        <v>22</v>
      </c>
      <c r="H906" s="295"/>
      <c r="I906" s="295" t="s">
        <v>22</v>
      </c>
      <c r="J906" s="295"/>
      <c r="K906" s="295" t="s">
        <v>22</v>
      </c>
      <c r="L906" s="297">
        <f t="shared" ref="L906:M906" si="19">ROUND(L902*2.56060606060606,0)</f>
        <v>2316</v>
      </c>
      <c r="M906" s="295">
        <f t="shared" si="19"/>
        <v>9887</v>
      </c>
      <c r="N906" s="295"/>
      <c r="O906" s="295" t="s">
        <v>22</v>
      </c>
      <c r="P906" s="295"/>
      <c r="Q906" s="295" t="s">
        <v>22</v>
      </c>
      <c r="R906" s="303" t="s">
        <v>221</v>
      </c>
      <c r="S906" s="299"/>
      <c r="T906" s="72"/>
    </row>
    <row r="907" spans="1:20" ht="7.5" customHeight="1">
      <c r="A907" s="70"/>
      <c r="B907" s="299"/>
      <c r="C907" s="299"/>
      <c r="D907" s="299"/>
      <c r="E907" s="299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9"/>
      <c r="S907" s="299"/>
      <c r="T907" s="72"/>
    </row>
    <row r="908" spans="1:20" ht="7.5" customHeight="1">
      <c r="A908" s="70"/>
      <c r="B908" s="299"/>
      <c r="C908" s="299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298" t="s">
        <v>15</v>
      </c>
      <c r="S908" s="304" t="s">
        <v>170</v>
      </c>
      <c r="T908" s="72"/>
    </row>
    <row r="909" spans="1:20" ht="7.5" customHeight="1">
      <c r="A909" s="72"/>
      <c r="B909" s="299"/>
      <c r="C909" s="299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299"/>
      <c r="S909" s="299"/>
      <c r="T909" s="145"/>
    </row>
    <row r="910" spans="1:20" ht="7.5" customHeight="1">
      <c r="A910" s="72"/>
      <c r="B910" s="299"/>
      <c r="C910" s="334" t="s">
        <v>222</v>
      </c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158"/>
      <c r="S910" s="299"/>
      <c r="T910" s="145"/>
    </row>
    <row r="911" spans="1:20" ht="7.5" customHeight="1">
      <c r="A911" s="72"/>
      <c r="B911" s="299"/>
      <c r="C911" s="299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2"/>
      <c r="S911" s="108"/>
      <c r="T911" s="145"/>
    </row>
    <row r="912" spans="1:20" ht="7.5" customHeight="1">
      <c r="A912" s="70"/>
      <c r="B912" s="311"/>
      <c r="C912" s="31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2"/>
      <c r="S912" s="108"/>
      <c r="T912" s="145"/>
    </row>
    <row r="913" spans="1:20" ht="11.25" customHeight="1">
      <c r="A913" s="70"/>
      <c r="B913" s="300"/>
      <c r="C913" s="301"/>
      <c r="D913" s="301"/>
      <c r="E913" s="301"/>
      <c r="F913" s="301"/>
      <c r="G913" s="301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2" t="s">
        <v>53</v>
      </c>
      <c r="T913" s="72"/>
    </row>
    <row r="914" spans="1:20" ht="11.25" customHeight="1">
      <c r="A914" s="70"/>
      <c r="B914" s="111"/>
      <c r="C914" s="116"/>
      <c r="D914" s="117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7"/>
      <c r="S914" s="296"/>
      <c r="T914" s="72"/>
    </row>
    <row r="915" spans="1:20" ht="11.25" customHeight="1">
      <c r="A915" s="70"/>
      <c r="B915" s="309" t="s">
        <v>223</v>
      </c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72"/>
    </row>
    <row r="916" spans="1:20" ht="61.5" customHeight="1">
      <c r="A916" s="70"/>
      <c r="B916" s="331"/>
      <c r="C916" s="31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310" t="s">
        <v>5</v>
      </c>
      <c r="P916" s="311"/>
      <c r="Q916" s="311"/>
      <c r="R916" s="311"/>
      <c r="S916" s="311"/>
      <c r="T916" s="72"/>
    </row>
    <row r="917" spans="1:20" ht="34.5" customHeight="1">
      <c r="A917" s="70"/>
      <c r="B917" s="74" t="s">
        <v>6</v>
      </c>
      <c r="C917" s="74" t="s">
        <v>7</v>
      </c>
      <c r="D917" s="74" t="s">
        <v>8</v>
      </c>
      <c r="E917" s="74" t="s">
        <v>9</v>
      </c>
      <c r="F917" s="74" t="s">
        <v>10</v>
      </c>
      <c r="G917" s="74" t="s">
        <v>11</v>
      </c>
      <c r="H917" s="74" t="s">
        <v>10</v>
      </c>
      <c r="I917" s="74" t="s">
        <v>11</v>
      </c>
      <c r="J917" s="74" t="s">
        <v>10</v>
      </c>
      <c r="K917" s="74" t="s">
        <v>11</v>
      </c>
      <c r="L917" s="74" t="s">
        <v>10</v>
      </c>
      <c r="M917" s="74" t="s">
        <v>11</v>
      </c>
      <c r="N917" s="74" t="s">
        <v>10</v>
      </c>
      <c r="O917" s="74" t="s">
        <v>11</v>
      </c>
      <c r="P917" s="74" t="s">
        <v>10</v>
      </c>
      <c r="Q917" s="74" t="s">
        <v>11</v>
      </c>
      <c r="R917" s="160"/>
      <c r="S917" s="74" t="s">
        <v>12</v>
      </c>
      <c r="T917" s="76"/>
    </row>
    <row r="918" spans="1:20" ht="7.5" customHeight="1">
      <c r="A918" s="70"/>
      <c r="B918" s="333" t="s">
        <v>13</v>
      </c>
      <c r="C918" s="335" t="s">
        <v>224</v>
      </c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8"/>
      <c r="R918" s="298" t="s">
        <v>15</v>
      </c>
      <c r="S918" s="308" t="s">
        <v>155</v>
      </c>
      <c r="T918" s="147"/>
    </row>
    <row r="919" spans="1:20" ht="7.5" customHeight="1">
      <c r="A919" s="70"/>
      <c r="B919" s="299"/>
      <c r="C919" s="299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299"/>
      <c r="S919" s="299"/>
      <c r="T919" s="72"/>
    </row>
    <row r="920" spans="1:20" ht="7.5" customHeight="1">
      <c r="A920" s="70"/>
      <c r="B920" s="299"/>
      <c r="C920" s="299"/>
      <c r="D920" s="78"/>
      <c r="E920" s="78"/>
      <c r="F920" s="78"/>
      <c r="G920" s="78"/>
      <c r="H920" s="78"/>
      <c r="I920" s="78"/>
      <c r="J920" s="78"/>
      <c r="K920" s="78"/>
      <c r="L920" s="78"/>
      <c r="M920" s="79"/>
      <c r="N920" s="78"/>
      <c r="O920" s="78"/>
      <c r="P920" s="78"/>
      <c r="Q920" s="78"/>
      <c r="R920" s="80"/>
      <c r="S920" s="299"/>
      <c r="T920" s="72"/>
    </row>
    <row r="921" spans="1:20" ht="7.5" customHeight="1">
      <c r="A921" s="70"/>
      <c r="B921" s="299"/>
      <c r="C921" s="299"/>
      <c r="D921" s="81"/>
      <c r="E921" s="81"/>
      <c r="F921" s="81"/>
      <c r="G921" s="81"/>
      <c r="H921" s="81"/>
      <c r="I921" s="81"/>
      <c r="J921" s="81"/>
      <c r="K921" s="81"/>
      <c r="L921" s="81"/>
      <c r="M921" s="79"/>
      <c r="N921" s="81"/>
      <c r="O921" s="81"/>
      <c r="P921" s="81"/>
      <c r="Q921" s="81"/>
      <c r="R921" s="82"/>
      <c r="S921" s="299"/>
      <c r="T921" s="72"/>
    </row>
    <row r="922" spans="1:20" ht="7.5" customHeight="1">
      <c r="A922" s="70"/>
      <c r="B922" s="299"/>
      <c r="C922" s="299"/>
      <c r="D922" s="78"/>
      <c r="E922" s="78"/>
      <c r="F922" s="78"/>
      <c r="G922" s="78"/>
      <c r="H922" s="78"/>
      <c r="I922" s="307" t="s">
        <v>35</v>
      </c>
      <c r="J922" s="81"/>
      <c r="K922" s="307" t="s">
        <v>36</v>
      </c>
      <c r="L922" s="81"/>
      <c r="M922" s="307" t="s">
        <v>19</v>
      </c>
      <c r="N922" s="81"/>
      <c r="O922" s="307" t="s">
        <v>20</v>
      </c>
      <c r="P922" s="78"/>
      <c r="Q922" s="78"/>
      <c r="R922" s="80"/>
      <c r="S922" s="299"/>
      <c r="T922" s="72"/>
    </row>
    <row r="923" spans="1:20" ht="7.5" customHeight="1">
      <c r="A923" s="70"/>
      <c r="B923" s="299"/>
      <c r="C923" s="299"/>
      <c r="D923" s="81"/>
      <c r="E923" s="81"/>
      <c r="F923" s="81"/>
      <c r="G923" s="81"/>
      <c r="H923" s="81"/>
      <c r="I923" s="299"/>
      <c r="J923" s="99"/>
      <c r="K923" s="299"/>
      <c r="L923" s="79"/>
      <c r="M923" s="299"/>
      <c r="N923" s="99"/>
      <c r="O923" s="299"/>
      <c r="P923" s="81"/>
      <c r="Q923" s="81"/>
      <c r="R923" s="82"/>
      <c r="S923" s="299"/>
      <c r="T923" s="72"/>
    </row>
    <row r="924" spans="1:20" ht="7.5" customHeight="1">
      <c r="A924" s="70"/>
      <c r="B924" s="299"/>
      <c r="C924" s="299"/>
      <c r="D924" s="156"/>
      <c r="E924" s="156"/>
      <c r="F924" s="156"/>
      <c r="G924" s="156"/>
      <c r="H924" s="156"/>
      <c r="I924" s="299"/>
      <c r="J924" s="99"/>
      <c r="K924" s="299"/>
      <c r="L924" s="79"/>
      <c r="M924" s="299"/>
      <c r="N924" s="99"/>
      <c r="O924" s="299"/>
      <c r="P924" s="156"/>
      <c r="Q924" s="156"/>
      <c r="R924" s="183"/>
      <c r="S924" s="299"/>
      <c r="T924" s="72"/>
    </row>
    <row r="925" spans="1:20" ht="7.5" customHeight="1">
      <c r="A925" s="145"/>
      <c r="B925" s="299"/>
      <c r="C925" s="299"/>
      <c r="D925" s="156"/>
      <c r="E925" s="156"/>
      <c r="F925" s="156"/>
      <c r="G925" s="156"/>
      <c r="H925" s="156"/>
      <c r="I925" s="296"/>
      <c r="J925" s="99"/>
      <c r="K925" s="296"/>
      <c r="L925" s="81"/>
      <c r="M925" s="296"/>
      <c r="N925" s="99"/>
      <c r="O925" s="296"/>
      <c r="P925" s="156"/>
      <c r="Q925" s="156"/>
      <c r="R925" s="183"/>
      <c r="S925" s="299"/>
      <c r="T925" s="145"/>
    </row>
    <row r="926" spans="1:20" ht="7.5" customHeight="1">
      <c r="A926" s="145"/>
      <c r="B926" s="299"/>
      <c r="C926" s="299"/>
      <c r="D926" s="327" t="s">
        <v>225</v>
      </c>
      <c r="E926" s="307" t="s">
        <v>22</v>
      </c>
      <c r="F926" s="83"/>
      <c r="G926" s="295" t="s">
        <v>22</v>
      </c>
      <c r="H926" s="83"/>
      <c r="I926" s="295">
        <f>ROUND(K926*1.1,0)</f>
        <v>10005</v>
      </c>
      <c r="J926" s="312">
        <v>2129.9702287499995</v>
      </c>
      <c r="K926" s="295">
        <f>ROUND(J926*mark_up,0)</f>
        <v>9095</v>
      </c>
      <c r="L926" s="83"/>
      <c r="M926" s="295">
        <f>ROUND((I926-K926)+O926,0)</f>
        <v>17276</v>
      </c>
      <c r="N926" s="83"/>
      <c r="O926" s="295">
        <f>ROUND(K926*1.7994987,0)</f>
        <v>16366</v>
      </c>
      <c r="P926" s="83"/>
      <c r="Q926" s="295" t="s">
        <v>22</v>
      </c>
      <c r="R926" s="298" t="s">
        <v>15</v>
      </c>
      <c r="S926" s="325" t="s">
        <v>24</v>
      </c>
      <c r="T926" s="145"/>
    </row>
    <row r="927" spans="1:20" ht="7.5" customHeight="1">
      <c r="A927" s="145"/>
      <c r="B927" s="299"/>
      <c r="C927" s="299"/>
      <c r="D927" s="299"/>
      <c r="E927" s="299"/>
      <c r="F927" s="84"/>
      <c r="G927" s="296"/>
      <c r="H927" s="84"/>
      <c r="I927" s="296"/>
      <c r="J927" s="296"/>
      <c r="K927" s="296"/>
      <c r="L927" s="84"/>
      <c r="M927" s="296"/>
      <c r="N927" s="84"/>
      <c r="O927" s="296"/>
      <c r="P927" s="84"/>
      <c r="Q927" s="296"/>
      <c r="R927" s="299"/>
      <c r="S927" s="299"/>
      <c r="T927" s="145"/>
    </row>
    <row r="928" spans="1:20" ht="7.5" customHeight="1">
      <c r="A928" s="145"/>
      <c r="B928" s="299"/>
      <c r="C928" s="299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82"/>
      <c r="S928" s="299"/>
      <c r="T928" s="145"/>
    </row>
    <row r="929" spans="1:20" ht="7.5" customHeight="1">
      <c r="A929" s="145"/>
      <c r="B929" s="299"/>
      <c r="C929" s="299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298" t="s">
        <v>15</v>
      </c>
      <c r="S929" s="325" t="s">
        <v>206</v>
      </c>
      <c r="T929" s="145"/>
    </row>
    <row r="930" spans="1:20" ht="7.5" customHeight="1">
      <c r="A930" s="145"/>
      <c r="B930" s="299"/>
      <c r="C930" s="299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299"/>
      <c r="S930" s="299"/>
      <c r="T930" s="145"/>
    </row>
    <row r="931" spans="1:20" ht="7.5" customHeight="1">
      <c r="A931" s="145"/>
      <c r="B931" s="299"/>
      <c r="C931" s="299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298" t="s">
        <v>15</v>
      </c>
      <c r="S931" s="326" t="s">
        <v>31</v>
      </c>
      <c r="T931" s="145"/>
    </row>
    <row r="932" spans="1:20" ht="7.5" customHeight="1">
      <c r="A932" s="145"/>
      <c r="B932" s="299"/>
      <c r="C932" s="299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299"/>
      <c r="S932" s="299"/>
      <c r="T932" s="145"/>
    </row>
    <row r="933" spans="1:20" ht="7.5" customHeight="1">
      <c r="A933" s="145"/>
      <c r="B933" s="299"/>
      <c r="C933" s="299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85"/>
      <c r="S933" s="299"/>
      <c r="T933" s="145"/>
    </row>
    <row r="934" spans="1:20" ht="7.5" customHeight="1">
      <c r="A934" s="145"/>
      <c r="B934" s="299"/>
      <c r="C934" s="334" t="s">
        <v>226</v>
      </c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04"/>
      <c r="S934" s="104"/>
      <c r="T934" s="145"/>
    </row>
    <row r="935" spans="1:20" ht="7.5" customHeight="1">
      <c r="A935" s="145"/>
      <c r="B935" s="299"/>
      <c r="C935" s="299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04"/>
      <c r="S935" s="104"/>
      <c r="T935" s="145"/>
    </row>
    <row r="936" spans="1:20" ht="7.5" customHeight="1">
      <c r="A936" s="145"/>
      <c r="B936" s="311"/>
      <c r="C936" s="31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4"/>
      <c r="S936" s="195"/>
      <c r="T936" s="145"/>
    </row>
    <row r="937" spans="1:20" ht="7.5" customHeight="1">
      <c r="A937" s="70"/>
      <c r="B937" s="333" t="s">
        <v>13</v>
      </c>
      <c r="C937" s="335" t="s">
        <v>227</v>
      </c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298" t="s">
        <v>15</v>
      </c>
      <c r="S937" s="308" t="s">
        <v>155</v>
      </c>
      <c r="T937" s="147"/>
    </row>
    <row r="938" spans="1:20" ht="7.5" customHeight="1">
      <c r="A938" s="70"/>
      <c r="B938" s="299"/>
      <c r="C938" s="299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299"/>
      <c r="S938" s="299"/>
      <c r="T938" s="147"/>
    </row>
    <row r="939" spans="1:20" ht="7.5" customHeight="1">
      <c r="A939" s="70"/>
      <c r="B939" s="299"/>
      <c r="C939" s="299"/>
      <c r="D939" s="78"/>
      <c r="E939" s="78"/>
      <c r="F939" s="78"/>
      <c r="G939" s="78"/>
      <c r="H939" s="78"/>
      <c r="I939" s="78"/>
      <c r="J939" s="78"/>
      <c r="K939" s="78"/>
      <c r="L939" s="78"/>
      <c r="M939" s="79"/>
      <c r="N939" s="78"/>
      <c r="O939" s="78"/>
      <c r="P939" s="78"/>
      <c r="Q939" s="78"/>
      <c r="R939" s="80"/>
      <c r="S939" s="299"/>
      <c r="T939" s="147"/>
    </row>
    <row r="940" spans="1:20" ht="7.5" customHeight="1">
      <c r="A940" s="70"/>
      <c r="B940" s="299"/>
      <c r="C940" s="299"/>
      <c r="D940" s="81"/>
      <c r="E940" s="81"/>
      <c r="F940" s="81"/>
      <c r="G940" s="81"/>
      <c r="H940" s="81"/>
      <c r="I940" s="81"/>
      <c r="J940" s="81"/>
      <c r="K940" s="81"/>
      <c r="L940" s="81"/>
      <c r="M940" s="79"/>
      <c r="N940" s="81"/>
      <c r="O940" s="81"/>
      <c r="P940" s="81"/>
      <c r="Q940" s="81"/>
      <c r="R940" s="82"/>
      <c r="S940" s="299"/>
      <c r="T940" s="147"/>
    </row>
    <row r="941" spans="1:20" ht="7.5" customHeight="1">
      <c r="A941" s="70"/>
      <c r="B941" s="299"/>
      <c r="C941" s="299"/>
      <c r="D941" s="78"/>
      <c r="E941" s="78"/>
      <c r="F941" s="78"/>
      <c r="G941" s="78"/>
      <c r="H941" s="78"/>
      <c r="I941" s="307" t="s">
        <v>35</v>
      </c>
      <c r="J941" s="81"/>
      <c r="K941" s="307" t="s">
        <v>36</v>
      </c>
      <c r="L941" s="81"/>
      <c r="M941" s="307" t="s">
        <v>19</v>
      </c>
      <c r="N941" s="81"/>
      <c r="O941" s="307" t="s">
        <v>20</v>
      </c>
      <c r="P941" s="78"/>
      <c r="Q941" s="78"/>
      <c r="R941" s="80"/>
      <c r="S941" s="299"/>
      <c r="T941" s="147"/>
    </row>
    <row r="942" spans="1:20" ht="7.5" customHeight="1">
      <c r="A942" s="70"/>
      <c r="B942" s="299"/>
      <c r="C942" s="299"/>
      <c r="D942" s="81"/>
      <c r="E942" s="81"/>
      <c r="F942" s="81"/>
      <c r="G942" s="81"/>
      <c r="H942" s="81"/>
      <c r="I942" s="299"/>
      <c r="J942" s="99"/>
      <c r="K942" s="299"/>
      <c r="L942" s="79"/>
      <c r="M942" s="299"/>
      <c r="N942" s="99"/>
      <c r="O942" s="299"/>
      <c r="P942" s="81"/>
      <c r="Q942" s="81"/>
      <c r="R942" s="82"/>
      <c r="S942" s="299"/>
      <c r="T942" s="147"/>
    </row>
    <row r="943" spans="1:20" ht="7.5" customHeight="1">
      <c r="A943" s="145"/>
      <c r="B943" s="299"/>
      <c r="C943" s="299"/>
      <c r="D943" s="156"/>
      <c r="E943" s="156"/>
      <c r="F943" s="156"/>
      <c r="G943" s="156"/>
      <c r="H943" s="156"/>
      <c r="I943" s="299"/>
      <c r="J943" s="99"/>
      <c r="K943" s="299"/>
      <c r="L943" s="79"/>
      <c r="M943" s="299"/>
      <c r="N943" s="99"/>
      <c r="O943" s="299"/>
      <c r="P943" s="156"/>
      <c r="Q943" s="156"/>
      <c r="R943" s="183"/>
      <c r="S943" s="299"/>
      <c r="T943" s="147"/>
    </row>
    <row r="944" spans="1:20" ht="7.5" customHeight="1">
      <c r="A944" s="145"/>
      <c r="B944" s="299"/>
      <c r="C944" s="299"/>
      <c r="D944" s="156"/>
      <c r="E944" s="156"/>
      <c r="F944" s="156"/>
      <c r="G944" s="156"/>
      <c r="H944" s="156"/>
      <c r="I944" s="296"/>
      <c r="J944" s="99"/>
      <c r="K944" s="296"/>
      <c r="L944" s="81"/>
      <c r="M944" s="296"/>
      <c r="N944" s="99"/>
      <c r="O944" s="296"/>
      <c r="P944" s="156"/>
      <c r="Q944" s="156"/>
      <c r="R944" s="183"/>
      <c r="S944" s="299"/>
      <c r="T944" s="145"/>
    </row>
    <row r="945" spans="1:20" ht="7.5" customHeight="1">
      <c r="A945" s="145"/>
      <c r="B945" s="299"/>
      <c r="C945" s="299"/>
      <c r="D945" s="327" t="s">
        <v>228</v>
      </c>
      <c r="E945" s="307" t="s">
        <v>22</v>
      </c>
      <c r="F945" s="83"/>
      <c r="G945" s="295" t="s">
        <v>22</v>
      </c>
      <c r="H945" s="83"/>
      <c r="I945" s="295">
        <f>ROUND(K945*1.1,0)</f>
        <v>11392</v>
      </c>
      <c r="J945" s="312">
        <v>2425.354571249999</v>
      </c>
      <c r="K945" s="295">
        <f>ROUND(J945*mark_up,0)</f>
        <v>10356</v>
      </c>
      <c r="L945" s="83"/>
      <c r="M945" s="295">
        <f>ROUND((I945-K945)+O945,0)</f>
        <v>19677</v>
      </c>
      <c r="N945" s="83"/>
      <c r="O945" s="295">
        <f>ROUND(K945*1.8,0)</f>
        <v>18641</v>
      </c>
      <c r="P945" s="83"/>
      <c r="Q945" s="295" t="s">
        <v>22</v>
      </c>
      <c r="R945" s="298" t="s">
        <v>15</v>
      </c>
      <c r="S945" s="325" t="s">
        <v>24</v>
      </c>
      <c r="T945" s="145"/>
    </row>
    <row r="946" spans="1:20" ht="7.5" customHeight="1">
      <c r="A946" s="145"/>
      <c r="B946" s="299"/>
      <c r="C946" s="299"/>
      <c r="D946" s="299"/>
      <c r="E946" s="299"/>
      <c r="F946" s="84"/>
      <c r="G946" s="296"/>
      <c r="H946" s="84"/>
      <c r="I946" s="296"/>
      <c r="J946" s="296"/>
      <c r="K946" s="296"/>
      <c r="L946" s="84"/>
      <c r="M946" s="296"/>
      <c r="N946" s="84"/>
      <c r="O946" s="296"/>
      <c r="P946" s="84"/>
      <c r="Q946" s="296"/>
      <c r="R946" s="299"/>
      <c r="S946" s="299"/>
      <c r="T946" s="145"/>
    </row>
    <row r="947" spans="1:20" ht="7.5" customHeight="1">
      <c r="A947" s="145"/>
      <c r="B947" s="299"/>
      <c r="C947" s="299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82"/>
      <c r="S947" s="299"/>
      <c r="T947" s="147"/>
    </row>
    <row r="948" spans="1:20" ht="7.5" customHeight="1">
      <c r="A948" s="145"/>
      <c r="B948" s="299"/>
      <c r="C948" s="299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298" t="s">
        <v>15</v>
      </c>
      <c r="S948" s="326" t="s">
        <v>31</v>
      </c>
      <c r="T948" s="145"/>
    </row>
    <row r="949" spans="1:20" ht="7.5" customHeight="1">
      <c r="A949" s="145"/>
      <c r="B949" s="299"/>
      <c r="C949" s="299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299"/>
      <c r="S949" s="299"/>
      <c r="T949" s="145"/>
    </row>
    <row r="950" spans="1:20" ht="7.5" customHeight="1">
      <c r="A950" s="145"/>
      <c r="B950" s="299"/>
      <c r="C950" s="299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85"/>
      <c r="S950" s="299"/>
      <c r="T950" s="145"/>
    </row>
    <row r="951" spans="1:20" ht="7.5" customHeight="1">
      <c r="A951" s="145"/>
      <c r="B951" s="299"/>
      <c r="C951" s="299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04"/>
      <c r="S951" s="104"/>
      <c r="T951" s="147"/>
    </row>
    <row r="952" spans="1:20" ht="7.5" customHeight="1">
      <c r="A952" s="145"/>
      <c r="B952" s="299"/>
      <c r="C952" s="334" t="s">
        <v>229</v>
      </c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04"/>
      <c r="S952" s="104"/>
      <c r="T952" s="145"/>
    </row>
    <row r="953" spans="1:20" ht="7.5" customHeight="1">
      <c r="A953" s="145"/>
      <c r="B953" s="299"/>
      <c r="C953" s="299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83"/>
      <c r="S953" s="189"/>
      <c r="T953" s="145"/>
    </row>
    <row r="954" spans="1:20" ht="7.5" customHeight="1">
      <c r="A954" s="145"/>
      <c r="B954" s="299"/>
      <c r="C954" s="311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94"/>
      <c r="S954" s="156"/>
      <c r="T954" s="145"/>
    </row>
    <row r="955" spans="1:20" ht="7.5" customHeight="1">
      <c r="A955" s="70"/>
      <c r="B955" s="333" t="s">
        <v>13</v>
      </c>
      <c r="C955" s="335" t="s">
        <v>230</v>
      </c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298" t="s">
        <v>15</v>
      </c>
      <c r="S955" s="308" t="s">
        <v>231</v>
      </c>
      <c r="T955" s="147"/>
    </row>
    <row r="956" spans="1:20" ht="7.5" customHeight="1">
      <c r="A956" s="70"/>
      <c r="B956" s="299"/>
      <c r="C956" s="299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299"/>
      <c r="S956" s="299"/>
      <c r="T956" s="147"/>
    </row>
    <row r="957" spans="1:20" ht="7.5" customHeight="1">
      <c r="A957" s="70"/>
      <c r="B957" s="299"/>
      <c r="C957" s="299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298" t="s">
        <v>15</v>
      </c>
      <c r="S957" s="325" t="s">
        <v>232</v>
      </c>
      <c r="T957" s="147"/>
    </row>
    <row r="958" spans="1:20" ht="7.5" customHeight="1">
      <c r="A958" s="70"/>
      <c r="B958" s="299"/>
      <c r="C958" s="299"/>
      <c r="D958" s="336" t="s">
        <v>233</v>
      </c>
      <c r="E958" s="307" t="s">
        <v>22</v>
      </c>
      <c r="F958" s="312">
        <v>197.07251488031241</v>
      </c>
      <c r="G958" s="295">
        <f>ROUND(F958*mark_up,0)</f>
        <v>841</v>
      </c>
      <c r="H958" s="83"/>
      <c r="I958" s="295" t="s">
        <v>22</v>
      </c>
      <c r="J958" s="83"/>
      <c r="K958" s="295" t="s">
        <v>22</v>
      </c>
      <c r="L958" s="83"/>
      <c r="M958" s="295" t="s">
        <v>22</v>
      </c>
      <c r="N958" s="83"/>
      <c r="O958" s="295" t="s">
        <v>22</v>
      </c>
      <c r="P958" s="83"/>
      <c r="Q958" s="295" t="s">
        <v>22</v>
      </c>
      <c r="R958" s="299"/>
      <c r="S958" s="299"/>
      <c r="T958" s="147"/>
    </row>
    <row r="959" spans="1:20" ht="7.5" customHeight="1">
      <c r="A959" s="70"/>
      <c r="B959" s="299"/>
      <c r="C959" s="299"/>
      <c r="D959" s="299"/>
      <c r="E959" s="299"/>
      <c r="F959" s="296"/>
      <c r="G959" s="296"/>
      <c r="H959" s="84"/>
      <c r="I959" s="296"/>
      <c r="J959" s="84"/>
      <c r="K959" s="296"/>
      <c r="L959" s="84"/>
      <c r="M959" s="296"/>
      <c r="N959" s="84"/>
      <c r="O959" s="296"/>
      <c r="P959" s="84"/>
      <c r="Q959" s="296"/>
      <c r="R959" s="82"/>
      <c r="S959" s="299"/>
      <c r="T959" s="147"/>
    </row>
    <row r="960" spans="1:20" ht="7.5" customHeight="1">
      <c r="A960" s="70"/>
      <c r="B960" s="299"/>
      <c r="C960" s="299"/>
      <c r="D960" s="336" t="s">
        <v>234</v>
      </c>
      <c r="E960" s="307" t="s">
        <v>22</v>
      </c>
      <c r="F960" s="312">
        <v>220.25751663093746</v>
      </c>
      <c r="G960" s="295">
        <f>ROUND(F960*mark_up,0)</f>
        <v>940</v>
      </c>
      <c r="H960" s="83"/>
      <c r="I960" s="295" t="s">
        <v>22</v>
      </c>
      <c r="J960" s="83"/>
      <c r="K960" s="295" t="s">
        <v>22</v>
      </c>
      <c r="L960" s="83"/>
      <c r="M960" s="295" t="s">
        <v>22</v>
      </c>
      <c r="N960" s="83"/>
      <c r="O960" s="295" t="s">
        <v>22</v>
      </c>
      <c r="P960" s="83"/>
      <c r="Q960" s="295" t="s">
        <v>22</v>
      </c>
      <c r="R960" s="85"/>
      <c r="S960" s="299"/>
      <c r="T960" s="147"/>
    </row>
    <row r="961" spans="1:20" ht="7.5" customHeight="1">
      <c r="A961" s="70"/>
      <c r="B961" s="299"/>
      <c r="C961" s="299"/>
      <c r="D961" s="299"/>
      <c r="E961" s="299"/>
      <c r="F961" s="296"/>
      <c r="G961" s="296"/>
      <c r="H961" s="84"/>
      <c r="I961" s="296"/>
      <c r="J961" s="84"/>
      <c r="K961" s="296"/>
      <c r="L961" s="84"/>
      <c r="M961" s="296"/>
      <c r="N961" s="84"/>
      <c r="O961" s="296"/>
      <c r="P961" s="84"/>
      <c r="Q961" s="296"/>
      <c r="R961" s="85"/>
      <c r="S961" s="299"/>
      <c r="T961" s="147"/>
    </row>
    <row r="962" spans="1:20" ht="7.5" customHeight="1">
      <c r="A962" s="70"/>
      <c r="B962" s="299"/>
      <c r="C962" s="299"/>
      <c r="D962" s="336" t="s">
        <v>235</v>
      </c>
      <c r="E962" s="307" t="s">
        <v>22</v>
      </c>
      <c r="F962" s="312">
        <v>204.02801540549993</v>
      </c>
      <c r="G962" s="295">
        <f>ROUND(F962*mark_up,0)</f>
        <v>871</v>
      </c>
      <c r="H962" s="83"/>
      <c r="I962" s="295" t="s">
        <v>22</v>
      </c>
      <c r="J962" s="83"/>
      <c r="K962" s="295" t="s">
        <v>22</v>
      </c>
      <c r="L962" s="83"/>
      <c r="M962" s="295" t="s">
        <v>22</v>
      </c>
      <c r="N962" s="83"/>
      <c r="O962" s="295" t="s">
        <v>22</v>
      </c>
      <c r="P962" s="83"/>
      <c r="Q962" s="295" t="s">
        <v>22</v>
      </c>
      <c r="R962" s="85"/>
      <c r="S962" s="159"/>
      <c r="T962" s="147"/>
    </row>
    <row r="963" spans="1:20" ht="7.5" customHeight="1">
      <c r="A963" s="70"/>
      <c r="B963" s="299"/>
      <c r="C963" s="299"/>
      <c r="D963" s="299"/>
      <c r="E963" s="299"/>
      <c r="F963" s="296"/>
      <c r="G963" s="296"/>
      <c r="H963" s="84"/>
      <c r="I963" s="296"/>
      <c r="J963" s="84"/>
      <c r="K963" s="296"/>
      <c r="L963" s="84"/>
      <c r="M963" s="296"/>
      <c r="N963" s="84"/>
      <c r="O963" s="296"/>
      <c r="P963" s="84"/>
      <c r="Q963" s="296"/>
      <c r="R963" s="82"/>
      <c r="S963" s="159"/>
      <c r="T963" s="72"/>
    </row>
    <row r="964" spans="1:20" ht="7.5" customHeight="1">
      <c r="A964" s="70"/>
      <c r="B964" s="299"/>
      <c r="C964" s="299"/>
      <c r="D964" s="336" t="s">
        <v>236</v>
      </c>
      <c r="E964" s="307" t="s">
        <v>22</v>
      </c>
      <c r="F964" s="312">
        <v>452.10753413718726</v>
      </c>
      <c r="G964" s="295">
        <f>ROUND(F964*mark_up,0)</f>
        <v>1930</v>
      </c>
      <c r="H964" s="83"/>
      <c r="I964" s="295" t="s">
        <v>22</v>
      </c>
      <c r="J964" s="83"/>
      <c r="K964" s="295" t="s">
        <v>22</v>
      </c>
      <c r="L964" s="83"/>
      <c r="M964" s="295" t="s">
        <v>22</v>
      </c>
      <c r="N964" s="83"/>
      <c r="O964" s="295" t="s">
        <v>22</v>
      </c>
      <c r="P964" s="83"/>
      <c r="Q964" s="295" t="s">
        <v>22</v>
      </c>
      <c r="R964" s="85"/>
      <c r="S964" s="159"/>
      <c r="T964" s="72"/>
    </row>
    <row r="965" spans="1:20" ht="7.5" customHeight="1">
      <c r="A965" s="70"/>
      <c r="B965" s="299"/>
      <c r="C965" s="299"/>
      <c r="D965" s="299"/>
      <c r="E965" s="299"/>
      <c r="F965" s="296"/>
      <c r="G965" s="296"/>
      <c r="H965" s="84"/>
      <c r="I965" s="296"/>
      <c r="J965" s="84"/>
      <c r="K965" s="296"/>
      <c r="L965" s="84"/>
      <c r="M965" s="296"/>
      <c r="N965" s="84"/>
      <c r="O965" s="296"/>
      <c r="P965" s="84"/>
      <c r="Q965" s="296"/>
      <c r="R965" s="298"/>
      <c r="S965" s="326"/>
      <c r="T965" s="72"/>
    </row>
    <row r="966" spans="1:20" ht="7.5" customHeight="1">
      <c r="A966" s="70"/>
      <c r="B966" s="299"/>
      <c r="C966" s="299"/>
      <c r="D966" s="336" t="s">
        <v>237</v>
      </c>
      <c r="E966" s="307" t="s">
        <v>22</v>
      </c>
      <c r="F966" s="312">
        <v>243.44251838156245</v>
      </c>
      <c r="G966" s="295">
        <f>ROUND(F966*mark_up,0)</f>
        <v>1039</v>
      </c>
      <c r="H966" s="83"/>
      <c r="I966" s="295" t="s">
        <v>22</v>
      </c>
      <c r="J966" s="83"/>
      <c r="K966" s="295" t="s">
        <v>22</v>
      </c>
      <c r="L966" s="83"/>
      <c r="M966" s="295" t="s">
        <v>22</v>
      </c>
      <c r="N966" s="83"/>
      <c r="O966" s="295" t="s">
        <v>22</v>
      </c>
      <c r="P966" s="83"/>
      <c r="Q966" s="295" t="s">
        <v>22</v>
      </c>
      <c r="R966" s="299"/>
      <c r="S966" s="299"/>
      <c r="T966" s="72"/>
    </row>
    <row r="967" spans="1:20" ht="7.5" customHeight="1">
      <c r="A967" s="70"/>
      <c r="B967" s="299"/>
      <c r="C967" s="299"/>
      <c r="D967" s="299"/>
      <c r="E967" s="299"/>
      <c r="F967" s="296"/>
      <c r="G967" s="296"/>
      <c r="H967" s="84"/>
      <c r="I967" s="296"/>
      <c r="J967" s="84"/>
      <c r="K967" s="296"/>
      <c r="L967" s="84"/>
      <c r="M967" s="296"/>
      <c r="N967" s="84"/>
      <c r="O967" s="296"/>
      <c r="P967" s="84"/>
      <c r="Q967" s="296"/>
      <c r="R967" s="299"/>
      <c r="S967" s="299"/>
      <c r="T967" s="72"/>
    </row>
    <row r="968" spans="1:20" ht="7.5" customHeight="1">
      <c r="A968" s="70"/>
      <c r="B968" s="299"/>
      <c r="C968" s="299"/>
      <c r="D968" s="336" t="s">
        <v>238</v>
      </c>
      <c r="E968" s="307" t="s">
        <v>22</v>
      </c>
      <c r="F968" s="312">
        <v>255.03501925687493</v>
      </c>
      <c r="G968" s="295">
        <f>ROUND(F968*mark_up,0)</f>
        <v>1089</v>
      </c>
      <c r="H968" s="83"/>
      <c r="I968" s="295" t="s">
        <v>22</v>
      </c>
      <c r="J968" s="83"/>
      <c r="K968" s="295" t="s">
        <v>22</v>
      </c>
      <c r="L968" s="83"/>
      <c r="M968" s="295" t="s">
        <v>22</v>
      </c>
      <c r="N968" s="83"/>
      <c r="O968" s="295" t="s">
        <v>22</v>
      </c>
      <c r="P968" s="83"/>
      <c r="Q968" s="295" t="s">
        <v>22</v>
      </c>
      <c r="R968" s="299"/>
      <c r="S968" s="299"/>
      <c r="T968" s="72"/>
    </row>
    <row r="969" spans="1:20" ht="7.5" customHeight="1">
      <c r="A969" s="70"/>
      <c r="B969" s="299"/>
      <c r="C969" s="299"/>
      <c r="D969" s="299"/>
      <c r="E969" s="299"/>
      <c r="F969" s="296"/>
      <c r="G969" s="296"/>
      <c r="H969" s="84"/>
      <c r="I969" s="296"/>
      <c r="J969" s="84"/>
      <c r="K969" s="296"/>
      <c r="L969" s="84"/>
      <c r="M969" s="296"/>
      <c r="N969" s="84"/>
      <c r="O969" s="296"/>
      <c r="P969" s="84"/>
      <c r="Q969" s="296"/>
      <c r="R969" s="183"/>
      <c r="S969" s="156"/>
      <c r="T969" s="72"/>
    </row>
    <row r="970" spans="1:20" ht="7.5" customHeight="1">
      <c r="A970" s="70"/>
      <c r="B970" s="299"/>
      <c r="C970" s="299"/>
      <c r="D970" s="336" t="s">
        <v>239</v>
      </c>
      <c r="E970" s="307" t="s">
        <v>22</v>
      </c>
      <c r="F970" s="312">
        <v>266.62752013218744</v>
      </c>
      <c r="G970" s="295">
        <f>ROUND(F970*mark_up,0)</f>
        <v>1138</v>
      </c>
      <c r="H970" s="83"/>
      <c r="I970" s="295" t="s">
        <v>22</v>
      </c>
      <c r="J970" s="83"/>
      <c r="K970" s="295" t="s">
        <v>22</v>
      </c>
      <c r="L970" s="83"/>
      <c r="M970" s="295" t="s">
        <v>22</v>
      </c>
      <c r="N970" s="83"/>
      <c r="O970" s="295" t="s">
        <v>22</v>
      </c>
      <c r="P970" s="83"/>
      <c r="Q970" s="295" t="s">
        <v>22</v>
      </c>
      <c r="R970" s="183"/>
      <c r="S970" s="156"/>
      <c r="T970" s="72"/>
    </row>
    <row r="971" spans="1:20" ht="7.5" customHeight="1">
      <c r="A971" s="70"/>
      <c r="B971" s="299"/>
      <c r="C971" s="299"/>
      <c r="D971" s="299"/>
      <c r="E971" s="299"/>
      <c r="F971" s="296"/>
      <c r="G971" s="296"/>
      <c r="H971" s="84"/>
      <c r="I971" s="296"/>
      <c r="J971" s="84"/>
      <c r="K971" s="296"/>
      <c r="L971" s="84"/>
      <c r="M971" s="296"/>
      <c r="N971" s="84"/>
      <c r="O971" s="296"/>
      <c r="P971" s="84"/>
      <c r="Q971" s="296"/>
      <c r="R971" s="183"/>
      <c r="S971" s="156"/>
      <c r="T971" s="72"/>
    </row>
    <row r="972" spans="1:20" ht="7.5" customHeight="1">
      <c r="A972" s="70"/>
      <c r="B972" s="299"/>
      <c r="C972" s="299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83"/>
      <c r="S972" s="156"/>
      <c r="T972" s="72"/>
    </row>
    <row r="973" spans="1:20" ht="7.5" customHeight="1">
      <c r="A973" s="70"/>
      <c r="B973" s="299"/>
      <c r="C973" s="299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83"/>
      <c r="S973" s="156"/>
      <c r="T973" s="72"/>
    </row>
    <row r="974" spans="1:20" ht="11.25" customHeight="1">
      <c r="A974" s="70"/>
      <c r="B974" s="300"/>
      <c r="C974" s="301"/>
      <c r="D974" s="301"/>
      <c r="E974" s="301"/>
      <c r="F974" s="301"/>
      <c r="G974" s="301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2" t="s">
        <v>53</v>
      </c>
      <c r="T974" s="145"/>
    </row>
    <row r="975" spans="1:20" ht="11.25" customHeight="1">
      <c r="A975" s="70"/>
      <c r="B975" s="111"/>
      <c r="C975" s="116"/>
      <c r="D975" s="117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7"/>
      <c r="S975" s="296"/>
      <c r="T975" s="145"/>
    </row>
    <row r="976" spans="1:20" ht="11.25" customHeight="1">
      <c r="A976" s="70"/>
      <c r="B976" s="322" t="s">
        <v>240</v>
      </c>
      <c r="C976" s="323"/>
      <c r="D976" s="323"/>
      <c r="E976" s="323"/>
      <c r="F976" s="323"/>
      <c r="G976" s="323"/>
      <c r="H976" s="323"/>
      <c r="I976" s="323"/>
      <c r="J976" s="323"/>
      <c r="K976" s="323"/>
      <c r="L976" s="323"/>
      <c r="M976" s="323"/>
      <c r="N976" s="323"/>
      <c r="O976" s="323"/>
      <c r="P976" s="323"/>
      <c r="Q976" s="323"/>
      <c r="R976" s="323"/>
      <c r="S976" s="323"/>
      <c r="T976" s="145"/>
    </row>
  </sheetData>
  <sheetProtection password="FB1E" sheet="1" objects="1" scenarios="1"/>
  <mergeCells count="1639">
    <mergeCell ref="M5:M9"/>
    <mergeCell ref="O5:O9"/>
    <mergeCell ref="E10:E11"/>
    <mergeCell ref="G10:G11"/>
    <mergeCell ref="I10:I11"/>
    <mergeCell ref="J10:J11"/>
    <mergeCell ref="K10:K11"/>
    <mergeCell ref="M10:M11"/>
    <mergeCell ref="O10:O11"/>
    <mergeCell ref="Q10:Q11"/>
    <mergeCell ref="E12:E13"/>
    <mergeCell ref="F12:F13"/>
    <mergeCell ref="K14:K15"/>
    <mergeCell ref="L14:L15"/>
    <mergeCell ref="M14:M15"/>
    <mergeCell ref="N14:N15"/>
    <mergeCell ref="O14:O15"/>
    <mergeCell ref="P14:P15"/>
    <mergeCell ref="Q14:Q15"/>
    <mergeCell ref="R15:R16"/>
    <mergeCell ref="J16:J17"/>
    <mergeCell ref="K16:K17"/>
    <mergeCell ref="S15:S17"/>
    <mergeCell ref="D16:D17"/>
    <mergeCell ref="E16:E17"/>
    <mergeCell ref="F16:F17"/>
    <mergeCell ref="G16:G17"/>
    <mergeCell ref="H16:H17"/>
    <mergeCell ref="I16:I17"/>
    <mergeCell ref="L16:L17"/>
    <mergeCell ref="M16:M17"/>
    <mergeCell ref="M12:M13"/>
    <mergeCell ref="N12:N13"/>
    <mergeCell ref="N16:N17"/>
    <mergeCell ref="O16:O17"/>
    <mergeCell ref="P16:P17"/>
    <mergeCell ref="Q16:Q17"/>
    <mergeCell ref="O12:O13"/>
    <mergeCell ref="P12:P13"/>
    <mergeCell ref="Q12:Q13"/>
    <mergeCell ref="R12:R13"/>
    <mergeCell ref="S12:S14"/>
    <mergeCell ref="O18:O19"/>
    <mergeCell ref="P18:P19"/>
    <mergeCell ref="Q18:Q19"/>
    <mergeCell ref="M30:M33"/>
    <mergeCell ref="M34:M35"/>
    <mergeCell ref="I30:I33"/>
    <mergeCell ref="K30:K33"/>
    <mergeCell ref="O30:O33"/>
    <mergeCell ref="D34:D35"/>
    <mergeCell ref="E34:E35"/>
    <mergeCell ref="G34:G35"/>
    <mergeCell ref="K34:K35"/>
    <mergeCell ref="P37:P38"/>
    <mergeCell ref="Q37:Q38"/>
    <mergeCell ref="I37:I38"/>
    <mergeCell ref="J37:J38"/>
    <mergeCell ref="K37:K38"/>
    <mergeCell ref="L37:L38"/>
    <mergeCell ref="M37:M38"/>
    <mergeCell ref="N37:N38"/>
    <mergeCell ref="O37:O38"/>
    <mergeCell ref="B247:B272"/>
    <mergeCell ref="D258:D259"/>
    <mergeCell ref="C263:C274"/>
    <mergeCell ref="D267:D274"/>
    <mergeCell ref="E321:E322"/>
    <mergeCell ref="F321:F322"/>
    <mergeCell ref="B308:B335"/>
    <mergeCell ref="D308:D335"/>
    <mergeCell ref="C308:C332"/>
    <mergeCell ref="C333:C335"/>
    <mergeCell ref="E272:E275"/>
    <mergeCell ref="C275:C277"/>
    <mergeCell ref="R39:R40"/>
    <mergeCell ref="R42:R43"/>
    <mergeCell ref="R22:R23"/>
    <mergeCell ref="S22:S24"/>
    <mergeCell ref="R28:R29"/>
    <mergeCell ref="S28:S35"/>
    <mergeCell ref="R36:R37"/>
    <mergeCell ref="S36:S38"/>
    <mergeCell ref="S39:S41"/>
    <mergeCell ref="I42:I44"/>
    <mergeCell ref="I45:I46"/>
    <mergeCell ref="G42:G44"/>
    <mergeCell ref="K42:K44"/>
    <mergeCell ref="M42:M44"/>
    <mergeCell ref="O42:O44"/>
    <mergeCell ref="S42:S44"/>
    <mergeCell ref="D45:D46"/>
    <mergeCell ref="G45:G46"/>
    <mergeCell ref="D53:D54"/>
    <mergeCell ref="E53:E56"/>
    <mergeCell ref="D338:D349"/>
    <mergeCell ref="F452:F453"/>
    <mergeCell ref="G452:G453"/>
    <mergeCell ref="D454:D455"/>
    <mergeCell ref="G454:G455"/>
    <mergeCell ref="D456:D457"/>
    <mergeCell ref="G456:G457"/>
    <mergeCell ref="F467:F468"/>
    <mergeCell ref="G467:G468"/>
    <mergeCell ref="F454:F455"/>
    <mergeCell ref="F456:F457"/>
    <mergeCell ref="G460:G462"/>
    <mergeCell ref="D205:D214"/>
    <mergeCell ref="E205:E208"/>
    <mergeCell ref="E211:E214"/>
    <mergeCell ref="E258:E259"/>
    <mergeCell ref="E266:E269"/>
    <mergeCell ref="F258:F259"/>
    <mergeCell ref="F267:F268"/>
    <mergeCell ref="F273:F274"/>
    <mergeCell ref="G463:G464"/>
    <mergeCell ref="G465:G466"/>
    <mergeCell ref="G323:G324"/>
    <mergeCell ref="E325:E326"/>
    <mergeCell ref="F325:F326"/>
    <mergeCell ref="F437:F438"/>
    <mergeCell ref="G437:G438"/>
    <mergeCell ref="F323:F324"/>
    <mergeCell ref="E441:E442"/>
    <mergeCell ref="F441:F442"/>
    <mergeCell ref="G441:G442"/>
    <mergeCell ref="C445:C447"/>
    <mergeCell ref="C448:C467"/>
    <mergeCell ref="C491:C509"/>
    <mergeCell ref="C510:C512"/>
    <mergeCell ref="C513:C533"/>
    <mergeCell ref="C534:C536"/>
    <mergeCell ref="B430:B485"/>
    <mergeCell ref="B491:B546"/>
    <mergeCell ref="C350:C360"/>
    <mergeCell ref="C361:C363"/>
    <mergeCell ref="B369:B424"/>
    <mergeCell ref="C369:C384"/>
    <mergeCell ref="C385:C387"/>
    <mergeCell ref="C388:C410"/>
    <mergeCell ref="C468:C470"/>
    <mergeCell ref="D452:D453"/>
    <mergeCell ref="E452:E457"/>
    <mergeCell ref="D463:D464"/>
    <mergeCell ref="E463:E468"/>
    <mergeCell ref="E520:E523"/>
    <mergeCell ref="D521:D528"/>
    <mergeCell ref="E526:E529"/>
    <mergeCell ref="D465:D466"/>
    <mergeCell ref="D467:D468"/>
    <mergeCell ref="E476:E478"/>
    <mergeCell ref="E480:E481"/>
    <mergeCell ref="E483:E484"/>
    <mergeCell ref="D502:D503"/>
    <mergeCell ref="E502:E503"/>
    <mergeCell ref="B336:B363"/>
    <mergeCell ref="C336:C346"/>
    <mergeCell ref="D441:D442"/>
    <mergeCell ref="E135:E136"/>
    <mergeCell ref="F522:F523"/>
    <mergeCell ref="F528:F529"/>
    <mergeCell ref="F463:F464"/>
    <mergeCell ref="F465:F466"/>
    <mergeCell ref="F502:F503"/>
    <mergeCell ref="G502:G503"/>
    <mergeCell ref="G519:G521"/>
    <mergeCell ref="G522:G523"/>
    <mergeCell ref="G525:G527"/>
    <mergeCell ref="G528:G529"/>
    <mergeCell ref="G317:G318"/>
    <mergeCell ref="F319:F320"/>
    <mergeCell ref="G319:G320"/>
    <mergeCell ref="G321:G322"/>
    <mergeCell ref="G325:G326"/>
    <mergeCell ref="E319:E320"/>
    <mergeCell ref="E323:E324"/>
    <mergeCell ref="E343:E344"/>
    <mergeCell ref="F343:F344"/>
    <mergeCell ref="G343:G344"/>
    <mergeCell ref="G351:G353"/>
    <mergeCell ref="E353:E356"/>
    <mergeCell ref="F376:F377"/>
    <mergeCell ref="G376:G377"/>
    <mergeCell ref="F354:F355"/>
    <mergeCell ref="G354:G355"/>
    <mergeCell ref="G357:G359"/>
    <mergeCell ref="E359:E362"/>
    <mergeCell ref="F360:F361"/>
    <mergeCell ref="G360:G361"/>
    <mergeCell ref="E376:E377"/>
    <mergeCell ref="C67:C76"/>
    <mergeCell ref="C77:C79"/>
    <mergeCell ref="B125:B150"/>
    <mergeCell ref="C347:C349"/>
    <mergeCell ref="D350:D363"/>
    <mergeCell ref="F406:F407"/>
    <mergeCell ref="F408:F409"/>
    <mergeCell ref="F410:F411"/>
    <mergeCell ref="G410:G411"/>
    <mergeCell ref="C411:C413"/>
    <mergeCell ref="C430:C444"/>
    <mergeCell ref="D439:D440"/>
    <mergeCell ref="E439:E440"/>
    <mergeCell ref="F439:F440"/>
    <mergeCell ref="G439:G440"/>
    <mergeCell ref="G449:G451"/>
    <mergeCell ref="G135:G136"/>
    <mergeCell ref="G141:G143"/>
    <mergeCell ref="G258:G259"/>
    <mergeCell ref="C260:C262"/>
    <mergeCell ref="D376:D377"/>
    <mergeCell ref="D378:D379"/>
    <mergeCell ref="E378:E379"/>
    <mergeCell ref="F378:F379"/>
    <mergeCell ref="D380:D381"/>
    <mergeCell ref="E380:E381"/>
    <mergeCell ref="D396:D397"/>
    <mergeCell ref="D398:D399"/>
    <mergeCell ref="F398:F399"/>
    <mergeCell ref="F380:F381"/>
    <mergeCell ref="D394:D395"/>
    <mergeCell ref="E394:E399"/>
    <mergeCell ref="C252:C259"/>
    <mergeCell ref="B245:C245"/>
    <mergeCell ref="F150:F151"/>
    <mergeCell ref="G150:G151"/>
    <mergeCell ref="C198:C200"/>
    <mergeCell ref="C202:C215"/>
    <mergeCell ref="C216:C218"/>
    <mergeCell ref="H258:H259"/>
    <mergeCell ref="I258:I259"/>
    <mergeCell ref="G55:G56"/>
    <mergeCell ref="E84:E87"/>
    <mergeCell ref="D85:D92"/>
    <mergeCell ref="F85:F86"/>
    <mergeCell ref="E90:E93"/>
    <mergeCell ref="F91:F92"/>
    <mergeCell ref="D55:D56"/>
    <mergeCell ref="F55:F56"/>
    <mergeCell ref="B64:B93"/>
    <mergeCell ref="D74:D75"/>
    <mergeCell ref="E74:E75"/>
    <mergeCell ref="F74:F75"/>
    <mergeCell ref="C80:C93"/>
    <mergeCell ref="I141:I143"/>
    <mergeCell ref="G74:G75"/>
    <mergeCell ref="G82:G84"/>
    <mergeCell ref="G85:G86"/>
    <mergeCell ref="G88:G90"/>
    <mergeCell ref="G91:G92"/>
    <mergeCell ref="H135:H136"/>
    <mergeCell ref="I135:I136"/>
    <mergeCell ref="E143:E146"/>
    <mergeCell ref="D144:D151"/>
    <mergeCell ref="I321:I322"/>
    <mergeCell ref="H323:H324"/>
    <mergeCell ref="I323:I324"/>
    <mergeCell ref="H325:H326"/>
    <mergeCell ref="I325:I326"/>
    <mergeCell ref="I339:I342"/>
    <mergeCell ref="H343:H344"/>
    <mergeCell ref="I343:I344"/>
    <mergeCell ref="I351:I353"/>
    <mergeCell ref="I354:I355"/>
    <mergeCell ref="I357:I359"/>
    <mergeCell ref="I360:I361"/>
    <mergeCell ref="I372:I375"/>
    <mergeCell ref="F135:F136"/>
    <mergeCell ref="F144:F145"/>
    <mergeCell ref="F195:F196"/>
    <mergeCell ref="G195:G196"/>
    <mergeCell ref="I206:I207"/>
    <mergeCell ref="G209:G211"/>
    <mergeCell ref="I209:I211"/>
    <mergeCell ref="H195:H196"/>
    <mergeCell ref="I195:I196"/>
    <mergeCell ref="I254:I257"/>
    <mergeCell ref="F206:F207"/>
    <mergeCell ref="F212:F213"/>
    <mergeCell ref="I191:I194"/>
    <mergeCell ref="G144:G145"/>
    <mergeCell ref="I144:I145"/>
    <mergeCell ref="G147:G149"/>
    <mergeCell ref="I147:I149"/>
    <mergeCell ref="H376:H377"/>
    <mergeCell ref="I376:I377"/>
    <mergeCell ref="H378:H379"/>
    <mergeCell ref="I378:I379"/>
    <mergeCell ref="H380:H381"/>
    <mergeCell ref="I408:I409"/>
    <mergeCell ref="I410:I411"/>
    <mergeCell ref="I380:I381"/>
    <mergeCell ref="I391:I393"/>
    <mergeCell ref="I394:I395"/>
    <mergeCell ref="I396:I397"/>
    <mergeCell ref="I398:I399"/>
    <mergeCell ref="I403:I405"/>
    <mergeCell ref="I406:I407"/>
    <mergeCell ref="G203:G205"/>
    <mergeCell ref="I203:I205"/>
    <mergeCell ref="G206:G207"/>
    <mergeCell ref="G212:G213"/>
    <mergeCell ref="I212:I213"/>
    <mergeCell ref="G264:G266"/>
    <mergeCell ref="G267:G268"/>
    <mergeCell ref="G270:G272"/>
    <mergeCell ref="G273:G274"/>
    <mergeCell ref="I267:I268"/>
    <mergeCell ref="I270:I272"/>
    <mergeCell ref="I273:I274"/>
    <mergeCell ref="G378:G379"/>
    <mergeCell ref="G398:G399"/>
    <mergeCell ref="G380:G381"/>
    <mergeCell ref="G391:G393"/>
    <mergeCell ref="I264:I266"/>
    <mergeCell ref="I317:I318"/>
    <mergeCell ref="H441:H442"/>
    <mergeCell ref="I441:I442"/>
    <mergeCell ref="J441:J442"/>
    <mergeCell ref="M406:M407"/>
    <mergeCell ref="M408:M409"/>
    <mergeCell ref="M410:M411"/>
    <mergeCell ref="K398:K399"/>
    <mergeCell ref="M398:M399"/>
    <mergeCell ref="O398:O399"/>
    <mergeCell ref="K403:K405"/>
    <mergeCell ref="K406:K407"/>
    <mergeCell ref="Q437:Q438"/>
    <mergeCell ref="K408:K409"/>
    <mergeCell ref="K410:K411"/>
    <mergeCell ref="B425:R425"/>
    <mergeCell ref="B427:S427"/>
    <mergeCell ref="O428:S428"/>
    <mergeCell ref="I433:I436"/>
    <mergeCell ref="O433:O436"/>
    <mergeCell ref="B428:C428"/>
    <mergeCell ref="D437:D438"/>
    <mergeCell ref="E437:E438"/>
    <mergeCell ref="N439:N440"/>
    <mergeCell ref="O439:O440"/>
    <mergeCell ref="Q439:Q440"/>
    <mergeCell ref="H437:H438"/>
    <mergeCell ref="H439:H440"/>
    <mergeCell ref="I439:I440"/>
    <mergeCell ref="J439:J440"/>
    <mergeCell ref="K439:K440"/>
    <mergeCell ref="L439:L440"/>
    <mergeCell ref="M439:M440"/>
    <mergeCell ref="K437:K438"/>
    <mergeCell ref="L437:L438"/>
    <mergeCell ref="M437:M438"/>
    <mergeCell ref="N437:N438"/>
    <mergeCell ref="O437:O438"/>
    <mergeCell ref="K441:K442"/>
    <mergeCell ref="L441:L442"/>
    <mergeCell ref="M441:M442"/>
    <mergeCell ref="N441:N442"/>
    <mergeCell ref="O441:O442"/>
    <mergeCell ref="Q441:Q442"/>
    <mergeCell ref="Q410:Q411"/>
    <mergeCell ref="O406:O407"/>
    <mergeCell ref="O408:O409"/>
    <mergeCell ref="O410:O411"/>
    <mergeCell ref="K433:K436"/>
    <mergeCell ref="M433:M436"/>
    <mergeCell ref="G394:G395"/>
    <mergeCell ref="G396:G397"/>
    <mergeCell ref="D408:D409"/>
    <mergeCell ref="D410:D411"/>
    <mergeCell ref="F394:F395"/>
    <mergeCell ref="F396:F397"/>
    <mergeCell ref="G403:G405"/>
    <mergeCell ref="D406:D407"/>
    <mergeCell ref="E406:E411"/>
    <mergeCell ref="G406:G407"/>
    <mergeCell ref="G408:G409"/>
    <mergeCell ref="N380:N381"/>
    <mergeCell ref="O380:O381"/>
    <mergeCell ref="Q380:Q381"/>
    <mergeCell ref="Q394:Q395"/>
    <mergeCell ref="Q396:Q397"/>
    <mergeCell ref="Q398:Q399"/>
    <mergeCell ref="K391:K393"/>
    <mergeCell ref="M391:M393"/>
    <mergeCell ref="O391:O393"/>
    <mergeCell ref="K394:K395"/>
    <mergeCell ref="O394:O395"/>
    <mergeCell ref="K396:K397"/>
    <mergeCell ref="O396:O397"/>
    <mergeCell ref="M394:M395"/>
    <mergeCell ref="M396:M397"/>
    <mergeCell ref="Q406:Q407"/>
    <mergeCell ref="Q408:Q409"/>
    <mergeCell ref="K467:K468"/>
    <mergeCell ref="M467:M468"/>
    <mergeCell ref="O463:O464"/>
    <mergeCell ref="O465:O466"/>
    <mergeCell ref="I449:I451"/>
    <mergeCell ref="K449:K451"/>
    <mergeCell ref="O449:O451"/>
    <mergeCell ref="K452:K453"/>
    <mergeCell ref="O452:O453"/>
    <mergeCell ref="N376:N377"/>
    <mergeCell ref="O376:O377"/>
    <mergeCell ref="Q376:Q377"/>
    <mergeCell ref="K372:K375"/>
    <mergeCell ref="M372:M375"/>
    <mergeCell ref="O372:O375"/>
    <mergeCell ref="J376:J377"/>
    <mergeCell ref="K376:K377"/>
    <mergeCell ref="L376:L377"/>
    <mergeCell ref="M376:M377"/>
    <mergeCell ref="J378:J379"/>
    <mergeCell ref="K378:K379"/>
    <mergeCell ref="L378:L379"/>
    <mergeCell ref="M378:M379"/>
    <mergeCell ref="N378:N379"/>
    <mergeCell ref="O378:O379"/>
    <mergeCell ref="Q378:Q379"/>
    <mergeCell ref="J380:J381"/>
    <mergeCell ref="K380:K381"/>
    <mergeCell ref="L380:L381"/>
    <mergeCell ref="M380:M381"/>
    <mergeCell ref="I437:I438"/>
    <mergeCell ref="J437:J438"/>
    <mergeCell ref="R346:R347"/>
    <mergeCell ref="S346:S348"/>
    <mergeCell ref="S349:S351"/>
    <mergeCell ref="S352:S356"/>
    <mergeCell ref="S357:S359"/>
    <mergeCell ref="M452:M453"/>
    <mergeCell ref="Q452:Q453"/>
    <mergeCell ref="I452:I453"/>
    <mergeCell ref="I454:I455"/>
    <mergeCell ref="K454:K455"/>
    <mergeCell ref="M454:M455"/>
    <mergeCell ref="O454:O455"/>
    <mergeCell ref="Q454:Q455"/>
    <mergeCell ref="R501:R502"/>
    <mergeCell ref="R503:R504"/>
    <mergeCell ref="S454:S458"/>
    <mergeCell ref="R459:R460"/>
    <mergeCell ref="S459:S461"/>
    <mergeCell ref="R462:R463"/>
    <mergeCell ref="S462:S464"/>
    <mergeCell ref="S491:S500"/>
    <mergeCell ref="S501:S502"/>
    <mergeCell ref="M498:M501"/>
    <mergeCell ref="O498:O501"/>
    <mergeCell ref="I456:I457"/>
    <mergeCell ref="M456:M457"/>
    <mergeCell ref="O456:O457"/>
    <mergeCell ref="Q456:Q457"/>
    <mergeCell ref="I460:I462"/>
    <mergeCell ref="K463:K464"/>
    <mergeCell ref="K465:K466"/>
    <mergeCell ref="I467:I468"/>
    <mergeCell ref="S517:S521"/>
    <mergeCell ref="S522:S524"/>
    <mergeCell ref="S503:S505"/>
    <mergeCell ref="S506:S508"/>
    <mergeCell ref="R509:R510"/>
    <mergeCell ref="S509:S511"/>
    <mergeCell ref="R512:R513"/>
    <mergeCell ref="S512:S516"/>
    <mergeCell ref="R517:R518"/>
    <mergeCell ref="R406:R407"/>
    <mergeCell ref="S406:S408"/>
    <mergeCell ref="S425:S426"/>
    <mergeCell ref="R429:S429"/>
    <mergeCell ref="R430:R431"/>
    <mergeCell ref="R440:R441"/>
    <mergeCell ref="S430:S439"/>
    <mergeCell ref="S440:S442"/>
    <mergeCell ref="R522:R523"/>
    <mergeCell ref="R506:R507"/>
    <mergeCell ref="I528:I529"/>
    <mergeCell ref="I502:I503"/>
    <mergeCell ref="J502:J503"/>
    <mergeCell ref="I519:I521"/>
    <mergeCell ref="K519:K521"/>
    <mergeCell ref="I522:I523"/>
    <mergeCell ref="K522:K523"/>
    <mergeCell ref="K525:K527"/>
    <mergeCell ref="K528:K529"/>
    <mergeCell ref="R443:R444"/>
    <mergeCell ref="S443:S444"/>
    <mergeCell ref="R445:R446"/>
    <mergeCell ref="S445:S446"/>
    <mergeCell ref="S447:S448"/>
    <mergeCell ref="S449:S450"/>
    <mergeCell ref="S451:S453"/>
    <mergeCell ref="R451:R452"/>
    <mergeCell ref="R454:R455"/>
    <mergeCell ref="B486:R486"/>
    <mergeCell ref="S486:S487"/>
    <mergeCell ref="B488:S488"/>
    <mergeCell ref="B489:C489"/>
    <mergeCell ref="O489:S489"/>
    <mergeCell ref="K502:K503"/>
    <mergeCell ref="L502:L503"/>
    <mergeCell ref="O502:O503"/>
    <mergeCell ref="Q502:Q503"/>
    <mergeCell ref="R490:S490"/>
    <mergeCell ref="R491:R492"/>
    <mergeCell ref="I498:I501"/>
    <mergeCell ref="K498:K501"/>
    <mergeCell ref="M449:M451"/>
    <mergeCell ref="R525:R526"/>
    <mergeCell ref="S525:S527"/>
    <mergeCell ref="M502:M503"/>
    <mergeCell ref="N502:N503"/>
    <mergeCell ref="M519:M521"/>
    <mergeCell ref="O519:O521"/>
    <mergeCell ref="M522:M523"/>
    <mergeCell ref="O522:O523"/>
    <mergeCell ref="Q522:Q523"/>
    <mergeCell ref="Q563:Q564"/>
    <mergeCell ref="R565:R566"/>
    <mergeCell ref="B552:B596"/>
    <mergeCell ref="C569:C571"/>
    <mergeCell ref="C572:C593"/>
    <mergeCell ref="D578:D585"/>
    <mergeCell ref="C594:C596"/>
    <mergeCell ref="G579:G580"/>
    <mergeCell ref="D563:D564"/>
    <mergeCell ref="E563:E564"/>
    <mergeCell ref="F563:F564"/>
    <mergeCell ref="G563:G564"/>
    <mergeCell ref="B550:C550"/>
    <mergeCell ref="C552:C568"/>
    <mergeCell ref="S568:S570"/>
    <mergeCell ref="K576:K578"/>
    <mergeCell ref="K579:K580"/>
    <mergeCell ref="G576:G578"/>
    <mergeCell ref="I576:I578"/>
    <mergeCell ref="E577:E580"/>
    <mergeCell ref="F579:F580"/>
    <mergeCell ref="I525:I527"/>
    <mergeCell ref="I579:I580"/>
    <mergeCell ref="B611:C611"/>
    <mergeCell ref="O611:S611"/>
    <mergeCell ref="R612:S612"/>
    <mergeCell ref="R613:R614"/>
    <mergeCell ref="R584:R585"/>
    <mergeCell ref="S584:S586"/>
    <mergeCell ref="O585:O586"/>
    <mergeCell ref="Q585:Q586"/>
    <mergeCell ref="B608:R608"/>
    <mergeCell ref="S608:S609"/>
    <mergeCell ref="B610:S610"/>
    <mergeCell ref="R626:R627"/>
    <mergeCell ref="R629:R630"/>
    <mergeCell ref="M622:M623"/>
    <mergeCell ref="M633:M635"/>
    <mergeCell ref="M636:M637"/>
    <mergeCell ref="O633:O635"/>
    <mergeCell ref="O636:O637"/>
    <mergeCell ref="Q636:Q637"/>
    <mergeCell ref="G582:G584"/>
    <mergeCell ref="I582:I584"/>
    <mergeCell ref="E583:E586"/>
    <mergeCell ref="F585:F586"/>
    <mergeCell ref="G585:G586"/>
    <mergeCell ref="I585:I586"/>
    <mergeCell ref="E602:E603"/>
    <mergeCell ref="E605:E606"/>
    <mergeCell ref="K618:K621"/>
    <mergeCell ref="I633:I635"/>
    <mergeCell ref="K633:K635"/>
    <mergeCell ref="K636:K637"/>
    <mergeCell ref="D636:D643"/>
    <mergeCell ref="I661:I662"/>
    <mergeCell ref="J661:J662"/>
    <mergeCell ref="K661:K662"/>
    <mergeCell ref="L661:L662"/>
    <mergeCell ref="M661:M662"/>
    <mergeCell ref="C613:C626"/>
    <mergeCell ref="C646:C648"/>
    <mergeCell ref="B674:B692"/>
    <mergeCell ref="B693:B729"/>
    <mergeCell ref="B735:B784"/>
    <mergeCell ref="B796:B824"/>
    <mergeCell ref="G622:G623"/>
    <mergeCell ref="H622:H623"/>
    <mergeCell ref="I622:I623"/>
    <mergeCell ref="J622:J623"/>
    <mergeCell ref="K622:K623"/>
    <mergeCell ref="K639:K641"/>
    <mergeCell ref="K642:K643"/>
    <mergeCell ref="I650:I654"/>
    <mergeCell ref="K650:K654"/>
    <mergeCell ref="I655:I656"/>
    <mergeCell ref="J655:J656"/>
    <mergeCell ref="K655:K656"/>
    <mergeCell ref="D622:D623"/>
    <mergeCell ref="E622:E623"/>
    <mergeCell ref="F622:F623"/>
    <mergeCell ref="D811:D812"/>
    <mergeCell ref="E811:E812"/>
    <mergeCell ref="F811:F812"/>
    <mergeCell ref="G811:G812"/>
    <mergeCell ref="H811:H812"/>
    <mergeCell ref="D655:D656"/>
    <mergeCell ref="B825:B847"/>
    <mergeCell ref="C627:C629"/>
    <mergeCell ref="C630:C645"/>
    <mergeCell ref="B649:B668"/>
    <mergeCell ref="C649:C665"/>
    <mergeCell ref="C666:C668"/>
    <mergeCell ref="B672:C672"/>
    <mergeCell ref="C690:C692"/>
    <mergeCell ref="C750:C771"/>
    <mergeCell ref="C772:C774"/>
    <mergeCell ref="C796:C821"/>
    <mergeCell ref="C822:C824"/>
    <mergeCell ref="C825:C844"/>
    <mergeCell ref="C845:C847"/>
    <mergeCell ref="C693:C703"/>
    <mergeCell ref="C704:C706"/>
    <mergeCell ref="C707:C719"/>
    <mergeCell ref="C720:C722"/>
    <mergeCell ref="B733:C733"/>
    <mergeCell ref="C735:C746"/>
    <mergeCell ref="C747:C749"/>
    <mergeCell ref="B613:B648"/>
    <mergeCell ref="S669:S670"/>
    <mergeCell ref="B671:S671"/>
    <mergeCell ref="O672:S672"/>
    <mergeCell ref="R673:S673"/>
    <mergeCell ref="S674:S675"/>
    <mergeCell ref="D680:D681"/>
    <mergeCell ref="D682:D683"/>
    <mergeCell ref="N682:N683"/>
    <mergeCell ref="O682:O683"/>
    <mergeCell ref="P682:P683"/>
    <mergeCell ref="Q682:Q683"/>
    <mergeCell ref="R674:R675"/>
    <mergeCell ref="R676:R677"/>
    <mergeCell ref="S676:S678"/>
    <mergeCell ref="R679:S680"/>
    <mergeCell ref="O680:O681"/>
    <mergeCell ref="Q680:Q681"/>
    <mergeCell ref="R681:S682"/>
    <mergeCell ref="R683:S684"/>
    <mergeCell ref="E680:E681"/>
    <mergeCell ref="D684:D685"/>
    <mergeCell ref="E684:E685"/>
    <mergeCell ref="L684:L685"/>
    <mergeCell ref="M684:M685"/>
    <mergeCell ref="C674:C689"/>
    <mergeCell ref="G680:G681"/>
    <mergeCell ref="I680:I681"/>
    <mergeCell ref="K680:K681"/>
    <mergeCell ref="L680:L681"/>
    <mergeCell ref="M861:M864"/>
    <mergeCell ref="O861:O864"/>
    <mergeCell ref="B852:R852"/>
    <mergeCell ref="B854:S854"/>
    <mergeCell ref="B855:C855"/>
    <mergeCell ref="O855:S855"/>
    <mergeCell ref="S857:S864"/>
    <mergeCell ref="M680:M681"/>
    <mergeCell ref="M682:M683"/>
    <mergeCell ref="F684:F685"/>
    <mergeCell ref="G684:G685"/>
    <mergeCell ref="G708:G710"/>
    <mergeCell ref="G714:G716"/>
    <mergeCell ref="E716:E719"/>
    <mergeCell ref="F717:F718"/>
    <mergeCell ref="E682:E683"/>
    <mergeCell ref="F682:F683"/>
    <mergeCell ref="D700:D701"/>
    <mergeCell ref="E700:E701"/>
    <mergeCell ref="F700:F701"/>
    <mergeCell ref="G700:G701"/>
    <mergeCell ref="D712:D719"/>
    <mergeCell ref="G717:G718"/>
    <mergeCell ref="M837:M838"/>
    <mergeCell ref="E805:E806"/>
    <mergeCell ref="G805:G806"/>
    <mergeCell ref="I805:I806"/>
    <mergeCell ref="D808:D809"/>
    <mergeCell ref="I808:I809"/>
    <mergeCell ref="G808:G809"/>
    <mergeCell ref="H808:H809"/>
    <mergeCell ref="J808:J809"/>
    <mergeCell ref="C874:C876"/>
    <mergeCell ref="M881:M884"/>
    <mergeCell ref="M885:M886"/>
    <mergeCell ref="M888:M889"/>
    <mergeCell ref="N888:N889"/>
    <mergeCell ref="R877:R878"/>
    <mergeCell ref="S877:S884"/>
    <mergeCell ref="I881:I884"/>
    <mergeCell ref="K881:K884"/>
    <mergeCell ref="O881:O884"/>
    <mergeCell ref="G885:G886"/>
    <mergeCell ref="K885:K886"/>
    <mergeCell ref="R892:R893"/>
    <mergeCell ref="R897:R898"/>
    <mergeCell ref="S897:S898"/>
    <mergeCell ref="R899:R900"/>
    <mergeCell ref="S899:S901"/>
    <mergeCell ref="S872:S874"/>
    <mergeCell ref="O885:O886"/>
    <mergeCell ref="Q885:Q886"/>
    <mergeCell ref="O888:O889"/>
    <mergeCell ref="P888:P889"/>
    <mergeCell ref="Q888:Q889"/>
    <mergeCell ref="I885:I886"/>
    <mergeCell ref="J885:J886"/>
    <mergeCell ref="F888:F889"/>
    <mergeCell ref="H888:H889"/>
    <mergeCell ref="I888:I889"/>
    <mergeCell ref="C857:C873"/>
    <mergeCell ref="D868:D869"/>
    <mergeCell ref="E868:E869"/>
    <mergeCell ref="F868:F869"/>
    <mergeCell ref="E865:E866"/>
    <mergeCell ref="Q767:Q768"/>
    <mergeCell ref="B791:R791"/>
    <mergeCell ref="S791:S792"/>
    <mergeCell ref="B793:S793"/>
    <mergeCell ref="O794:S794"/>
    <mergeCell ref="R796:R797"/>
    <mergeCell ref="S796:S803"/>
    <mergeCell ref="O801:O804"/>
    <mergeCell ref="O805:O806"/>
    <mergeCell ref="K801:K804"/>
    <mergeCell ref="M801:M804"/>
    <mergeCell ref="R804:R805"/>
    <mergeCell ref="S804:S808"/>
    <mergeCell ref="J805:J806"/>
    <mergeCell ref="K805:K806"/>
    <mergeCell ref="M805:M806"/>
    <mergeCell ref="Q805:Q806"/>
    <mergeCell ref="B794:C794"/>
    <mergeCell ref="I801:I804"/>
    <mergeCell ref="D805:D806"/>
    <mergeCell ref="K808:K809"/>
    <mergeCell ref="L808:L809"/>
    <mergeCell ref="M808:M809"/>
    <mergeCell ref="O808:O809"/>
    <mergeCell ref="P808:P809"/>
    <mergeCell ref="Q808:Q809"/>
    <mergeCell ref="R809:R810"/>
    <mergeCell ref="S809:S811"/>
    <mergeCell ref="N808:N809"/>
    <mergeCell ref="E808:E809"/>
    <mergeCell ref="F808:F809"/>
    <mergeCell ref="Q834:Q835"/>
    <mergeCell ref="Q902:Q903"/>
    <mergeCell ref="R902:S903"/>
    <mergeCell ref="G888:G889"/>
    <mergeCell ref="G902:G903"/>
    <mergeCell ref="I902:I903"/>
    <mergeCell ref="K902:K903"/>
    <mergeCell ref="L902:L903"/>
    <mergeCell ref="M902:M903"/>
    <mergeCell ref="O902:O903"/>
    <mergeCell ref="S865:S867"/>
    <mergeCell ref="R870:R871"/>
    <mergeCell ref="S870:S871"/>
    <mergeCell ref="R872:R873"/>
    <mergeCell ref="O837:O838"/>
    <mergeCell ref="D837:D838"/>
    <mergeCell ref="E837:E838"/>
    <mergeCell ref="G837:G838"/>
    <mergeCell ref="I837:I838"/>
    <mergeCell ref="J837:J838"/>
    <mergeCell ref="K837:K838"/>
    <mergeCell ref="L837:L838"/>
    <mergeCell ref="G865:G866"/>
    <mergeCell ref="I865:I866"/>
    <mergeCell ref="J865:J866"/>
    <mergeCell ref="S836:S837"/>
    <mergeCell ref="S838:S840"/>
    <mergeCell ref="S852:S853"/>
    <mergeCell ref="R836:R837"/>
    <mergeCell ref="Q837:Q838"/>
    <mergeCell ref="R838:R839"/>
    <mergeCell ref="D865:D866"/>
    <mergeCell ref="G868:G869"/>
    <mergeCell ref="H868:H869"/>
    <mergeCell ref="R812:R813"/>
    <mergeCell ref="R814:R815"/>
    <mergeCell ref="S812:S813"/>
    <mergeCell ref="S814:S816"/>
    <mergeCell ref="R817:R818"/>
    <mergeCell ref="S817:S818"/>
    <mergeCell ref="S825:S832"/>
    <mergeCell ref="I830:I833"/>
    <mergeCell ref="O830:O833"/>
    <mergeCell ref="M830:M833"/>
    <mergeCell ref="M834:M835"/>
    <mergeCell ref="O834:O835"/>
    <mergeCell ref="K830:K833"/>
    <mergeCell ref="D834:D835"/>
    <mergeCell ref="E834:E835"/>
    <mergeCell ref="G834:G835"/>
    <mergeCell ref="I834:I835"/>
    <mergeCell ref="J834:J835"/>
    <mergeCell ref="K834:K835"/>
    <mergeCell ref="I811:I812"/>
    <mergeCell ref="J811:J812"/>
    <mergeCell ref="K811:K812"/>
    <mergeCell ref="M811:M812"/>
    <mergeCell ref="N811:N812"/>
    <mergeCell ref="O811:O812"/>
    <mergeCell ref="P811:P812"/>
    <mergeCell ref="Q811:Q812"/>
    <mergeCell ref="R825:R826"/>
    <mergeCell ref="R833:R834"/>
    <mergeCell ref="S833:S835"/>
    <mergeCell ref="R857:R858"/>
    <mergeCell ref="I861:I864"/>
    <mergeCell ref="K861:K864"/>
    <mergeCell ref="J888:J889"/>
    <mergeCell ref="K888:K889"/>
    <mergeCell ref="R885:R886"/>
    <mergeCell ref="S885:S886"/>
    <mergeCell ref="R887:R888"/>
    <mergeCell ref="S887:S889"/>
    <mergeCell ref="R890:R891"/>
    <mergeCell ref="S890:S891"/>
    <mergeCell ref="S892:S894"/>
    <mergeCell ref="S926:S928"/>
    <mergeCell ref="R929:R930"/>
    <mergeCell ref="S929:S930"/>
    <mergeCell ref="R931:R932"/>
    <mergeCell ref="S931:S933"/>
    <mergeCell ref="I868:I869"/>
    <mergeCell ref="J868:J869"/>
    <mergeCell ref="K868:K869"/>
    <mergeCell ref="M868:M869"/>
    <mergeCell ref="N868:N869"/>
    <mergeCell ref="O868:O869"/>
    <mergeCell ref="P868:P869"/>
    <mergeCell ref="Q868:Q869"/>
    <mergeCell ref="R868:R869"/>
    <mergeCell ref="S868:S869"/>
    <mergeCell ref="K865:K866"/>
    <mergeCell ref="M865:M866"/>
    <mergeCell ref="O865:O866"/>
    <mergeCell ref="Q865:Q866"/>
    <mergeCell ref="R865:R866"/>
    <mergeCell ref="R937:R938"/>
    <mergeCell ref="S937:S944"/>
    <mergeCell ref="R965:R968"/>
    <mergeCell ref="S965:S968"/>
    <mergeCell ref="O945:O946"/>
    <mergeCell ref="Q945:Q946"/>
    <mergeCell ref="R945:R946"/>
    <mergeCell ref="S945:S947"/>
    <mergeCell ref="R948:R949"/>
    <mergeCell ref="S948:S950"/>
    <mergeCell ref="R955:R956"/>
    <mergeCell ref="S955:S956"/>
    <mergeCell ref="R957:R958"/>
    <mergeCell ref="S957:S961"/>
    <mergeCell ref="M941:M944"/>
    <mergeCell ref="M945:M946"/>
    <mergeCell ref="I941:I944"/>
    <mergeCell ref="K941:K944"/>
    <mergeCell ref="O941:O944"/>
    <mergeCell ref="G945:G946"/>
    <mergeCell ref="I945:I946"/>
    <mergeCell ref="J945:J946"/>
    <mergeCell ref="K945:K946"/>
    <mergeCell ref="K958:K959"/>
    <mergeCell ref="K960:K961"/>
    <mergeCell ref="O958:O959"/>
    <mergeCell ref="O960:O961"/>
    <mergeCell ref="G960:G961"/>
    <mergeCell ref="G958:G959"/>
    <mergeCell ref="I958:I959"/>
    <mergeCell ref="M958:M959"/>
    <mergeCell ref="Q958:Q959"/>
    <mergeCell ref="I960:I961"/>
    <mergeCell ref="M960:M961"/>
    <mergeCell ref="Q960:Q961"/>
    <mergeCell ref="E966:E967"/>
    <mergeCell ref="F966:F967"/>
    <mergeCell ref="G966:G967"/>
    <mergeCell ref="I966:I967"/>
    <mergeCell ref="K966:K967"/>
    <mergeCell ref="M966:M967"/>
    <mergeCell ref="O966:O967"/>
    <mergeCell ref="Q966:Q967"/>
    <mergeCell ref="F960:F961"/>
    <mergeCell ref="S974:S975"/>
    <mergeCell ref="K962:K963"/>
    <mergeCell ref="M962:M963"/>
    <mergeCell ref="K964:K965"/>
    <mergeCell ref="M964:M965"/>
    <mergeCell ref="O962:O963"/>
    <mergeCell ref="Q962:Q963"/>
    <mergeCell ref="O964:O965"/>
    <mergeCell ref="Q964:Q965"/>
    <mergeCell ref="G962:G963"/>
    <mergeCell ref="I962:I963"/>
    <mergeCell ref="G968:G969"/>
    <mergeCell ref="I968:I969"/>
    <mergeCell ref="K968:K969"/>
    <mergeCell ref="M968:M969"/>
    <mergeCell ref="O968:O969"/>
    <mergeCell ref="Q968:Q969"/>
    <mergeCell ref="G970:G971"/>
    <mergeCell ref="I970:I971"/>
    <mergeCell ref="K970:K971"/>
    <mergeCell ref="M970:M971"/>
    <mergeCell ref="O970:O971"/>
    <mergeCell ref="Q970:Q971"/>
    <mergeCell ref="B974:R974"/>
    <mergeCell ref="B976:S976"/>
    <mergeCell ref="D962:D963"/>
    <mergeCell ref="E962:E963"/>
    <mergeCell ref="F962:F963"/>
    <mergeCell ref="D964:D965"/>
    <mergeCell ref="E964:E965"/>
    <mergeCell ref="F964:F965"/>
    <mergeCell ref="D966:D967"/>
    <mergeCell ref="F968:F969"/>
    <mergeCell ref="F970:F971"/>
    <mergeCell ref="G964:G965"/>
    <mergeCell ref="I964:I965"/>
    <mergeCell ref="B857:B876"/>
    <mergeCell ref="C877:C893"/>
    <mergeCell ref="D885:D886"/>
    <mergeCell ref="E885:E886"/>
    <mergeCell ref="D888:D889"/>
    <mergeCell ref="E888:E889"/>
    <mergeCell ref="C894:C896"/>
    <mergeCell ref="B918:B936"/>
    <mergeCell ref="B937:B954"/>
    <mergeCell ref="B955:B973"/>
    <mergeCell ref="D902:D903"/>
    <mergeCell ref="E902:E903"/>
    <mergeCell ref="D904:D905"/>
    <mergeCell ref="E904:E905"/>
    <mergeCell ref="D906:D907"/>
    <mergeCell ref="E906:E907"/>
    <mergeCell ref="E926:E927"/>
    <mergeCell ref="C937:C951"/>
    <mergeCell ref="C952:C954"/>
    <mergeCell ref="C955:C973"/>
    <mergeCell ref="B877:B896"/>
    <mergeCell ref="B897:B912"/>
    <mergeCell ref="C897:C909"/>
    <mergeCell ref="C910:C912"/>
    <mergeCell ref="B916:C916"/>
    <mergeCell ref="C918:C933"/>
    <mergeCell ref="C934:C936"/>
    <mergeCell ref="E960:E961"/>
    <mergeCell ref="D968:D969"/>
    <mergeCell ref="E968:E969"/>
    <mergeCell ref="D970:D971"/>
    <mergeCell ref="E970:E971"/>
    <mergeCell ref="D47:D48"/>
    <mergeCell ref="K47:K48"/>
    <mergeCell ref="Q47:Q48"/>
    <mergeCell ref="Q53:Q54"/>
    <mergeCell ref="D926:D927"/>
    <mergeCell ref="D945:D946"/>
    <mergeCell ref="E945:E946"/>
    <mergeCell ref="D958:D959"/>
    <mergeCell ref="E958:E959"/>
    <mergeCell ref="F958:F959"/>
    <mergeCell ref="D960:D961"/>
    <mergeCell ref="K147:K149"/>
    <mergeCell ref="K150:K151"/>
    <mergeCell ref="C153:C155"/>
    <mergeCell ref="B181:R181"/>
    <mergeCell ref="K55:K56"/>
    <mergeCell ref="M55:M56"/>
    <mergeCell ref="O55:O56"/>
    <mergeCell ref="I88:I90"/>
    <mergeCell ref="I91:I92"/>
    <mergeCell ref="C3:C24"/>
    <mergeCell ref="D10:D11"/>
    <mergeCell ref="D12:D13"/>
    <mergeCell ref="D14:D15"/>
    <mergeCell ref="D18:D19"/>
    <mergeCell ref="E18:E19"/>
    <mergeCell ref="I12:I13"/>
    <mergeCell ref="J12:J13"/>
    <mergeCell ref="K12:K13"/>
    <mergeCell ref="L12:L13"/>
    <mergeCell ref="G12:G13"/>
    <mergeCell ref="H12:H13"/>
    <mergeCell ref="F18:F19"/>
    <mergeCell ref="G18:G19"/>
    <mergeCell ref="H18:H19"/>
    <mergeCell ref="I18:I19"/>
    <mergeCell ref="J18:J19"/>
    <mergeCell ref="E14:E15"/>
    <mergeCell ref="F14:F15"/>
    <mergeCell ref="G14:G15"/>
    <mergeCell ref="H14:H15"/>
    <mergeCell ref="I14:I15"/>
    <mergeCell ref="J14:J15"/>
    <mergeCell ref="K18:K19"/>
    <mergeCell ref="L18:L19"/>
    <mergeCell ref="I5:I9"/>
    <mergeCell ref="K5:K9"/>
    <mergeCell ref="S18:S19"/>
    <mergeCell ref="S20:S21"/>
    <mergeCell ref="S64:S73"/>
    <mergeCell ref="R18:R19"/>
    <mergeCell ref="R20:R21"/>
    <mergeCell ref="H47:H48"/>
    <mergeCell ref="I47:I48"/>
    <mergeCell ref="M45:M46"/>
    <mergeCell ref="M47:M48"/>
    <mergeCell ref="O47:O48"/>
    <mergeCell ref="P47:P48"/>
    <mergeCell ref="E45:E48"/>
    <mergeCell ref="F45:F46"/>
    <mergeCell ref="K45:K46"/>
    <mergeCell ref="O45:O46"/>
    <mergeCell ref="Q45:Q46"/>
    <mergeCell ref="F53:F54"/>
    <mergeCell ref="G53:G54"/>
    <mergeCell ref="F47:F48"/>
    <mergeCell ref="G47:G48"/>
    <mergeCell ref="G50:G52"/>
    <mergeCell ref="I50:I52"/>
    <mergeCell ref="I53:I54"/>
    <mergeCell ref="I55:I56"/>
    <mergeCell ref="I70:I73"/>
    <mergeCell ref="K70:K73"/>
    <mergeCell ref="M70:M73"/>
    <mergeCell ref="O70:O73"/>
    <mergeCell ref="R63:S63"/>
    <mergeCell ref="R64:R65"/>
    <mergeCell ref="M18:M19"/>
    <mergeCell ref="N18:N19"/>
    <mergeCell ref="B3:B27"/>
    <mergeCell ref="B28:B58"/>
    <mergeCell ref="C28:C37"/>
    <mergeCell ref="C38:C40"/>
    <mergeCell ref="C42:C55"/>
    <mergeCell ref="C56:C58"/>
    <mergeCell ref="B62:C62"/>
    <mergeCell ref="B1:C1"/>
    <mergeCell ref="O1:S1"/>
    <mergeCell ref="R2:S2"/>
    <mergeCell ref="R3:R4"/>
    <mergeCell ref="S3:S11"/>
    <mergeCell ref="R8:R9"/>
    <mergeCell ref="C25:C27"/>
    <mergeCell ref="O34:O35"/>
    <mergeCell ref="Q34:Q35"/>
    <mergeCell ref="I34:I35"/>
    <mergeCell ref="J34:J35"/>
    <mergeCell ref="D37:D38"/>
    <mergeCell ref="E37:E38"/>
    <mergeCell ref="F37:F38"/>
    <mergeCell ref="G37:G38"/>
    <mergeCell ref="H37:H38"/>
    <mergeCell ref="Q55:Q56"/>
    <mergeCell ref="B59:R59"/>
    <mergeCell ref="S59:S60"/>
    <mergeCell ref="B61:S61"/>
    <mergeCell ref="O62:S62"/>
    <mergeCell ref="K50:K52"/>
    <mergeCell ref="K53:K54"/>
    <mergeCell ref="M53:M54"/>
    <mergeCell ref="O53:O54"/>
    <mergeCell ref="H74:H75"/>
    <mergeCell ref="I74:I75"/>
    <mergeCell ref="I82:I84"/>
    <mergeCell ref="I85:I86"/>
    <mergeCell ref="S85:S95"/>
    <mergeCell ref="S96:S98"/>
    <mergeCell ref="S120:S121"/>
    <mergeCell ref="S125:S134"/>
    <mergeCell ref="S135:S137"/>
    <mergeCell ref="S138:S140"/>
    <mergeCell ref="S141:S145"/>
    <mergeCell ref="K82:K84"/>
    <mergeCell ref="K91:K92"/>
    <mergeCell ref="K85:K86"/>
    <mergeCell ref="K88:K90"/>
    <mergeCell ref="K144:K145"/>
    <mergeCell ref="S74:S76"/>
    <mergeCell ref="S77:S79"/>
    <mergeCell ref="S80:S84"/>
    <mergeCell ref="J74:J75"/>
    <mergeCell ref="K74:K75"/>
    <mergeCell ref="L74:L75"/>
    <mergeCell ref="S157:S159"/>
    <mergeCell ref="S186:S194"/>
    <mergeCell ref="S195:S197"/>
    <mergeCell ref="S198:S200"/>
    <mergeCell ref="S201:S205"/>
    <mergeCell ref="S206:S216"/>
    <mergeCell ref="M82:M84"/>
    <mergeCell ref="O82:O84"/>
    <mergeCell ref="N74:N75"/>
    <mergeCell ref="O74:O75"/>
    <mergeCell ref="Q74:Q75"/>
    <mergeCell ref="R74:R75"/>
    <mergeCell ref="R77:R78"/>
    <mergeCell ref="R80:R81"/>
    <mergeCell ref="M91:M92"/>
    <mergeCell ref="M85:M86"/>
    <mergeCell ref="O85:O86"/>
    <mergeCell ref="Q85:Q86"/>
    <mergeCell ref="R85:R86"/>
    <mergeCell ref="R96:R97"/>
    <mergeCell ref="N135:N136"/>
    <mergeCell ref="O135:O136"/>
    <mergeCell ref="R138:R139"/>
    <mergeCell ref="R141:R142"/>
    <mergeCell ref="Q144:Q145"/>
    <mergeCell ref="R146:R147"/>
    <mergeCell ref="R157:R158"/>
    <mergeCell ref="M150:M151"/>
    <mergeCell ref="O150:O151"/>
    <mergeCell ref="M74:M75"/>
    <mergeCell ref="M206:M207"/>
    <mergeCell ref="O206:O207"/>
    <mergeCell ref="Q150:Q151"/>
    <mergeCell ref="L135:L136"/>
    <mergeCell ref="M135:M136"/>
    <mergeCell ref="K141:K143"/>
    <mergeCell ref="M141:M143"/>
    <mergeCell ref="O141:O143"/>
    <mergeCell ref="M144:M145"/>
    <mergeCell ref="O144:O145"/>
    <mergeCell ref="O91:O92"/>
    <mergeCell ref="Q91:Q92"/>
    <mergeCell ref="B120:R120"/>
    <mergeCell ref="B122:S122"/>
    <mergeCell ref="O123:S123"/>
    <mergeCell ref="R124:S124"/>
    <mergeCell ref="R125:R126"/>
    <mergeCell ref="Q135:Q136"/>
    <mergeCell ref="R135:R136"/>
    <mergeCell ref="B123:C123"/>
    <mergeCell ref="I131:I134"/>
    <mergeCell ref="K131:K134"/>
    <mergeCell ref="M131:M134"/>
    <mergeCell ref="O131:O134"/>
    <mergeCell ref="J135:J136"/>
    <mergeCell ref="K135:K136"/>
    <mergeCell ref="S146:S156"/>
    <mergeCell ref="C94:C96"/>
    <mergeCell ref="C137:C139"/>
    <mergeCell ref="C140:C152"/>
    <mergeCell ref="E149:E152"/>
    <mergeCell ref="I150:I151"/>
    <mergeCell ref="C130:C136"/>
    <mergeCell ref="D135:D136"/>
    <mergeCell ref="S181:S182"/>
    <mergeCell ref="B183:S183"/>
    <mergeCell ref="B184:C184"/>
    <mergeCell ref="O184:S184"/>
    <mergeCell ref="R185:S185"/>
    <mergeCell ref="R186:R187"/>
    <mergeCell ref="K191:K194"/>
    <mergeCell ref="M191:M194"/>
    <mergeCell ref="O191:O194"/>
    <mergeCell ref="J195:J196"/>
    <mergeCell ref="K195:K196"/>
    <mergeCell ref="L195:L196"/>
    <mergeCell ref="R195:R196"/>
    <mergeCell ref="M195:M196"/>
    <mergeCell ref="N195:N196"/>
    <mergeCell ref="K203:K205"/>
    <mergeCell ref="M203:M205"/>
    <mergeCell ref="O203:O205"/>
    <mergeCell ref="B186:B215"/>
    <mergeCell ref="C189:C197"/>
    <mergeCell ref="D195:D196"/>
    <mergeCell ref="E195:E196"/>
    <mergeCell ref="O195:O196"/>
    <mergeCell ref="Q195:Q196"/>
    <mergeCell ref="R198:R199"/>
    <mergeCell ref="R201:R202"/>
    <mergeCell ref="Q206:Q207"/>
    <mergeCell ref="R206:R207"/>
    <mergeCell ref="K206:K207"/>
    <mergeCell ref="K209:K211"/>
    <mergeCell ref="M212:M213"/>
    <mergeCell ref="O212:O213"/>
    <mergeCell ref="B303:R303"/>
    <mergeCell ref="S303:S304"/>
    <mergeCell ref="B305:S305"/>
    <mergeCell ref="B306:C306"/>
    <mergeCell ref="K319:K320"/>
    <mergeCell ref="K321:K322"/>
    <mergeCell ref="S217:S219"/>
    <mergeCell ref="S220:S222"/>
    <mergeCell ref="B242:R242"/>
    <mergeCell ref="B244:S244"/>
    <mergeCell ref="S247:S256"/>
    <mergeCell ref="S257:S259"/>
    <mergeCell ref="R260:R261"/>
    <mergeCell ref="S260:S262"/>
    <mergeCell ref="R263:R264"/>
    <mergeCell ref="S263:S267"/>
    <mergeCell ref="S268:S278"/>
    <mergeCell ref="S279:S281"/>
    <mergeCell ref="S308:S313"/>
    <mergeCell ref="S314:S315"/>
    <mergeCell ref="S316:S318"/>
    <mergeCell ref="S319:S323"/>
    <mergeCell ref="R268:R269"/>
    <mergeCell ref="R279:R280"/>
    <mergeCell ref="K267:K268"/>
    <mergeCell ref="K270:K272"/>
    <mergeCell ref="O245:S245"/>
    <mergeCell ref="R246:S246"/>
    <mergeCell ref="R247:R248"/>
    <mergeCell ref="M319:M320"/>
    <mergeCell ref="I319:I320"/>
    <mergeCell ref="H321:H322"/>
    <mergeCell ref="M321:M322"/>
    <mergeCell ref="N321:N322"/>
    <mergeCell ref="O321:O322"/>
    <mergeCell ref="Q321:Q322"/>
    <mergeCell ref="O306:S306"/>
    <mergeCell ref="R307:S307"/>
    <mergeCell ref="R308:R309"/>
    <mergeCell ref="N319:N320"/>
    <mergeCell ref="O319:O320"/>
    <mergeCell ref="Q319:Q320"/>
    <mergeCell ref="R319:R320"/>
    <mergeCell ref="R314:R315"/>
    <mergeCell ref="R316:R317"/>
    <mergeCell ref="J343:J344"/>
    <mergeCell ref="K343:K344"/>
    <mergeCell ref="L343:L344"/>
    <mergeCell ref="M343:M344"/>
    <mergeCell ref="R324:R325"/>
    <mergeCell ref="R336:R337"/>
    <mergeCell ref="Q212:Q213"/>
    <mergeCell ref="S242:S243"/>
    <mergeCell ref="R257:R258"/>
    <mergeCell ref="Q258:Q259"/>
    <mergeCell ref="M254:M257"/>
    <mergeCell ref="O254:O257"/>
    <mergeCell ref="J258:J259"/>
    <mergeCell ref="K258:K259"/>
    <mergeCell ref="L258:L259"/>
    <mergeCell ref="N258:N259"/>
    <mergeCell ref="O258:O259"/>
    <mergeCell ref="O273:O274"/>
    <mergeCell ref="Q273:Q274"/>
    <mergeCell ref="M258:M259"/>
    <mergeCell ref="M264:M266"/>
    <mergeCell ref="O264:O266"/>
    <mergeCell ref="M267:M268"/>
    <mergeCell ref="O267:O268"/>
    <mergeCell ref="Q267:Q268"/>
    <mergeCell ref="K273:K274"/>
    <mergeCell ref="M273:M274"/>
    <mergeCell ref="K212:K213"/>
    <mergeCell ref="K254:K257"/>
    <mergeCell ref="K264:K266"/>
    <mergeCell ref="R217:R218"/>
    <mergeCell ref="R220:R221"/>
    <mergeCell ref="S403:S405"/>
    <mergeCell ref="S364:S365"/>
    <mergeCell ref="R368:S368"/>
    <mergeCell ref="S369:S378"/>
    <mergeCell ref="S379:S381"/>
    <mergeCell ref="S382:S383"/>
    <mergeCell ref="S384:S385"/>
    <mergeCell ref="K325:K326"/>
    <mergeCell ref="Q323:Q324"/>
    <mergeCell ref="Q325:Q326"/>
    <mergeCell ref="K323:K324"/>
    <mergeCell ref="M323:M324"/>
    <mergeCell ref="N323:N324"/>
    <mergeCell ref="O323:O324"/>
    <mergeCell ref="M325:M326"/>
    <mergeCell ref="N325:N326"/>
    <mergeCell ref="O325:O326"/>
    <mergeCell ref="N343:N344"/>
    <mergeCell ref="O343:O344"/>
    <mergeCell ref="Q343:Q344"/>
    <mergeCell ref="K339:K342"/>
    <mergeCell ref="M339:M342"/>
    <mergeCell ref="O339:O342"/>
    <mergeCell ref="S386:S387"/>
    <mergeCell ref="S388:S389"/>
    <mergeCell ref="S390:S392"/>
    <mergeCell ref="S393:S397"/>
    <mergeCell ref="S324:S334"/>
    <mergeCell ref="S336:S345"/>
    <mergeCell ref="R349:R350"/>
    <mergeCell ref="R352:R353"/>
    <mergeCell ref="R357:R358"/>
    <mergeCell ref="R552:R553"/>
    <mergeCell ref="J563:J564"/>
    <mergeCell ref="K563:K564"/>
    <mergeCell ref="H563:H564"/>
    <mergeCell ref="I563:I564"/>
    <mergeCell ref="H502:H503"/>
    <mergeCell ref="L563:L564"/>
    <mergeCell ref="B367:C367"/>
    <mergeCell ref="O367:S367"/>
    <mergeCell ref="K357:K359"/>
    <mergeCell ref="K360:K361"/>
    <mergeCell ref="M360:M361"/>
    <mergeCell ref="O360:O361"/>
    <mergeCell ref="Q360:Q361"/>
    <mergeCell ref="B364:R364"/>
    <mergeCell ref="B366:S366"/>
    <mergeCell ref="K351:K353"/>
    <mergeCell ref="M351:M353"/>
    <mergeCell ref="O351:O353"/>
    <mergeCell ref="K354:K355"/>
    <mergeCell ref="M354:M355"/>
    <mergeCell ref="O354:O355"/>
    <mergeCell ref="Q354:Q355"/>
    <mergeCell ref="R403:R404"/>
    <mergeCell ref="R369:R370"/>
    <mergeCell ref="R379:R380"/>
    <mergeCell ref="R382:R383"/>
    <mergeCell ref="R384:R385"/>
    <mergeCell ref="R390:R391"/>
    <mergeCell ref="R393:R394"/>
    <mergeCell ref="R398:R399"/>
    <mergeCell ref="S398:S402"/>
    <mergeCell ref="S629:S631"/>
    <mergeCell ref="R632:R633"/>
    <mergeCell ref="S632:S636"/>
    <mergeCell ref="R637:R638"/>
    <mergeCell ref="S637:S638"/>
    <mergeCell ref="R639:R640"/>
    <mergeCell ref="S639:S641"/>
    <mergeCell ref="O467:O468"/>
    <mergeCell ref="Q467:Q468"/>
    <mergeCell ref="K456:K457"/>
    <mergeCell ref="K460:K462"/>
    <mergeCell ref="I463:I464"/>
    <mergeCell ref="M463:M464"/>
    <mergeCell ref="Q463:Q464"/>
    <mergeCell ref="I465:I466"/>
    <mergeCell ref="M465:M466"/>
    <mergeCell ref="Q465:Q466"/>
    <mergeCell ref="O550:S550"/>
    <mergeCell ref="R551:S551"/>
    <mergeCell ref="S547:S548"/>
    <mergeCell ref="S552:S561"/>
    <mergeCell ref="I559:I562"/>
    <mergeCell ref="K559:K562"/>
    <mergeCell ref="M559:M562"/>
    <mergeCell ref="O559:O562"/>
    <mergeCell ref="R562:R563"/>
    <mergeCell ref="S562:S564"/>
    <mergeCell ref="M528:M529"/>
    <mergeCell ref="O528:O529"/>
    <mergeCell ref="Q528:Q529"/>
    <mergeCell ref="B547:R547"/>
    <mergeCell ref="B549:S549"/>
    <mergeCell ref="S657:S659"/>
    <mergeCell ref="S660:S662"/>
    <mergeCell ref="R649:R650"/>
    <mergeCell ref="S649:S656"/>
    <mergeCell ref="Q655:Q656"/>
    <mergeCell ref="R657:R658"/>
    <mergeCell ref="P658:P659"/>
    <mergeCell ref="Q658:Q659"/>
    <mergeCell ref="R660:R661"/>
    <mergeCell ref="M642:M643"/>
    <mergeCell ref="M650:M654"/>
    <mergeCell ref="M655:M656"/>
    <mergeCell ref="L658:L659"/>
    <mergeCell ref="M658:M659"/>
    <mergeCell ref="N658:N659"/>
    <mergeCell ref="S565:S567"/>
    <mergeCell ref="R568:R569"/>
    <mergeCell ref="R571:R572"/>
    <mergeCell ref="S571:S575"/>
    <mergeCell ref="R576:R577"/>
    <mergeCell ref="Q579:Q580"/>
    <mergeCell ref="R581:R582"/>
    <mergeCell ref="S576:S580"/>
    <mergeCell ref="S581:S583"/>
    <mergeCell ref="S613:S622"/>
    <mergeCell ref="Q622:Q623"/>
    <mergeCell ref="R623:R624"/>
    <mergeCell ref="S623:S625"/>
    <mergeCell ref="S626:S628"/>
    <mergeCell ref="Q642:Q643"/>
    <mergeCell ref="R642:R643"/>
    <mergeCell ref="S642:S644"/>
    <mergeCell ref="M563:M564"/>
    <mergeCell ref="M576:M578"/>
    <mergeCell ref="M579:M580"/>
    <mergeCell ref="M585:M586"/>
    <mergeCell ref="M618:M621"/>
    <mergeCell ref="L622:L623"/>
    <mergeCell ref="O642:O643"/>
    <mergeCell ref="O650:O654"/>
    <mergeCell ref="O655:O656"/>
    <mergeCell ref="O658:O659"/>
    <mergeCell ref="N563:N564"/>
    <mergeCell ref="O563:O564"/>
    <mergeCell ref="O576:O578"/>
    <mergeCell ref="O579:O580"/>
    <mergeCell ref="O618:O621"/>
    <mergeCell ref="N622:N623"/>
    <mergeCell ref="E641:E644"/>
    <mergeCell ref="E655:E656"/>
    <mergeCell ref="I658:I659"/>
    <mergeCell ref="J658:J659"/>
    <mergeCell ref="K658:K659"/>
    <mergeCell ref="O622:O623"/>
    <mergeCell ref="I636:I637"/>
    <mergeCell ref="I639:I641"/>
    <mergeCell ref="I642:I643"/>
    <mergeCell ref="K582:K584"/>
    <mergeCell ref="K585:K586"/>
    <mergeCell ref="I618:I621"/>
    <mergeCell ref="D658:D659"/>
    <mergeCell ref="E658:E659"/>
    <mergeCell ref="G633:G635"/>
    <mergeCell ref="E635:E638"/>
    <mergeCell ref="F636:F637"/>
    <mergeCell ref="G636:G637"/>
    <mergeCell ref="G639:G641"/>
    <mergeCell ref="G642:G643"/>
    <mergeCell ref="G655:G656"/>
    <mergeCell ref="G661:G662"/>
    <mergeCell ref="H661:H662"/>
    <mergeCell ref="F658:F659"/>
    <mergeCell ref="G658:G659"/>
    <mergeCell ref="H658:H659"/>
    <mergeCell ref="F642:F643"/>
    <mergeCell ref="E661:E662"/>
    <mergeCell ref="F661:F662"/>
    <mergeCell ref="D661:D662"/>
    <mergeCell ref="J700:J701"/>
    <mergeCell ref="K700:K701"/>
    <mergeCell ref="L700:L701"/>
    <mergeCell ref="M700:M701"/>
    <mergeCell ref="N700:N701"/>
    <mergeCell ref="H684:H685"/>
    <mergeCell ref="I684:I685"/>
    <mergeCell ref="I696:I699"/>
    <mergeCell ref="K696:K699"/>
    <mergeCell ref="M696:M699"/>
    <mergeCell ref="O696:O699"/>
    <mergeCell ref="H700:H701"/>
    <mergeCell ref="O700:O701"/>
    <mergeCell ref="G682:G683"/>
    <mergeCell ref="H682:H683"/>
    <mergeCell ref="K682:K683"/>
    <mergeCell ref="L682:L683"/>
    <mergeCell ref="J684:J685"/>
    <mergeCell ref="K684:K685"/>
    <mergeCell ref="N684:N685"/>
    <mergeCell ref="O684:O685"/>
    <mergeCell ref="E666:E667"/>
    <mergeCell ref="B669:R669"/>
    <mergeCell ref="N661:N662"/>
    <mergeCell ref="O661:O662"/>
    <mergeCell ref="P661:P662"/>
    <mergeCell ref="Q661:Q662"/>
    <mergeCell ref="K743:K744"/>
    <mergeCell ref="L743:L744"/>
    <mergeCell ref="M743:M744"/>
    <mergeCell ref="N743:N744"/>
    <mergeCell ref="O743:O744"/>
    <mergeCell ref="Q743:Q744"/>
    <mergeCell ref="P684:P685"/>
    <mergeCell ref="Q684:Q685"/>
    <mergeCell ref="S685:S687"/>
    <mergeCell ref="R685:R686"/>
    <mergeCell ref="R693:R694"/>
    <mergeCell ref="S693:S700"/>
    <mergeCell ref="Q700:Q701"/>
    <mergeCell ref="R701:R702"/>
    <mergeCell ref="S701:S703"/>
    <mergeCell ref="S704:S706"/>
    <mergeCell ref="E710:E713"/>
    <mergeCell ref="F711:F712"/>
    <mergeCell ref="G711:G712"/>
    <mergeCell ref="Q711:Q712"/>
    <mergeCell ref="R712:R713"/>
    <mergeCell ref="S712:S714"/>
    <mergeCell ref="R704:R705"/>
    <mergeCell ref="R707:R708"/>
    <mergeCell ref="S707:S711"/>
    <mergeCell ref="M708:M710"/>
    <mergeCell ref="D765:D766"/>
    <mergeCell ref="E765:E768"/>
    <mergeCell ref="G767:G768"/>
    <mergeCell ref="K767:K768"/>
    <mergeCell ref="I682:I683"/>
    <mergeCell ref="J682:J683"/>
    <mergeCell ref="I708:I710"/>
    <mergeCell ref="K708:K710"/>
    <mergeCell ref="I711:I712"/>
    <mergeCell ref="K711:K712"/>
    <mergeCell ref="K714:K716"/>
    <mergeCell ref="K717:K718"/>
    <mergeCell ref="I714:I716"/>
    <mergeCell ref="I717:I718"/>
    <mergeCell ref="F765:F766"/>
    <mergeCell ref="G765:G766"/>
    <mergeCell ref="O708:O710"/>
    <mergeCell ref="M711:M712"/>
    <mergeCell ref="O711:O712"/>
    <mergeCell ref="F757:F758"/>
    <mergeCell ref="G757:G758"/>
    <mergeCell ref="K754:K756"/>
    <mergeCell ref="K757:K758"/>
    <mergeCell ref="O754:O756"/>
    <mergeCell ref="O757:O758"/>
    <mergeCell ref="M757:M758"/>
    <mergeCell ref="M759:M760"/>
    <mergeCell ref="O759:O760"/>
    <mergeCell ref="G754:G756"/>
    <mergeCell ref="I754:I756"/>
    <mergeCell ref="M754:M756"/>
    <mergeCell ref="I700:I701"/>
    <mergeCell ref="S748:S750"/>
    <mergeCell ref="R751:R752"/>
    <mergeCell ref="M717:M718"/>
    <mergeCell ref="O717:O718"/>
    <mergeCell ref="Q717:Q718"/>
    <mergeCell ref="B730:R730"/>
    <mergeCell ref="S730:S731"/>
    <mergeCell ref="L741:L742"/>
    <mergeCell ref="M741:M742"/>
    <mergeCell ref="N741:N742"/>
    <mergeCell ref="O741:O742"/>
    <mergeCell ref="D757:D758"/>
    <mergeCell ref="E757:E760"/>
    <mergeCell ref="G759:G760"/>
    <mergeCell ref="K759:K760"/>
    <mergeCell ref="D759:D760"/>
    <mergeCell ref="F759:F760"/>
    <mergeCell ref="I757:I758"/>
    <mergeCell ref="I759:I760"/>
    <mergeCell ref="Q757:Q758"/>
    <mergeCell ref="Q759:Q760"/>
    <mergeCell ref="R759:R760"/>
    <mergeCell ref="S759:S763"/>
    <mergeCell ref="R762:R763"/>
    <mergeCell ref="B732:S732"/>
    <mergeCell ref="O733:S733"/>
    <mergeCell ref="R735:R736"/>
    <mergeCell ref="S735:S742"/>
    <mergeCell ref="K737:K740"/>
    <mergeCell ref="M737:M740"/>
    <mergeCell ref="O737:O740"/>
    <mergeCell ref="Q741:Q742"/>
    <mergeCell ref="I737:I740"/>
    <mergeCell ref="D741:D742"/>
    <mergeCell ref="E741:E742"/>
    <mergeCell ref="F741:F742"/>
    <mergeCell ref="G741:G742"/>
    <mergeCell ref="H741:H742"/>
    <mergeCell ref="I741:I742"/>
    <mergeCell ref="K762:K764"/>
    <mergeCell ref="J741:J742"/>
    <mergeCell ref="K741:K742"/>
    <mergeCell ref="G762:G764"/>
    <mergeCell ref="I762:I764"/>
    <mergeCell ref="R756:R757"/>
    <mergeCell ref="S743:S744"/>
    <mergeCell ref="D743:D744"/>
    <mergeCell ref="E743:E744"/>
    <mergeCell ref="F743:F744"/>
    <mergeCell ref="G743:G744"/>
    <mergeCell ref="H743:H744"/>
    <mergeCell ref="I743:I744"/>
    <mergeCell ref="J743:J744"/>
    <mergeCell ref="S751:S755"/>
    <mergeCell ref="S756:S758"/>
    <mergeCell ref="R743:R744"/>
    <mergeCell ref="R745:R746"/>
    <mergeCell ref="S745:S747"/>
    <mergeCell ref="R748:R749"/>
    <mergeCell ref="M765:M766"/>
    <mergeCell ref="O765:O766"/>
    <mergeCell ref="Q765:Q766"/>
    <mergeCell ref="M767:M768"/>
    <mergeCell ref="O767:O768"/>
    <mergeCell ref="O922:O925"/>
    <mergeCell ref="O926:O927"/>
    <mergeCell ref="S918:S925"/>
    <mergeCell ref="I922:I925"/>
    <mergeCell ref="K922:K925"/>
    <mergeCell ref="M922:M925"/>
    <mergeCell ref="G926:G927"/>
    <mergeCell ref="I926:I927"/>
    <mergeCell ref="M926:M927"/>
    <mergeCell ref="M904:M905"/>
    <mergeCell ref="N904:N905"/>
    <mergeCell ref="O904:O905"/>
    <mergeCell ref="P904:P905"/>
    <mergeCell ref="Q904:Q905"/>
    <mergeCell ref="R904:S905"/>
    <mergeCell ref="B915:S915"/>
    <mergeCell ref="O916:S916"/>
    <mergeCell ref="R918:R919"/>
    <mergeCell ref="J926:J927"/>
    <mergeCell ref="K926:K927"/>
    <mergeCell ref="Q926:Q927"/>
    <mergeCell ref="R926:R927"/>
    <mergeCell ref="K765:K766"/>
    <mergeCell ref="D767:D768"/>
    <mergeCell ref="F767:F768"/>
    <mergeCell ref="I765:I766"/>
    <mergeCell ref="I767:I768"/>
    <mergeCell ref="F904:F905"/>
    <mergeCell ref="G904:G905"/>
    <mergeCell ref="H904:H905"/>
    <mergeCell ref="I904:I905"/>
    <mergeCell ref="J904:J905"/>
    <mergeCell ref="K904:K905"/>
    <mergeCell ref="L904:L905"/>
    <mergeCell ref="F906:F907"/>
    <mergeCell ref="G906:G907"/>
    <mergeCell ref="H906:H907"/>
    <mergeCell ref="I906:I907"/>
    <mergeCell ref="J906:J907"/>
    <mergeCell ref="K906:K907"/>
    <mergeCell ref="L906:L907"/>
    <mergeCell ref="R908:R909"/>
    <mergeCell ref="B913:R913"/>
    <mergeCell ref="S913:S914"/>
    <mergeCell ref="M906:M907"/>
    <mergeCell ref="N906:N907"/>
    <mergeCell ref="O906:O907"/>
    <mergeCell ref="P906:P907"/>
    <mergeCell ref="Q906:Q907"/>
    <mergeCell ref="R906:S907"/>
    <mergeCell ref="S908:S910"/>
  </mergeCells>
  <conditionalFormatting sqref="A1:XFD1048576">
    <cfRule type="cellIs" dxfId="0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61"/>
  <sheetViews>
    <sheetView showGridLines="0" topLeftCell="B1" workbookViewId="0">
      <selection activeCell="G9" sqref="G9:I10"/>
    </sheetView>
  </sheetViews>
  <sheetFormatPr defaultColWidth="14.42578125" defaultRowHeight="15" customHeight="1"/>
  <cols>
    <col min="1" max="1" width="12.85546875" style="73" hidden="1" customWidth="1"/>
    <col min="2" max="3" width="1.5703125" style="73" customWidth="1"/>
    <col min="4" max="5" width="14.42578125" style="73" customWidth="1"/>
    <col min="6" max="7" width="1.5703125" style="73" customWidth="1"/>
    <col min="8" max="9" width="16.42578125" style="73" customWidth="1"/>
    <col min="10" max="11" width="1.5703125" style="73" customWidth="1"/>
    <col min="12" max="13" width="16.42578125" style="73" customWidth="1"/>
    <col min="14" max="15" width="1.5703125" style="73" customWidth="1"/>
    <col min="16" max="16" width="30.28515625" style="73" customWidth="1"/>
    <col min="17" max="17" width="1.5703125" style="73" customWidth="1"/>
    <col min="18" max="18" width="61.5703125" style="73" hidden="1" customWidth="1"/>
    <col min="19" max="16384" width="14.42578125" style="73"/>
  </cols>
  <sheetData>
    <row r="1" spans="1:18" ht="61.5" customHeight="1">
      <c r="A1" s="70"/>
      <c r="B1" s="366"/>
      <c r="C1" s="311"/>
      <c r="D1" s="311"/>
      <c r="E1" s="311"/>
      <c r="F1" s="196"/>
      <c r="G1" s="196"/>
      <c r="H1" s="197"/>
      <c r="I1" s="197"/>
      <c r="J1" s="197"/>
      <c r="K1" s="197"/>
      <c r="L1" s="367" t="s">
        <v>241</v>
      </c>
      <c r="M1" s="311"/>
      <c r="N1" s="311"/>
      <c r="O1" s="311"/>
      <c r="P1" s="311"/>
      <c r="Q1" s="311"/>
      <c r="R1" s="72"/>
    </row>
    <row r="2" spans="1:18" ht="34.5" customHeight="1">
      <c r="A2" s="70"/>
      <c r="B2" s="368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72"/>
    </row>
    <row r="3" spans="1:18" ht="7.5" customHeight="1">
      <c r="A3" s="70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72"/>
    </row>
    <row r="4" spans="1:18" ht="7.5" customHeight="1">
      <c r="A4" s="199"/>
      <c r="B4" s="200"/>
      <c r="C4" s="352" t="s">
        <v>15</v>
      </c>
      <c r="D4" s="369" t="s">
        <v>242</v>
      </c>
      <c r="E4" s="299"/>
      <c r="F4" s="299"/>
      <c r="G4" s="299"/>
      <c r="H4" s="299"/>
      <c r="I4" s="299"/>
      <c r="J4" s="299"/>
      <c r="K4" s="299"/>
      <c r="L4" s="299"/>
      <c r="M4" s="354"/>
      <c r="N4" s="200"/>
      <c r="O4" s="360" t="s">
        <v>15</v>
      </c>
      <c r="P4" s="360" t="s">
        <v>243</v>
      </c>
      <c r="Q4" s="354"/>
      <c r="R4" s="72"/>
    </row>
    <row r="5" spans="1:18" ht="7.5" customHeight="1">
      <c r="A5" s="199"/>
      <c r="B5" s="200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355"/>
      <c r="N5" s="201"/>
      <c r="O5" s="296"/>
      <c r="P5" s="296"/>
      <c r="Q5" s="355"/>
      <c r="R5" s="72"/>
    </row>
    <row r="6" spans="1:18" ht="7.5" customHeight="1">
      <c r="A6" s="199"/>
      <c r="B6" s="200"/>
      <c r="C6" s="201"/>
      <c r="D6" s="201"/>
      <c r="E6" s="201"/>
      <c r="F6" s="200"/>
      <c r="G6" s="200"/>
      <c r="H6" s="200"/>
      <c r="I6" s="200"/>
      <c r="J6" s="200"/>
      <c r="K6" s="201"/>
      <c r="L6" s="201"/>
      <c r="M6" s="200"/>
      <c r="N6" s="201"/>
      <c r="O6" s="202"/>
      <c r="P6" s="202"/>
      <c r="Q6" s="202"/>
      <c r="R6" s="72"/>
    </row>
    <row r="7" spans="1:18" ht="7.5" customHeight="1">
      <c r="A7" s="199"/>
      <c r="B7" s="200"/>
      <c r="C7" s="361" t="s">
        <v>244</v>
      </c>
      <c r="D7" s="358" t="s">
        <v>245</v>
      </c>
      <c r="E7" s="362"/>
      <c r="F7" s="200"/>
      <c r="G7" s="364" t="s">
        <v>244</v>
      </c>
      <c r="H7" s="365" t="s">
        <v>246</v>
      </c>
      <c r="I7" s="203"/>
      <c r="J7" s="200"/>
      <c r="K7" s="364" t="s">
        <v>244</v>
      </c>
      <c r="L7" s="358" t="s">
        <v>247</v>
      </c>
      <c r="M7" s="350"/>
      <c r="N7" s="201"/>
      <c r="O7" s="204"/>
      <c r="P7" s="349" t="s">
        <v>248</v>
      </c>
      <c r="Q7" s="350"/>
      <c r="R7" s="72"/>
    </row>
    <row r="8" spans="1:18" ht="7.5" customHeight="1">
      <c r="A8" s="199"/>
      <c r="B8" s="200"/>
      <c r="C8" s="314"/>
      <c r="D8" s="351"/>
      <c r="E8" s="363"/>
      <c r="F8" s="200"/>
      <c r="G8" s="314"/>
      <c r="H8" s="314"/>
      <c r="I8" s="203"/>
      <c r="J8" s="200"/>
      <c r="K8" s="314"/>
      <c r="L8" s="351"/>
      <c r="M8" s="299"/>
      <c r="N8" s="202"/>
      <c r="O8" s="205"/>
      <c r="P8" s="357"/>
      <c r="Q8" s="311"/>
      <c r="R8" s="72"/>
    </row>
    <row r="9" spans="1:18" ht="7.5" customHeight="1">
      <c r="A9" s="199"/>
      <c r="B9" s="200"/>
      <c r="C9" s="206"/>
      <c r="D9" s="349" t="s">
        <v>249</v>
      </c>
      <c r="E9" s="350"/>
      <c r="F9" s="200"/>
      <c r="G9" s="349" t="s">
        <v>250</v>
      </c>
      <c r="H9" s="350"/>
      <c r="I9" s="350"/>
      <c r="J9" s="200"/>
      <c r="K9" s="356" t="s">
        <v>251</v>
      </c>
      <c r="L9" s="350"/>
      <c r="M9" s="350"/>
      <c r="N9" s="202"/>
      <c r="O9" s="202"/>
      <c r="P9" s="202"/>
      <c r="Q9" s="202"/>
      <c r="R9" s="72"/>
    </row>
    <row r="10" spans="1:18" ht="7.5" customHeight="1">
      <c r="A10" s="199"/>
      <c r="B10" s="200"/>
      <c r="C10" s="206"/>
      <c r="D10" s="351"/>
      <c r="E10" s="299"/>
      <c r="F10" s="200"/>
      <c r="G10" s="351"/>
      <c r="H10" s="299"/>
      <c r="I10" s="299"/>
      <c r="J10" s="200"/>
      <c r="K10" s="351"/>
      <c r="L10" s="299"/>
      <c r="M10" s="299"/>
      <c r="N10" s="202"/>
      <c r="O10" s="360" t="s">
        <v>15</v>
      </c>
      <c r="P10" s="360" t="s">
        <v>252</v>
      </c>
      <c r="Q10" s="354"/>
      <c r="R10" s="72"/>
    </row>
    <row r="11" spans="1:18" ht="7.5" customHeight="1">
      <c r="A11" s="199"/>
      <c r="B11" s="200"/>
      <c r="C11" s="206"/>
      <c r="D11" s="349" t="s">
        <v>253</v>
      </c>
      <c r="E11" s="350"/>
      <c r="F11" s="200"/>
      <c r="G11" s="349" t="s">
        <v>254</v>
      </c>
      <c r="H11" s="350"/>
      <c r="I11" s="350"/>
      <c r="J11" s="200"/>
      <c r="K11" s="356" t="s">
        <v>255</v>
      </c>
      <c r="L11" s="350"/>
      <c r="M11" s="350"/>
      <c r="N11" s="202"/>
      <c r="O11" s="296"/>
      <c r="P11" s="296"/>
      <c r="Q11" s="355"/>
      <c r="R11" s="72"/>
    </row>
    <row r="12" spans="1:18" ht="7.5" customHeight="1">
      <c r="A12" s="199"/>
      <c r="B12" s="200"/>
      <c r="C12" s="206"/>
      <c r="D12" s="351"/>
      <c r="E12" s="299"/>
      <c r="F12" s="200"/>
      <c r="G12" s="351"/>
      <c r="H12" s="299"/>
      <c r="I12" s="299"/>
      <c r="J12" s="200"/>
      <c r="K12" s="351"/>
      <c r="L12" s="299"/>
      <c r="M12" s="299"/>
      <c r="N12" s="202"/>
      <c r="O12" s="202"/>
      <c r="P12" s="202"/>
      <c r="Q12" s="202"/>
      <c r="R12" s="72"/>
    </row>
    <row r="13" spans="1:18" ht="7.5" customHeight="1">
      <c r="A13" s="199"/>
      <c r="B13" s="200"/>
      <c r="C13" s="206"/>
      <c r="D13" s="349" t="s">
        <v>256</v>
      </c>
      <c r="E13" s="350"/>
      <c r="F13" s="200"/>
      <c r="G13" s="349" t="s">
        <v>257</v>
      </c>
      <c r="H13" s="350"/>
      <c r="I13" s="350"/>
      <c r="J13" s="200"/>
      <c r="K13" s="356" t="s">
        <v>258</v>
      </c>
      <c r="L13" s="350"/>
      <c r="M13" s="350"/>
      <c r="N13" s="202"/>
      <c r="O13" s="359" t="s">
        <v>244</v>
      </c>
      <c r="P13" s="358" t="s">
        <v>246</v>
      </c>
      <c r="Q13" s="350"/>
      <c r="R13" s="72"/>
    </row>
    <row r="14" spans="1:18" ht="7.5" customHeight="1">
      <c r="A14" s="199"/>
      <c r="B14" s="200"/>
      <c r="C14" s="206"/>
      <c r="D14" s="351"/>
      <c r="E14" s="299"/>
      <c r="F14" s="200"/>
      <c r="G14" s="351"/>
      <c r="H14" s="299"/>
      <c r="I14" s="299"/>
      <c r="J14" s="200"/>
      <c r="K14" s="357"/>
      <c r="L14" s="311"/>
      <c r="M14" s="311"/>
      <c r="N14" s="202"/>
      <c r="O14" s="314"/>
      <c r="P14" s="351"/>
      <c r="Q14" s="299"/>
      <c r="R14" s="72"/>
    </row>
    <row r="15" spans="1:18" ht="7.5" customHeight="1">
      <c r="A15" s="199"/>
      <c r="B15" s="200"/>
      <c r="C15" s="206"/>
      <c r="D15" s="349" t="s">
        <v>259</v>
      </c>
      <c r="E15" s="350"/>
      <c r="F15" s="200"/>
      <c r="G15" s="349" t="s">
        <v>260</v>
      </c>
      <c r="H15" s="350"/>
      <c r="I15" s="350"/>
      <c r="J15" s="200"/>
      <c r="K15" s="200"/>
      <c r="L15" s="200"/>
      <c r="M15" s="200"/>
      <c r="N15" s="200"/>
      <c r="O15" s="204"/>
      <c r="P15" s="349" t="s">
        <v>261</v>
      </c>
      <c r="Q15" s="350"/>
      <c r="R15" s="72"/>
    </row>
    <row r="16" spans="1:18" ht="7.5" customHeight="1">
      <c r="A16" s="199"/>
      <c r="B16" s="200"/>
      <c r="C16" s="206"/>
      <c r="D16" s="351"/>
      <c r="E16" s="299"/>
      <c r="F16" s="200"/>
      <c r="G16" s="351"/>
      <c r="H16" s="299"/>
      <c r="I16" s="299"/>
      <c r="J16" s="200"/>
      <c r="K16" s="352" t="s">
        <v>15</v>
      </c>
      <c r="L16" s="353" t="s">
        <v>262</v>
      </c>
      <c r="M16" s="354"/>
      <c r="N16" s="200"/>
      <c r="O16" s="207"/>
      <c r="P16" s="351"/>
      <c r="Q16" s="299"/>
      <c r="R16" s="72"/>
    </row>
    <row r="17" spans="1:18" ht="7.5" customHeight="1">
      <c r="A17" s="199"/>
      <c r="B17" s="200"/>
      <c r="C17" s="206"/>
      <c r="D17" s="349" t="s">
        <v>263</v>
      </c>
      <c r="E17" s="350"/>
      <c r="F17" s="200"/>
      <c r="G17" s="349" t="s">
        <v>264</v>
      </c>
      <c r="H17" s="350"/>
      <c r="I17" s="350"/>
      <c r="J17" s="200"/>
      <c r="K17" s="296"/>
      <c r="L17" s="296"/>
      <c r="M17" s="355"/>
      <c r="N17" s="200"/>
      <c r="O17" s="204"/>
      <c r="P17" s="349" t="s">
        <v>265</v>
      </c>
      <c r="Q17" s="350"/>
      <c r="R17" s="72"/>
    </row>
    <row r="18" spans="1:18" ht="7.5" customHeight="1">
      <c r="A18" s="199"/>
      <c r="B18" s="200"/>
      <c r="C18" s="206"/>
      <c r="D18" s="351"/>
      <c r="E18" s="299"/>
      <c r="F18" s="200"/>
      <c r="G18" s="351"/>
      <c r="H18" s="299"/>
      <c r="I18" s="299"/>
      <c r="J18" s="200"/>
      <c r="K18" s="202"/>
      <c r="L18" s="202"/>
      <c r="M18" s="200"/>
      <c r="N18" s="200"/>
      <c r="O18" s="207"/>
      <c r="P18" s="351"/>
      <c r="Q18" s="299"/>
      <c r="R18" s="72"/>
    </row>
    <row r="19" spans="1:18" ht="7.5" customHeight="1">
      <c r="A19" s="199"/>
      <c r="B19" s="200"/>
      <c r="C19" s="206"/>
      <c r="D19" s="349" t="s">
        <v>266</v>
      </c>
      <c r="E19" s="350"/>
      <c r="F19" s="200"/>
      <c r="G19" s="349" t="s">
        <v>267</v>
      </c>
      <c r="H19" s="350"/>
      <c r="I19" s="350"/>
      <c r="J19" s="200"/>
      <c r="K19" s="356" t="s">
        <v>268</v>
      </c>
      <c r="L19" s="350"/>
      <c r="M19" s="350"/>
      <c r="N19" s="200"/>
      <c r="O19" s="206"/>
      <c r="P19" s="349" t="s">
        <v>269</v>
      </c>
      <c r="Q19" s="350"/>
      <c r="R19" s="72"/>
    </row>
    <row r="20" spans="1:18" ht="7.5" customHeight="1">
      <c r="A20" s="199"/>
      <c r="B20" s="200"/>
      <c r="C20" s="206"/>
      <c r="D20" s="351"/>
      <c r="E20" s="299"/>
      <c r="F20" s="200"/>
      <c r="G20" s="351"/>
      <c r="H20" s="299"/>
      <c r="I20" s="299"/>
      <c r="J20" s="200"/>
      <c r="K20" s="351"/>
      <c r="L20" s="299"/>
      <c r="M20" s="299"/>
      <c r="N20" s="200"/>
      <c r="O20" s="206"/>
      <c r="P20" s="351"/>
      <c r="Q20" s="299"/>
      <c r="R20" s="72"/>
    </row>
    <row r="21" spans="1:18" ht="7.5" customHeight="1">
      <c r="A21" s="199"/>
      <c r="B21" s="200"/>
      <c r="C21" s="206"/>
      <c r="D21" s="349" t="s">
        <v>270</v>
      </c>
      <c r="E21" s="350"/>
      <c r="F21" s="200"/>
      <c r="G21" s="349" t="s">
        <v>271</v>
      </c>
      <c r="H21" s="350"/>
      <c r="I21" s="350"/>
      <c r="J21" s="200"/>
      <c r="K21" s="356" t="s">
        <v>272</v>
      </c>
      <c r="L21" s="350"/>
      <c r="M21" s="350"/>
      <c r="N21" s="200"/>
      <c r="O21" s="359" t="s">
        <v>244</v>
      </c>
      <c r="P21" s="358" t="s">
        <v>247</v>
      </c>
      <c r="Q21" s="350"/>
      <c r="R21" s="72"/>
    </row>
    <row r="22" spans="1:18" ht="7.5" customHeight="1">
      <c r="A22" s="199"/>
      <c r="B22" s="200"/>
      <c r="C22" s="206"/>
      <c r="D22" s="351"/>
      <c r="E22" s="299"/>
      <c r="F22" s="200"/>
      <c r="G22" s="351"/>
      <c r="H22" s="299"/>
      <c r="I22" s="299"/>
      <c r="J22" s="200"/>
      <c r="K22" s="351"/>
      <c r="L22" s="299"/>
      <c r="M22" s="299"/>
      <c r="N22" s="200"/>
      <c r="O22" s="314"/>
      <c r="P22" s="351"/>
      <c r="Q22" s="299"/>
      <c r="R22" s="72"/>
    </row>
    <row r="23" spans="1:18" ht="7.5" customHeight="1">
      <c r="A23" s="199"/>
      <c r="B23" s="200"/>
      <c r="C23" s="206"/>
      <c r="D23" s="349" t="s">
        <v>273</v>
      </c>
      <c r="E23" s="350"/>
      <c r="F23" s="200"/>
      <c r="G23" s="349" t="s">
        <v>274</v>
      </c>
      <c r="H23" s="350"/>
      <c r="I23" s="350"/>
      <c r="J23" s="200"/>
      <c r="K23" s="356" t="s">
        <v>275</v>
      </c>
      <c r="L23" s="350"/>
      <c r="M23" s="350"/>
      <c r="N23" s="200"/>
      <c r="O23" s="204"/>
      <c r="P23" s="349" t="s">
        <v>276</v>
      </c>
      <c r="Q23" s="350"/>
      <c r="R23" s="72"/>
    </row>
    <row r="24" spans="1:18" ht="7.5" customHeight="1">
      <c r="A24" s="199"/>
      <c r="B24" s="200"/>
      <c r="C24" s="206"/>
      <c r="D24" s="351"/>
      <c r="E24" s="299"/>
      <c r="F24" s="200"/>
      <c r="G24" s="351"/>
      <c r="H24" s="299"/>
      <c r="I24" s="299"/>
      <c r="J24" s="200"/>
      <c r="K24" s="351"/>
      <c r="L24" s="299"/>
      <c r="M24" s="299"/>
      <c r="N24" s="200"/>
      <c r="O24" s="207"/>
      <c r="P24" s="351"/>
      <c r="Q24" s="299"/>
      <c r="R24" s="72"/>
    </row>
    <row r="25" spans="1:18" ht="7.5" customHeight="1">
      <c r="A25" s="199"/>
      <c r="B25" s="200"/>
      <c r="C25" s="375" t="s">
        <v>244</v>
      </c>
      <c r="D25" s="372" t="s">
        <v>277</v>
      </c>
      <c r="E25" s="350"/>
      <c r="F25" s="200"/>
      <c r="G25" s="349" t="s">
        <v>278</v>
      </c>
      <c r="H25" s="350"/>
      <c r="I25" s="350"/>
      <c r="J25" s="200"/>
      <c r="K25" s="356" t="s">
        <v>279</v>
      </c>
      <c r="L25" s="350"/>
      <c r="M25" s="350"/>
      <c r="N25" s="200"/>
      <c r="O25" s="204"/>
      <c r="P25" s="349" t="s">
        <v>280</v>
      </c>
      <c r="Q25" s="350"/>
      <c r="R25" s="72"/>
    </row>
    <row r="26" spans="1:18" ht="7.5" customHeight="1">
      <c r="A26" s="199"/>
      <c r="B26" s="200"/>
      <c r="C26" s="314"/>
      <c r="D26" s="351"/>
      <c r="E26" s="299"/>
      <c r="F26" s="200"/>
      <c r="G26" s="351"/>
      <c r="H26" s="299"/>
      <c r="I26" s="299"/>
      <c r="J26" s="200"/>
      <c r="K26" s="351"/>
      <c r="L26" s="299"/>
      <c r="M26" s="299"/>
      <c r="N26" s="200"/>
      <c r="O26" s="205"/>
      <c r="P26" s="357"/>
      <c r="Q26" s="311"/>
      <c r="R26" s="72"/>
    </row>
    <row r="27" spans="1:18" ht="7.5" customHeight="1">
      <c r="A27" s="199"/>
      <c r="B27" s="200"/>
      <c r="C27" s="208"/>
      <c r="D27" s="351"/>
      <c r="E27" s="299"/>
      <c r="F27" s="200"/>
      <c r="G27" s="349" t="s">
        <v>281</v>
      </c>
      <c r="H27" s="350"/>
      <c r="I27" s="350"/>
      <c r="J27" s="200"/>
      <c r="K27" s="356" t="s">
        <v>282</v>
      </c>
      <c r="L27" s="350"/>
      <c r="M27" s="350"/>
      <c r="N27" s="200"/>
      <c r="O27" s="209"/>
      <c r="P27" s="200"/>
      <c r="Q27" s="200"/>
      <c r="R27" s="72"/>
    </row>
    <row r="28" spans="1:18" ht="7.5" customHeight="1">
      <c r="A28" s="199"/>
      <c r="B28" s="200"/>
      <c r="C28" s="210"/>
      <c r="D28" s="351"/>
      <c r="E28" s="299"/>
      <c r="F28" s="200"/>
      <c r="G28" s="351"/>
      <c r="H28" s="299"/>
      <c r="I28" s="299"/>
      <c r="J28" s="200"/>
      <c r="K28" s="351"/>
      <c r="L28" s="299"/>
      <c r="M28" s="299"/>
      <c r="N28" s="200"/>
      <c r="O28" s="209"/>
      <c r="P28" s="200"/>
      <c r="Q28" s="200"/>
      <c r="R28" s="72"/>
    </row>
    <row r="29" spans="1:18" ht="7.5" customHeight="1">
      <c r="A29" s="199"/>
      <c r="B29" s="200"/>
      <c r="C29" s="210"/>
      <c r="D29" s="351"/>
      <c r="E29" s="299"/>
      <c r="F29" s="200"/>
      <c r="G29" s="372" t="s">
        <v>283</v>
      </c>
      <c r="H29" s="350"/>
      <c r="I29" s="350"/>
      <c r="J29" s="200"/>
      <c r="K29" s="356" t="s">
        <v>284</v>
      </c>
      <c r="L29" s="350"/>
      <c r="M29" s="350"/>
      <c r="N29" s="200"/>
      <c r="O29" s="209"/>
      <c r="P29" s="200"/>
      <c r="Q29" s="200"/>
      <c r="R29" s="72"/>
    </row>
    <row r="30" spans="1:18" ht="7.5" customHeight="1">
      <c r="A30" s="199"/>
      <c r="B30" s="200"/>
      <c r="C30" s="210"/>
      <c r="D30" s="351"/>
      <c r="E30" s="299"/>
      <c r="F30" s="200"/>
      <c r="G30" s="351"/>
      <c r="H30" s="299"/>
      <c r="I30" s="299"/>
      <c r="J30" s="200"/>
      <c r="K30" s="351"/>
      <c r="L30" s="299"/>
      <c r="M30" s="299"/>
      <c r="N30" s="200"/>
      <c r="O30" s="202"/>
      <c r="P30" s="200"/>
      <c r="Q30" s="200"/>
      <c r="R30" s="72"/>
    </row>
    <row r="31" spans="1:18" ht="7.5" customHeight="1">
      <c r="A31" s="199"/>
      <c r="B31" s="200"/>
      <c r="C31" s="211"/>
      <c r="D31" s="357"/>
      <c r="E31" s="311"/>
      <c r="F31" s="200"/>
      <c r="G31" s="351"/>
      <c r="H31" s="299"/>
      <c r="I31" s="299"/>
      <c r="J31" s="200"/>
      <c r="K31" s="356" t="s">
        <v>285</v>
      </c>
      <c r="L31" s="350"/>
      <c r="M31" s="350"/>
      <c r="N31" s="200"/>
      <c r="O31" s="200"/>
      <c r="P31" s="200"/>
      <c r="Q31" s="200"/>
      <c r="R31" s="72"/>
    </row>
    <row r="32" spans="1:18" ht="7.5" customHeight="1">
      <c r="A32" s="199"/>
      <c r="B32" s="200"/>
      <c r="F32" s="200"/>
      <c r="G32" s="351"/>
      <c r="H32" s="299"/>
      <c r="I32" s="299"/>
      <c r="J32" s="200"/>
      <c r="K32" s="351"/>
      <c r="L32" s="299"/>
      <c r="M32" s="299"/>
      <c r="N32" s="200"/>
      <c r="O32" s="200"/>
      <c r="P32" s="200"/>
      <c r="Q32" s="200"/>
      <c r="R32" s="72"/>
    </row>
    <row r="33" spans="1:18" ht="7.5" customHeight="1">
      <c r="A33" s="199"/>
      <c r="B33" s="200"/>
      <c r="F33" s="200"/>
      <c r="G33" s="351"/>
      <c r="H33" s="299"/>
      <c r="I33" s="299"/>
      <c r="J33" s="200"/>
      <c r="K33" s="356" t="s">
        <v>286</v>
      </c>
      <c r="L33" s="350"/>
      <c r="M33" s="350"/>
      <c r="N33" s="200"/>
      <c r="O33" s="200"/>
      <c r="P33" s="200"/>
      <c r="Q33" s="200"/>
      <c r="R33" s="72"/>
    </row>
    <row r="34" spans="1:18" ht="7.5" customHeight="1">
      <c r="A34" s="199"/>
      <c r="B34" s="200"/>
      <c r="F34" s="200"/>
      <c r="G34" s="351"/>
      <c r="H34" s="299"/>
      <c r="I34" s="299"/>
      <c r="J34" s="200"/>
      <c r="K34" s="351"/>
      <c r="L34" s="299"/>
      <c r="M34" s="299"/>
      <c r="N34" s="200"/>
      <c r="O34" s="200"/>
      <c r="P34" s="200"/>
      <c r="Q34" s="200"/>
      <c r="R34" s="72"/>
    </row>
    <row r="35" spans="1:18" ht="7.5" customHeight="1">
      <c r="A35" s="212"/>
      <c r="B35" s="200"/>
      <c r="F35" s="200"/>
      <c r="G35" s="351"/>
      <c r="H35" s="299"/>
      <c r="I35" s="299"/>
      <c r="J35" s="200"/>
      <c r="K35" s="370" t="s">
        <v>244</v>
      </c>
      <c r="L35" s="371" t="s">
        <v>287</v>
      </c>
      <c r="M35" s="350"/>
      <c r="N35" s="200"/>
      <c r="O35" s="200"/>
      <c r="P35" s="200"/>
      <c r="Q35" s="200"/>
      <c r="R35" s="72"/>
    </row>
    <row r="36" spans="1:18" ht="7.5" customHeight="1">
      <c r="A36" s="212"/>
      <c r="B36" s="200"/>
      <c r="F36" s="200"/>
      <c r="G36" s="351"/>
      <c r="H36" s="299"/>
      <c r="I36" s="299"/>
      <c r="J36" s="200"/>
      <c r="K36" s="314"/>
      <c r="L36" s="351"/>
      <c r="M36" s="299"/>
      <c r="N36" s="200"/>
      <c r="O36" s="200"/>
      <c r="P36" s="200"/>
      <c r="Q36" s="200"/>
      <c r="R36" s="72"/>
    </row>
    <row r="37" spans="1:18" ht="7.5" customHeight="1">
      <c r="A37" s="212"/>
      <c r="B37" s="200"/>
      <c r="F37" s="200"/>
      <c r="G37" s="351"/>
      <c r="H37" s="299"/>
      <c r="I37" s="299"/>
      <c r="J37" s="200"/>
      <c r="K37" s="314"/>
      <c r="L37" s="351"/>
      <c r="M37" s="299"/>
      <c r="N37" s="200"/>
      <c r="O37" s="200"/>
      <c r="P37" s="200"/>
      <c r="Q37" s="200"/>
      <c r="R37" s="72"/>
    </row>
    <row r="38" spans="1:18" ht="7.5" customHeight="1">
      <c r="A38" s="212"/>
      <c r="B38" s="200"/>
      <c r="F38" s="200"/>
      <c r="G38" s="351"/>
      <c r="H38" s="299"/>
      <c r="I38" s="299"/>
      <c r="J38" s="200"/>
      <c r="K38" s="314"/>
      <c r="L38" s="351"/>
      <c r="M38" s="299"/>
      <c r="N38" s="200"/>
      <c r="O38" s="200"/>
      <c r="P38" s="200"/>
      <c r="Q38" s="200"/>
      <c r="R38" s="72"/>
    </row>
    <row r="39" spans="1:18" ht="7.5" customHeight="1">
      <c r="A39" s="212"/>
      <c r="B39" s="200"/>
      <c r="F39" s="200"/>
      <c r="G39" s="351"/>
      <c r="H39" s="299"/>
      <c r="I39" s="299"/>
      <c r="J39" s="200"/>
      <c r="K39" s="342"/>
      <c r="L39" s="357"/>
      <c r="M39" s="311"/>
      <c r="N39" s="200"/>
      <c r="O39" s="200"/>
      <c r="P39" s="200"/>
      <c r="Q39" s="200"/>
      <c r="R39" s="72"/>
    </row>
    <row r="40" spans="1:18" ht="7.5" customHeight="1">
      <c r="A40" s="212"/>
      <c r="B40" s="200"/>
      <c r="F40" s="200"/>
      <c r="G40" s="351"/>
      <c r="H40" s="299"/>
      <c r="I40" s="299"/>
      <c r="J40" s="200"/>
      <c r="K40" s="213"/>
      <c r="L40" s="214"/>
      <c r="M40" s="214"/>
      <c r="N40" s="200"/>
      <c r="O40" s="200"/>
      <c r="P40" s="200"/>
      <c r="Q40" s="200"/>
      <c r="R40" s="72"/>
    </row>
    <row r="41" spans="1:18" ht="7.5" customHeight="1">
      <c r="A41" s="212"/>
      <c r="B41" s="200"/>
      <c r="F41" s="200"/>
      <c r="G41" s="351"/>
      <c r="H41" s="299"/>
      <c r="I41" s="299"/>
      <c r="J41" s="200"/>
      <c r="K41" s="213"/>
      <c r="L41" s="214"/>
      <c r="M41" s="214"/>
      <c r="N41" s="200"/>
      <c r="O41" s="200"/>
      <c r="P41" s="200"/>
      <c r="Q41" s="200"/>
      <c r="R41" s="72"/>
    </row>
    <row r="42" spans="1:18" ht="7.5" customHeight="1">
      <c r="A42" s="212"/>
      <c r="B42" s="200"/>
      <c r="F42" s="200"/>
      <c r="G42" s="351"/>
      <c r="H42" s="299"/>
      <c r="I42" s="299"/>
      <c r="J42" s="200"/>
      <c r="K42" s="202"/>
      <c r="L42" s="202"/>
      <c r="M42" s="200"/>
      <c r="N42" s="200"/>
      <c r="O42" s="200"/>
      <c r="P42" s="200"/>
      <c r="Q42" s="200"/>
      <c r="R42" s="72"/>
    </row>
    <row r="43" spans="1:18" ht="7.5" customHeight="1">
      <c r="A43" s="212"/>
      <c r="B43" s="200"/>
      <c r="F43" s="200"/>
      <c r="G43" s="357"/>
      <c r="H43" s="311"/>
      <c r="I43" s="311"/>
      <c r="J43" s="200"/>
      <c r="K43" s="202"/>
      <c r="L43" s="202"/>
      <c r="M43" s="200"/>
      <c r="N43" s="200"/>
      <c r="O43" s="200"/>
      <c r="P43" s="200"/>
      <c r="Q43" s="200"/>
      <c r="R43" s="72"/>
    </row>
    <row r="44" spans="1:18" ht="7.5" customHeight="1">
      <c r="A44" s="199"/>
      <c r="B44" s="200"/>
      <c r="F44" s="200"/>
      <c r="G44" s="209"/>
      <c r="H44" s="209"/>
      <c r="I44" s="209"/>
      <c r="J44" s="200"/>
      <c r="K44" s="209"/>
      <c r="L44" s="209"/>
      <c r="M44" s="200"/>
      <c r="N44" s="200"/>
      <c r="O44" s="200"/>
      <c r="P44" s="200"/>
      <c r="Q44" s="200"/>
      <c r="R44" s="72"/>
    </row>
    <row r="45" spans="1:18" ht="7.5" customHeight="1">
      <c r="A45" s="199"/>
      <c r="B45" s="200"/>
      <c r="F45" s="200"/>
      <c r="G45" s="209"/>
      <c r="H45" s="209"/>
      <c r="I45" s="209"/>
      <c r="J45" s="200"/>
      <c r="K45" s="209"/>
      <c r="L45" s="209"/>
      <c r="M45" s="200"/>
      <c r="N45" s="200"/>
      <c r="O45" s="200"/>
      <c r="P45" s="200"/>
      <c r="Q45" s="200"/>
      <c r="R45" s="72"/>
    </row>
    <row r="46" spans="1:18" ht="7.5" customHeight="1">
      <c r="A46" s="199"/>
      <c r="B46" s="200"/>
      <c r="F46" s="200"/>
      <c r="G46" s="209"/>
      <c r="H46" s="209"/>
      <c r="I46" s="209"/>
      <c r="J46" s="200"/>
      <c r="K46" s="209"/>
      <c r="L46" s="209"/>
      <c r="M46" s="200"/>
      <c r="N46" s="200"/>
      <c r="O46" s="200"/>
      <c r="P46" s="200"/>
      <c r="Q46" s="200"/>
      <c r="R46" s="72"/>
    </row>
    <row r="47" spans="1:18" ht="7.5" customHeight="1">
      <c r="A47" s="199"/>
      <c r="B47" s="200"/>
      <c r="F47" s="200"/>
      <c r="G47" s="209"/>
      <c r="H47" s="209"/>
      <c r="I47" s="209"/>
      <c r="J47" s="200"/>
      <c r="K47" s="209"/>
      <c r="L47" s="209"/>
      <c r="M47" s="200"/>
      <c r="N47" s="200"/>
      <c r="O47" s="200"/>
      <c r="P47" s="200"/>
      <c r="Q47" s="200"/>
      <c r="R47" s="72"/>
    </row>
    <row r="48" spans="1:18" ht="7.5" customHeight="1">
      <c r="A48" s="199"/>
      <c r="B48" s="200"/>
      <c r="F48" s="200"/>
      <c r="G48" s="209"/>
      <c r="H48" s="209"/>
      <c r="I48" s="209"/>
      <c r="J48" s="200"/>
      <c r="K48" s="209"/>
      <c r="L48" s="209"/>
      <c r="M48" s="200"/>
      <c r="N48" s="200"/>
      <c r="O48" s="200"/>
      <c r="P48" s="200"/>
      <c r="Q48" s="200"/>
      <c r="R48" s="72"/>
    </row>
    <row r="49" spans="1:18" ht="7.5" customHeight="1">
      <c r="A49" s="199"/>
      <c r="B49" s="200"/>
      <c r="F49" s="200"/>
      <c r="G49" s="209"/>
      <c r="H49" s="209"/>
      <c r="I49" s="209"/>
      <c r="J49" s="200"/>
      <c r="K49" s="209"/>
      <c r="L49" s="209"/>
      <c r="M49" s="200"/>
      <c r="N49" s="200"/>
      <c r="O49" s="200"/>
      <c r="P49" s="200"/>
      <c r="Q49" s="200"/>
      <c r="R49" s="72"/>
    </row>
    <row r="50" spans="1:18" ht="7.5" customHeight="1">
      <c r="A50" s="199"/>
      <c r="B50" s="200"/>
      <c r="F50" s="200"/>
      <c r="G50" s="209"/>
      <c r="H50" s="209"/>
      <c r="I50" s="209"/>
      <c r="J50" s="200"/>
      <c r="K50" s="209"/>
      <c r="L50" s="209"/>
      <c r="M50" s="200"/>
      <c r="N50" s="200"/>
      <c r="O50" s="200"/>
      <c r="P50" s="200"/>
      <c r="Q50" s="200"/>
      <c r="R50" s="72"/>
    </row>
    <row r="51" spans="1:18" ht="7.5" customHeight="1">
      <c r="A51" s="199"/>
      <c r="B51" s="200"/>
      <c r="F51" s="209"/>
      <c r="G51" s="209"/>
      <c r="H51" s="209"/>
      <c r="I51" s="209"/>
      <c r="J51" s="209"/>
      <c r="K51" s="209"/>
      <c r="L51" s="209"/>
      <c r="M51" s="200"/>
      <c r="N51" s="200"/>
      <c r="O51" s="200"/>
      <c r="P51" s="200"/>
      <c r="Q51" s="200"/>
      <c r="R51" s="72"/>
    </row>
    <row r="52" spans="1:18" ht="7.5" customHeight="1">
      <c r="A52" s="199"/>
      <c r="B52" s="200"/>
      <c r="F52" s="209"/>
      <c r="G52" s="209"/>
      <c r="H52" s="209"/>
      <c r="I52" s="209"/>
      <c r="J52" s="209"/>
      <c r="K52" s="209"/>
      <c r="L52" s="209"/>
      <c r="M52" s="209"/>
      <c r="N52" s="200"/>
      <c r="O52" s="200"/>
      <c r="P52" s="200"/>
      <c r="Q52" s="200"/>
      <c r="R52" s="72"/>
    </row>
    <row r="53" spans="1:18" ht="7.5" customHeight="1">
      <c r="A53" s="199"/>
      <c r="B53" s="200"/>
      <c r="F53" s="209"/>
      <c r="G53" s="209"/>
      <c r="H53" s="209"/>
      <c r="I53" s="209"/>
      <c r="J53" s="209"/>
      <c r="K53" s="209"/>
      <c r="L53" s="209"/>
      <c r="M53" s="209"/>
      <c r="N53" s="200"/>
      <c r="O53" s="200"/>
      <c r="P53" s="200"/>
      <c r="Q53" s="200"/>
      <c r="R53" s="72"/>
    </row>
    <row r="54" spans="1:18" ht="7.5" customHeight="1">
      <c r="A54" s="199"/>
      <c r="B54" s="215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0"/>
      <c r="O54" s="200"/>
      <c r="P54" s="200"/>
      <c r="Q54" s="200"/>
      <c r="R54" s="72"/>
    </row>
    <row r="55" spans="1:18" ht="7.5" customHeight="1">
      <c r="A55" s="199"/>
      <c r="B55" s="215"/>
      <c r="C55" s="215"/>
      <c r="D55" s="215"/>
      <c r="E55" s="215"/>
      <c r="F55" s="209"/>
      <c r="G55" s="209"/>
      <c r="H55" s="209"/>
      <c r="I55" s="209"/>
      <c r="J55" s="209"/>
      <c r="K55" s="209"/>
      <c r="L55" s="209"/>
      <c r="M55" s="209"/>
      <c r="N55" s="200"/>
      <c r="O55" s="200"/>
      <c r="P55" s="200"/>
      <c r="Q55" s="200"/>
      <c r="R55" s="72"/>
    </row>
    <row r="56" spans="1:18" ht="7.5" customHeight="1">
      <c r="A56" s="199"/>
      <c r="B56" s="215"/>
      <c r="C56" s="215"/>
      <c r="D56" s="215"/>
      <c r="E56" s="215"/>
      <c r="F56" s="215"/>
      <c r="G56" s="209"/>
      <c r="H56" s="209"/>
      <c r="I56" s="209"/>
      <c r="J56" s="216"/>
      <c r="K56" s="209"/>
      <c r="L56" s="209"/>
      <c r="M56" s="200"/>
      <c r="N56" s="200"/>
      <c r="O56" s="200"/>
      <c r="P56" s="200"/>
      <c r="Q56" s="200"/>
      <c r="R56" s="72"/>
    </row>
    <row r="57" spans="1:18" ht="7.5" customHeight="1">
      <c r="A57" s="199"/>
      <c r="B57" s="215"/>
      <c r="C57" s="215"/>
      <c r="D57" s="215"/>
      <c r="E57" s="215"/>
      <c r="F57" s="215"/>
      <c r="G57" s="209"/>
      <c r="H57" s="209"/>
      <c r="I57" s="209"/>
      <c r="J57" s="216"/>
      <c r="K57" s="209"/>
      <c r="L57" s="209"/>
      <c r="M57" s="209"/>
      <c r="N57" s="216"/>
      <c r="O57" s="209"/>
      <c r="P57" s="209"/>
      <c r="Q57" s="209"/>
      <c r="R57" s="72"/>
    </row>
    <row r="58" spans="1:18" ht="7.5" customHeight="1">
      <c r="A58" s="199"/>
      <c r="B58" s="215"/>
      <c r="C58" s="215"/>
      <c r="D58" s="215"/>
      <c r="E58" s="215"/>
      <c r="F58" s="215"/>
      <c r="G58" s="215"/>
      <c r="H58" s="216"/>
      <c r="I58" s="216"/>
      <c r="J58" s="216"/>
      <c r="K58" s="209"/>
      <c r="L58" s="209"/>
      <c r="M58" s="209"/>
      <c r="N58" s="216"/>
      <c r="O58" s="209"/>
      <c r="P58" s="209"/>
      <c r="Q58" s="209"/>
      <c r="R58" s="72"/>
    </row>
    <row r="59" spans="1:18" ht="11.25" customHeight="1">
      <c r="A59" s="119"/>
      <c r="B59" s="217"/>
      <c r="C59" s="218"/>
      <c r="D59" s="219" t="s">
        <v>4</v>
      </c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373" t="s">
        <v>53</v>
      </c>
      <c r="Q59" s="301"/>
      <c r="R59" s="72"/>
    </row>
    <row r="60" spans="1:18" ht="11.25" customHeight="1">
      <c r="A60" s="7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96"/>
      <c r="Q60" s="296"/>
      <c r="R60" s="72"/>
    </row>
    <row r="61" spans="1:18" ht="11.25" customHeight="1">
      <c r="A61" s="70"/>
      <c r="B61" s="374" t="s">
        <v>288</v>
      </c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72"/>
    </row>
  </sheetData>
  <sheetProtection password="FB1E" sheet="1" objects="1" scenarios="1"/>
  <mergeCells count="63">
    <mergeCell ref="B61:Q61"/>
    <mergeCell ref="K29:M30"/>
    <mergeCell ref="K31:M32"/>
    <mergeCell ref="C25:C26"/>
    <mergeCell ref="D19:E20"/>
    <mergeCell ref="G19:I20"/>
    <mergeCell ref="D21:E22"/>
    <mergeCell ref="K21:M22"/>
    <mergeCell ref="G21:I22"/>
    <mergeCell ref="P23:Q24"/>
    <mergeCell ref="K25:M26"/>
    <mergeCell ref="P25:Q26"/>
    <mergeCell ref="K27:M28"/>
    <mergeCell ref="P59:Q60"/>
    <mergeCell ref="D23:E24"/>
    <mergeCell ref="K33:M34"/>
    <mergeCell ref="K35:K39"/>
    <mergeCell ref="L35:M39"/>
    <mergeCell ref="G23:I24"/>
    <mergeCell ref="D25:E31"/>
    <mergeCell ref="K23:M24"/>
    <mergeCell ref="G25:I26"/>
    <mergeCell ref="G27:I28"/>
    <mergeCell ref="G29:I43"/>
    <mergeCell ref="B1:E1"/>
    <mergeCell ref="L1:Q1"/>
    <mergeCell ref="B2:Q2"/>
    <mergeCell ref="C4:C5"/>
    <mergeCell ref="D4:M5"/>
    <mergeCell ref="O4:O5"/>
    <mergeCell ref="P4:Q5"/>
    <mergeCell ref="C7:C8"/>
    <mergeCell ref="D7:E8"/>
    <mergeCell ref="G7:G8"/>
    <mergeCell ref="H7:H8"/>
    <mergeCell ref="K7:K8"/>
    <mergeCell ref="D9:E10"/>
    <mergeCell ref="G9:I10"/>
    <mergeCell ref="K9:M10"/>
    <mergeCell ref="O10:O11"/>
    <mergeCell ref="P10:Q11"/>
    <mergeCell ref="G11:I12"/>
    <mergeCell ref="K11:M12"/>
    <mergeCell ref="D11:E12"/>
    <mergeCell ref="P15:Q16"/>
    <mergeCell ref="P17:Q18"/>
    <mergeCell ref="P19:Q20"/>
    <mergeCell ref="P21:Q22"/>
    <mergeCell ref="L7:M8"/>
    <mergeCell ref="P7:Q8"/>
    <mergeCell ref="O21:O22"/>
    <mergeCell ref="K19:M20"/>
    <mergeCell ref="D13:E14"/>
    <mergeCell ref="G13:I14"/>
    <mergeCell ref="K13:M14"/>
    <mergeCell ref="P13:Q14"/>
    <mergeCell ref="O13:O14"/>
    <mergeCell ref="D15:E16"/>
    <mergeCell ref="D17:E18"/>
    <mergeCell ref="K16:K17"/>
    <mergeCell ref="L16:M17"/>
    <mergeCell ref="G15:I16"/>
    <mergeCell ref="G17:I18"/>
  </mergeCells>
  <pageMargins left="0.31496062992125984" right="0.31496062992125984" top="0" bottom="0" header="0" footer="0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1"/>
  <sheetViews>
    <sheetView showGridLines="0" topLeftCell="B1" workbookViewId="0">
      <selection activeCell="D9" sqref="D9:E10"/>
    </sheetView>
  </sheetViews>
  <sheetFormatPr defaultColWidth="14.42578125" defaultRowHeight="15" customHeight="1"/>
  <cols>
    <col min="1" max="1" width="12.85546875" hidden="1" customWidth="1"/>
    <col min="2" max="3" width="15.85546875" customWidth="1"/>
    <col min="4" max="5" width="11.5703125" customWidth="1"/>
    <col min="6" max="9" width="10.85546875" customWidth="1"/>
    <col min="10" max="10" width="1.7109375" customWidth="1"/>
    <col min="11" max="13" width="13" customWidth="1"/>
    <col min="14" max="14" width="61.5703125" hidden="1" customWidth="1"/>
  </cols>
  <sheetData>
    <row r="1" spans="1:14" ht="61.5" customHeight="1">
      <c r="A1" s="1"/>
      <c r="B1" s="384"/>
      <c r="C1" s="263"/>
      <c r="D1" s="35"/>
      <c r="E1" s="35"/>
      <c r="F1" s="41"/>
      <c r="G1" s="385" t="s">
        <v>289</v>
      </c>
      <c r="H1" s="263"/>
      <c r="I1" s="263"/>
      <c r="J1" s="263"/>
      <c r="K1" s="263"/>
      <c r="L1" s="263"/>
      <c r="M1" s="263"/>
      <c r="N1" s="5"/>
    </row>
    <row r="2" spans="1:14" ht="34.5" customHeight="1">
      <c r="A2" s="1"/>
      <c r="B2" s="386" t="s">
        <v>290</v>
      </c>
      <c r="C2" s="387"/>
      <c r="D2" s="386" t="s">
        <v>291</v>
      </c>
      <c r="E2" s="387"/>
      <c r="F2" s="42" t="s">
        <v>292</v>
      </c>
      <c r="G2" s="42" t="s">
        <v>293</v>
      </c>
      <c r="H2" s="42" t="s">
        <v>294</v>
      </c>
      <c r="I2" s="42" t="s">
        <v>295</v>
      </c>
      <c r="J2" s="386" t="s">
        <v>296</v>
      </c>
      <c r="K2" s="387"/>
      <c r="L2" s="387"/>
      <c r="M2" s="387"/>
      <c r="N2" s="15"/>
    </row>
    <row r="3" spans="1:14" ht="7.5" customHeight="1">
      <c r="A3" s="1"/>
      <c r="B3" s="388" t="s">
        <v>297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6"/>
    </row>
    <row r="4" spans="1:14" ht="7.5" customHeight="1">
      <c r="A4" s="37"/>
      <c r="B4" s="389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6"/>
    </row>
    <row r="5" spans="1:14" ht="7.5" customHeight="1">
      <c r="A5" s="37"/>
      <c r="B5" s="380" t="s">
        <v>298</v>
      </c>
      <c r="C5" s="286"/>
      <c r="D5" s="381" t="s">
        <v>299</v>
      </c>
      <c r="E5" s="286"/>
      <c r="F5" s="380" t="s">
        <v>300</v>
      </c>
      <c r="G5" s="382" t="s">
        <v>301</v>
      </c>
      <c r="H5" s="377" t="s">
        <v>302</v>
      </c>
      <c r="I5" s="382" t="s">
        <v>301</v>
      </c>
      <c r="J5" s="383" t="s">
        <v>15</v>
      </c>
      <c r="K5" s="376" t="s">
        <v>303</v>
      </c>
      <c r="L5" s="286"/>
      <c r="M5" s="286"/>
      <c r="N5" s="6"/>
    </row>
    <row r="6" spans="1:14" ht="7.5" customHeight="1">
      <c r="A6" s="37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6"/>
    </row>
    <row r="7" spans="1:14" ht="7.5" customHeight="1">
      <c r="A7" s="37"/>
      <c r="B7" s="273"/>
      <c r="C7" s="273"/>
      <c r="D7" s="379" t="s">
        <v>304</v>
      </c>
      <c r="E7" s="273"/>
      <c r="F7" s="377" t="s">
        <v>305</v>
      </c>
      <c r="G7" s="378" t="s">
        <v>301</v>
      </c>
      <c r="H7" s="377" t="s">
        <v>306</v>
      </c>
      <c r="I7" s="378" t="s">
        <v>301</v>
      </c>
      <c r="J7" s="390" t="s">
        <v>15</v>
      </c>
      <c r="K7" s="391" t="s">
        <v>303</v>
      </c>
      <c r="L7" s="273"/>
      <c r="M7" s="273"/>
      <c r="N7" s="6"/>
    </row>
    <row r="8" spans="1:14" ht="7.5" customHeight="1">
      <c r="A8" s="37"/>
      <c r="B8" s="263"/>
      <c r="C8" s="263"/>
      <c r="D8" s="263"/>
      <c r="E8" s="263"/>
      <c r="F8" s="263"/>
      <c r="G8" s="273"/>
      <c r="H8" s="273"/>
      <c r="I8" s="273"/>
      <c r="J8" s="273"/>
      <c r="K8" s="273"/>
      <c r="L8" s="273"/>
      <c r="M8" s="273"/>
      <c r="N8" s="6"/>
    </row>
    <row r="9" spans="1:14" ht="7.5" customHeight="1">
      <c r="A9" s="37"/>
      <c r="B9" s="380" t="s">
        <v>307</v>
      </c>
      <c r="C9" s="286"/>
      <c r="D9" s="381" t="s">
        <v>308</v>
      </c>
      <c r="E9" s="286"/>
      <c r="F9" s="380" t="s">
        <v>309</v>
      </c>
      <c r="G9" s="382" t="s">
        <v>301</v>
      </c>
      <c r="H9" s="380" t="s">
        <v>310</v>
      </c>
      <c r="I9" s="382" t="s">
        <v>301</v>
      </c>
      <c r="J9" s="383" t="s">
        <v>15</v>
      </c>
      <c r="K9" s="376" t="s">
        <v>303</v>
      </c>
      <c r="L9" s="286"/>
      <c r="M9" s="286"/>
      <c r="N9" s="6"/>
    </row>
    <row r="10" spans="1:14" ht="7.5" customHeight="1">
      <c r="A10" s="37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6"/>
    </row>
    <row r="11" spans="1:14" ht="7.5" customHeight="1">
      <c r="A11" s="37"/>
      <c r="B11" s="380" t="s">
        <v>311</v>
      </c>
      <c r="C11" s="286"/>
      <c r="D11" s="381" t="s">
        <v>312</v>
      </c>
      <c r="E11" s="286"/>
      <c r="F11" s="380" t="s">
        <v>309</v>
      </c>
      <c r="G11" s="382" t="s">
        <v>301</v>
      </c>
      <c r="H11" s="380" t="s">
        <v>310</v>
      </c>
      <c r="I11" s="382" t="s">
        <v>301</v>
      </c>
      <c r="J11" s="383" t="s">
        <v>15</v>
      </c>
      <c r="K11" s="376" t="s">
        <v>303</v>
      </c>
      <c r="L11" s="286"/>
      <c r="M11" s="286"/>
      <c r="N11" s="6"/>
    </row>
    <row r="12" spans="1:14" ht="7.5" customHeight="1">
      <c r="A12" s="37"/>
      <c r="B12" s="263"/>
      <c r="C12" s="263"/>
      <c r="D12" s="263"/>
      <c r="E12" s="263"/>
      <c r="F12" s="263"/>
      <c r="G12" s="273"/>
      <c r="H12" s="263"/>
      <c r="I12" s="273"/>
      <c r="J12" s="263"/>
      <c r="K12" s="263"/>
      <c r="L12" s="263"/>
      <c r="M12" s="263"/>
      <c r="N12" s="6"/>
    </row>
    <row r="13" spans="1:14" ht="7.5" customHeight="1">
      <c r="A13" s="37"/>
      <c r="B13" s="380" t="s">
        <v>313</v>
      </c>
      <c r="C13" s="286"/>
      <c r="D13" s="381" t="s">
        <v>314</v>
      </c>
      <c r="E13" s="286"/>
      <c r="F13" s="380" t="s">
        <v>309</v>
      </c>
      <c r="G13" s="382" t="s">
        <v>301</v>
      </c>
      <c r="H13" s="380" t="s">
        <v>310</v>
      </c>
      <c r="I13" s="382" t="s">
        <v>301</v>
      </c>
      <c r="J13" s="383" t="s">
        <v>15</v>
      </c>
      <c r="K13" s="376" t="s">
        <v>303</v>
      </c>
      <c r="L13" s="286"/>
      <c r="M13" s="286"/>
      <c r="N13" s="6"/>
    </row>
    <row r="14" spans="1:14" ht="7.5" customHeight="1">
      <c r="A14" s="37"/>
      <c r="B14" s="263"/>
      <c r="C14" s="263"/>
      <c r="D14" s="263"/>
      <c r="E14" s="263"/>
      <c r="F14" s="263"/>
      <c r="G14" s="273"/>
      <c r="H14" s="263"/>
      <c r="I14" s="273"/>
      <c r="J14" s="263"/>
      <c r="K14" s="263"/>
      <c r="L14" s="263"/>
      <c r="M14" s="263"/>
      <c r="N14" s="6"/>
    </row>
    <row r="15" spans="1:14" ht="7.5" customHeight="1">
      <c r="A15" s="37"/>
      <c r="B15" s="377" t="s">
        <v>315</v>
      </c>
      <c r="C15" s="273"/>
      <c r="D15" s="379" t="s">
        <v>316</v>
      </c>
      <c r="E15" s="273"/>
      <c r="F15" s="377" t="s">
        <v>317</v>
      </c>
      <c r="G15" s="382" t="s">
        <v>301</v>
      </c>
      <c r="H15" s="380" t="s">
        <v>310</v>
      </c>
      <c r="I15" s="382" t="s">
        <v>301</v>
      </c>
      <c r="J15" s="383" t="s">
        <v>15</v>
      </c>
      <c r="K15" s="376" t="s">
        <v>303</v>
      </c>
      <c r="L15" s="286"/>
      <c r="M15" s="286"/>
      <c r="N15" s="6"/>
    </row>
    <row r="16" spans="1:14" ht="7.5" customHeight="1">
      <c r="A16" s="37"/>
      <c r="B16" s="263"/>
      <c r="C16" s="263"/>
      <c r="D16" s="263"/>
      <c r="E16" s="263"/>
      <c r="F16" s="263"/>
      <c r="G16" s="273"/>
      <c r="H16" s="263"/>
      <c r="I16" s="273"/>
      <c r="J16" s="263"/>
      <c r="K16" s="263"/>
      <c r="L16" s="263"/>
      <c r="M16" s="263"/>
      <c r="N16" s="6"/>
    </row>
    <row r="17" spans="1:14" ht="7.5" customHeight="1">
      <c r="A17" s="37"/>
      <c r="B17" s="380" t="s">
        <v>318</v>
      </c>
      <c r="C17" s="286"/>
      <c r="D17" s="381" t="s">
        <v>319</v>
      </c>
      <c r="E17" s="286"/>
      <c r="F17" s="380" t="s">
        <v>320</v>
      </c>
      <c r="G17" s="382" t="s">
        <v>301</v>
      </c>
      <c r="H17" s="380" t="s">
        <v>321</v>
      </c>
      <c r="I17" s="382" t="s">
        <v>301</v>
      </c>
      <c r="J17" s="383" t="s">
        <v>15</v>
      </c>
      <c r="K17" s="376" t="s">
        <v>303</v>
      </c>
      <c r="L17" s="286"/>
      <c r="M17" s="286"/>
      <c r="N17" s="6"/>
    </row>
    <row r="18" spans="1:14" ht="7.5" customHeight="1">
      <c r="A18" s="37"/>
      <c r="B18" s="273"/>
      <c r="C18" s="273"/>
      <c r="D18" s="273"/>
      <c r="E18" s="273"/>
      <c r="F18" s="273"/>
      <c r="G18" s="273"/>
      <c r="H18" s="263"/>
      <c r="I18" s="273"/>
      <c r="J18" s="263"/>
      <c r="K18" s="263"/>
      <c r="L18" s="263"/>
      <c r="M18" s="263"/>
      <c r="N18" s="6"/>
    </row>
    <row r="19" spans="1:14" ht="7.5" customHeight="1">
      <c r="A19" s="37"/>
      <c r="B19" s="380" t="s">
        <v>322</v>
      </c>
      <c r="C19" s="286"/>
      <c r="D19" s="381" t="s">
        <v>323</v>
      </c>
      <c r="E19" s="286"/>
      <c r="F19" s="380" t="s">
        <v>324</v>
      </c>
      <c r="G19" s="382" t="s">
        <v>301</v>
      </c>
      <c r="H19" s="377" t="s">
        <v>325</v>
      </c>
      <c r="I19" s="382" t="s">
        <v>301</v>
      </c>
      <c r="J19" s="383" t="s">
        <v>15</v>
      </c>
      <c r="K19" s="376" t="s">
        <v>326</v>
      </c>
      <c r="L19" s="286"/>
      <c r="M19" s="286"/>
      <c r="N19" s="6"/>
    </row>
    <row r="20" spans="1:14" ht="7.5" customHeight="1">
      <c r="A20" s="37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6"/>
    </row>
    <row r="21" spans="1:14" ht="7.5" customHeight="1">
      <c r="A21" s="37"/>
      <c r="B21" s="273"/>
      <c r="C21" s="273"/>
      <c r="D21" s="379" t="s">
        <v>327</v>
      </c>
      <c r="E21" s="273"/>
      <c r="F21" s="377" t="s">
        <v>324</v>
      </c>
      <c r="G21" s="378" t="s">
        <v>301</v>
      </c>
      <c r="H21" s="377" t="s">
        <v>325</v>
      </c>
      <c r="I21" s="378" t="s">
        <v>301</v>
      </c>
      <c r="J21" s="273"/>
      <c r="K21" s="273"/>
      <c r="L21" s="273"/>
      <c r="M21" s="273"/>
      <c r="N21" s="6"/>
    </row>
    <row r="22" spans="1:14" ht="7.5" customHeight="1">
      <c r="A22" s="37"/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6"/>
    </row>
    <row r="23" spans="1:14" ht="7.5" customHeight="1">
      <c r="A23" s="37"/>
      <c r="B23" s="273"/>
      <c r="C23" s="273"/>
      <c r="D23" s="379" t="s">
        <v>328</v>
      </c>
      <c r="E23" s="273"/>
      <c r="F23" s="377" t="s">
        <v>329</v>
      </c>
      <c r="G23" s="378" t="s">
        <v>301</v>
      </c>
      <c r="H23" s="377" t="s">
        <v>330</v>
      </c>
      <c r="I23" s="378" t="s">
        <v>301</v>
      </c>
      <c r="J23" s="273"/>
      <c r="K23" s="273"/>
      <c r="L23" s="273"/>
      <c r="M23" s="273"/>
      <c r="N23" s="6"/>
    </row>
    <row r="24" spans="1:14" ht="7.5" customHeight="1">
      <c r="A24" s="37"/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6"/>
    </row>
    <row r="25" spans="1:14" ht="7.5" customHeight="1">
      <c r="A25" s="37"/>
      <c r="B25" s="273"/>
      <c r="C25" s="273"/>
      <c r="D25" s="379" t="s">
        <v>331</v>
      </c>
      <c r="E25" s="273"/>
      <c r="F25" s="377" t="s">
        <v>332</v>
      </c>
      <c r="G25" s="378" t="s">
        <v>301</v>
      </c>
      <c r="H25" s="377" t="s">
        <v>333</v>
      </c>
      <c r="I25" s="378" t="s">
        <v>301</v>
      </c>
      <c r="J25" s="273"/>
      <c r="K25" s="273"/>
      <c r="L25" s="273"/>
      <c r="M25" s="273"/>
      <c r="N25" s="6"/>
    </row>
    <row r="26" spans="1:14" ht="7.5" customHeight="1">
      <c r="A26" s="37"/>
      <c r="B26" s="263"/>
      <c r="C26" s="263"/>
      <c r="D26" s="263"/>
      <c r="E26" s="263"/>
      <c r="F26" s="263"/>
      <c r="G26" s="273"/>
      <c r="H26" s="273"/>
      <c r="I26" s="273"/>
      <c r="J26" s="273"/>
      <c r="K26" s="263"/>
      <c r="L26" s="263"/>
      <c r="M26" s="263"/>
      <c r="N26" s="6"/>
    </row>
    <row r="27" spans="1:14" ht="7.5" customHeight="1">
      <c r="A27" s="37"/>
      <c r="B27" s="380" t="s">
        <v>334</v>
      </c>
      <c r="C27" s="286"/>
      <c r="D27" s="381" t="s">
        <v>335</v>
      </c>
      <c r="E27" s="286"/>
      <c r="F27" s="380" t="s">
        <v>336</v>
      </c>
      <c r="G27" s="382" t="s">
        <v>301</v>
      </c>
      <c r="H27" s="380" t="s">
        <v>337</v>
      </c>
      <c r="I27" s="382" t="s">
        <v>301</v>
      </c>
      <c r="J27" s="383" t="s">
        <v>15</v>
      </c>
      <c r="K27" s="376" t="s">
        <v>326</v>
      </c>
      <c r="L27" s="286"/>
      <c r="M27" s="286"/>
      <c r="N27" s="6"/>
    </row>
    <row r="28" spans="1:14" ht="7.5" customHeight="1">
      <c r="A28" s="37"/>
      <c r="B28" s="263"/>
      <c r="C28" s="263"/>
      <c r="D28" s="263"/>
      <c r="E28" s="263"/>
      <c r="F28" s="263"/>
      <c r="G28" s="273"/>
      <c r="H28" s="263"/>
      <c r="I28" s="273"/>
      <c r="J28" s="263"/>
      <c r="K28" s="263"/>
      <c r="L28" s="263"/>
      <c r="M28" s="263"/>
      <c r="N28" s="6"/>
    </row>
    <row r="29" spans="1:14" ht="7.5" customHeight="1">
      <c r="A29" s="37"/>
      <c r="B29" s="380" t="s">
        <v>338</v>
      </c>
      <c r="C29" s="286"/>
      <c r="D29" s="381" t="s">
        <v>339</v>
      </c>
      <c r="E29" s="286"/>
      <c r="F29" s="380" t="s">
        <v>340</v>
      </c>
      <c r="G29" s="382" t="s">
        <v>301</v>
      </c>
      <c r="H29" s="380" t="s">
        <v>341</v>
      </c>
      <c r="I29" s="382" t="s">
        <v>301</v>
      </c>
      <c r="J29" s="383" t="s">
        <v>15</v>
      </c>
      <c r="K29" s="376" t="s">
        <v>326</v>
      </c>
      <c r="L29" s="286"/>
      <c r="M29" s="286"/>
      <c r="N29" s="6"/>
    </row>
    <row r="30" spans="1:14" ht="7.5" customHeight="1">
      <c r="A30" s="37"/>
      <c r="B30" s="263"/>
      <c r="C30" s="263"/>
      <c r="D30" s="263"/>
      <c r="E30" s="263"/>
      <c r="F30" s="263"/>
      <c r="G30" s="273"/>
      <c r="H30" s="263"/>
      <c r="I30" s="273"/>
      <c r="J30" s="263"/>
      <c r="K30" s="263"/>
      <c r="L30" s="263"/>
      <c r="M30" s="263"/>
      <c r="N30" s="5"/>
    </row>
    <row r="31" spans="1:14" ht="7.5" customHeight="1">
      <c r="A31" s="37"/>
      <c r="B31" s="380" t="s">
        <v>342</v>
      </c>
      <c r="C31" s="286"/>
      <c r="D31" s="381" t="s">
        <v>343</v>
      </c>
      <c r="E31" s="286"/>
      <c r="F31" s="380" t="s">
        <v>340</v>
      </c>
      <c r="G31" s="382" t="s">
        <v>301</v>
      </c>
      <c r="H31" s="380" t="s">
        <v>341</v>
      </c>
      <c r="I31" s="382" t="s">
        <v>301</v>
      </c>
      <c r="J31" s="383" t="s">
        <v>15</v>
      </c>
      <c r="K31" s="376" t="s">
        <v>326</v>
      </c>
      <c r="L31" s="286"/>
      <c r="M31" s="286"/>
      <c r="N31" s="5"/>
    </row>
    <row r="32" spans="1:14" ht="7.5" customHeight="1">
      <c r="A32" s="37"/>
      <c r="B32" s="263"/>
      <c r="C32" s="263"/>
      <c r="D32" s="263"/>
      <c r="E32" s="263"/>
      <c r="F32" s="263"/>
      <c r="G32" s="273"/>
      <c r="H32" s="263"/>
      <c r="I32" s="273"/>
      <c r="J32" s="263"/>
      <c r="K32" s="263"/>
      <c r="L32" s="263"/>
      <c r="M32" s="263"/>
      <c r="N32" s="5"/>
    </row>
    <row r="33" spans="1:14" ht="7.5" customHeight="1">
      <c r="A33" s="37"/>
      <c r="B33" s="380" t="s">
        <v>344</v>
      </c>
      <c r="C33" s="286"/>
      <c r="D33" s="381" t="s">
        <v>345</v>
      </c>
      <c r="E33" s="286"/>
      <c r="F33" s="380" t="s">
        <v>346</v>
      </c>
      <c r="G33" s="382" t="s">
        <v>301</v>
      </c>
      <c r="H33" s="380" t="s">
        <v>347</v>
      </c>
      <c r="I33" s="382" t="s">
        <v>301</v>
      </c>
      <c r="J33" s="383" t="s">
        <v>15</v>
      </c>
      <c r="K33" s="376" t="s">
        <v>326</v>
      </c>
      <c r="L33" s="286"/>
      <c r="M33" s="286"/>
      <c r="N33" s="5"/>
    </row>
    <row r="34" spans="1:14" ht="7.5" customHeight="1">
      <c r="A34" s="37"/>
      <c r="B34" s="263"/>
      <c r="C34" s="263"/>
      <c r="D34" s="263"/>
      <c r="E34" s="263"/>
      <c r="F34" s="263"/>
      <c r="G34" s="273"/>
      <c r="H34" s="263"/>
      <c r="I34" s="273"/>
      <c r="J34" s="263"/>
      <c r="K34" s="263"/>
      <c r="L34" s="263"/>
      <c r="M34" s="263"/>
      <c r="N34" s="5"/>
    </row>
    <row r="35" spans="1:14" ht="7.5" customHeight="1">
      <c r="A35" s="37"/>
      <c r="B35" s="380" t="s">
        <v>348</v>
      </c>
      <c r="C35" s="286"/>
      <c r="D35" s="381" t="s">
        <v>349</v>
      </c>
      <c r="E35" s="286"/>
      <c r="F35" s="380" t="s">
        <v>350</v>
      </c>
      <c r="G35" s="382" t="s">
        <v>301</v>
      </c>
      <c r="H35" s="377" t="s">
        <v>351</v>
      </c>
      <c r="I35" s="382" t="s">
        <v>301</v>
      </c>
      <c r="J35" s="383" t="s">
        <v>15</v>
      </c>
      <c r="K35" s="376" t="s">
        <v>326</v>
      </c>
      <c r="L35" s="286"/>
      <c r="M35" s="286"/>
      <c r="N35" s="5"/>
    </row>
    <row r="36" spans="1:14" ht="7.5" customHeight="1">
      <c r="A36" s="37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5"/>
    </row>
    <row r="37" spans="1:14" ht="7.5" customHeight="1">
      <c r="A37" s="37"/>
      <c r="B37" s="273"/>
      <c r="C37" s="273"/>
      <c r="D37" s="379" t="s">
        <v>352</v>
      </c>
      <c r="E37" s="273"/>
      <c r="F37" s="377" t="s">
        <v>353</v>
      </c>
      <c r="G37" s="378" t="s">
        <v>301</v>
      </c>
      <c r="H37" s="377" t="s">
        <v>354</v>
      </c>
      <c r="I37" s="378" t="s">
        <v>301</v>
      </c>
      <c r="J37" s="273"/>
      <c r="K37" s="273"/>
      <c r="L37" s="273"/>
      <c r="M37" s="273"/>
      <c r="N37" s="5"/>
    </row>
    <row r="38" spans="1:14" ht="7.5" customHeight="1">
      <c r="A38" s="37"/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5"/>
    </row>
    <row r="39" spans="1:14" ht="7.5" customHeight="1">
      <c r="A39" s="37"/>
      <c r="B39" s="30"/>
      <c r="C39" s="30"/>
      <c r="D39" s="30"/>
      <c r="E39" s="30"/>
      <c r="F39" s="30"/>
      <c r="G39" s="30"/>
      <c r="H39" s="44"/>
      <c r="I39" s="44"/>
      <c r="J39" s="30"/>
      <c r="K39" s="30"/>
      <c r="L39" s="30"/>
      <c r="M39" s="30"/>
      <c r="N39" s="5"/>
    </row>
    <row r="40" spans="1:14" ht="7.5" customHeight="1">
      <c r="A40" s="37"/>
      <c r="B40" s="30"/>
      <c r="C40" s="30"/>
      <c r="D40" s="30"/>
      <c r="E40" s="30"/>
      <c r="F40" s="30"/>
      <c r="G40" s="30"/>
      <c r="H40" s="44"/>
      <c r="I40" s="44"/>
      <c r="J40" s="30"/>
      <c r="K40" s="30"/>
      <c r="L40" s="30"/>
      <c r="M40" s="30"/>
      <c r="N40" s="5"/>
    </row>
    <row r="41" spans="1:14" ht="7.5" customHeight="1">
      <c r="A41" s="37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5"/>
    </row>
    <row r="42" spans="1:14" ht="7.5" customHeight="1">
      <c r="A42" s="37"/>
      <c r="B42" s="377"/>
      <c r="C42" s="273"/>
      <c r="D42" s="379"/>
      <c r="E42" s="273"/>
      <c r="F42" s="377"/>
      <c r="G42" s="377"/>
      <c r="H42" s="44"/>
      <c r="I42" s="43"/>
      <c r="J42" s="390"/>
      <c r="K42" s="391"/>
      <c r="L42" s="273"/>
      <c r="M42" s="273"/>
      <c r="N42" s="5"/>
    </row>
    <row r="43" spans="1:14" ht="7.5" customHeight="1">
      <c r="A43" s="37"/>
      <c r="B43" s="273"/>
      <c r="C43" s="273"/>
      <c r="D43" s="273"/>
      <c r="E43" s="273"/>
      <c r="F43" s="273"/>
      <c r="G43" s="273"/>
      <c r="H43" s="45"/>
      <c r="I43" s="45"/>
      <c r="J43" s="273"/>
      <c r="K43" s="273"/>
      <c r="L43" s="273"/>
      <c r="M43" s="273"/>
      <c r="N43" s="5"/>
    </row>
    <row r="44" spans="1:14" ht="7.5" customHeight="1">
      <c r="A44" s="37"/>
      <c r="B44" s="30"/>
      <c r="C44" s="30"/>
      <c r="D44" s="30"/>
      <c r="E44" s="30"/>
      <c r="F44" s="30"/>
      <c r="G44" s="30"/>
      <c r="H44" s="45"/>
      <c r="I44" s="45"/>
      <c r="J44" s="30"/>
      <c r="K44" s="30"/>
      <c r="L44" s="30"/>
      <c r="M44" s="30"/>
      <c r="N44" s="5"/>
    </row>
    <row r="45" spans="1:14" ht="7.5" customHeight="1">
      <c r="A45" s="37"/>
      <c r="B45" s="30"/>
      <c r="C45" s="30"/>
      <c r="D45" s="30"/>
      <c r="E45" s="30"/>
      <c r="F45" s="30"/>
      <c r="G45" s="30"/>
      <c r="H45" s="45"/>
      <c r="I45" s="45"/>
      <c r="J45" s="30"/>
      <c r="K45" s="30"/>
      <c r="L45" s="30"/>
      <c r="M45" s="30"/>
      <c r="N45" s="5"/>
    </row>
    <row r="46" spans="1:14" ht="7.5" customHeight="1">
      <c r="A46" s="37"/>
      <c r="B46" s="30"/>
      <c r="C46" s="30"/>
      <c r="D46" s="30"/>
      <c r="E46" s="30"/>
      <c r="F46" s="30"/>
      <c r="G46" s="30"/>
      <c r="H46" s="45"/>
      <c r="I46" s="45"/>
      <c r="J46" s="30"/>
      <c r="K46" s="30"/>
      <c r="L46" s="30"/>
      <c r="M46" s="30"/>
      <c r="N46" s="5"/>
    </row>
    <row r="47" spans="1:14" ht="7.5" customHeight="1">
      <c r="A47" s="37"/>
      <c r="B47" s="30"/>
      <c r="C47" s="30"/>
      <c r="D47" s="30"/>
      <c r="E47" s="30"/>
      <c r="F47" s="30"/>
      <c r="G47" s="30"/>
      <c r="H47" s="45"/>
      <c r="I47" s="45"/>
      <c r="J47" s="30"/>
      <c r="K47" s="30"/>
      <c r="L47" s="30"/>
      <c r="M47" s="30"/>
      <c r="N47" s="5"/>
    </row>
    <row r="48" spans="1:14" ht="7.5" customHeight="1">
      <c r="A48" s="37"/>
      <c r="B48" s="39"/>
      <c r="C48" s="39"/>
      <c r="D48" s="39"/>
      <c r="E48" s="39"/>
      <c r="F48" s="39"/>
      <c r="G48" s="39"/>
      <c r="H48" s="45"/>
      <c r="I48" s="45"/>
      <c r="J48" s="39"/>
      <c r="K48" s="39"/>
      <c r="L48" s="39"/>
      <c r="M48" s="39"/>
      <c r="N48" s="6"/>
    </row>
    <row r="49" spans="1:14" ht="7.5" customHeight="1">
      <c r="A49" s="37"/>
      <c r="B49" s="39"/>
      <c r="C49" s="39"/>
      <c r="D49" s="39"/>
      <c r="E49" s="39"/>
      <c r="F49" s="39"/>
      <c r="G49" s="39"/>
      <c r="H49" s="45"/>
      <c r="I49" s="45"/>
      <c r="J49" s="39"/>
      <c r="K49" s="39"/>
      <c r="L49" s="39"/>
      <c r="M49" s="39"/>
      <c r="N49" s="6"/>
    </row>
    <row r="50" spans="1:14" ht="7.5" customHeight="1">
      <c r="A50" s="3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6"/>
    </row>
    <row r="51" spans="1:14" ht="7.5" customHeight="1">
      <c r="A51" s="3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6"/>
    </row>
    <row r="52" spans="1:14" ht="7.5" customHeight="1">
      <c r="A52" s="3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6"/>
    </row>
    <row r="53" spans="1:14" ht="7.5" customHeight="1">
      <c r="A53" s="37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6"/>
    </row>
    <row r="54" spans="1:14" ht="7.5" customHeight="1">
      <c r="A54" s="37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6"/>
    </row>
    <row r="55" spans="1:14" ht="7.5" customHeight="1">
      <c r="A55" s="37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6"/>
    </row>
    <row r="56" spans="1:14" ht="7.5" customHeight="1">
      <c r="A56" s="37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6"/>
    </row>
    <row r="57" spans="1:14" ht="7.5" customHeight="1">
      <c r="A57" s="37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6"/>
    </row>
    <row r="58" spans="1:14" ht="7.5" customHeight="1">
      <c r="A58" s="37"/>
      <c r="B58" s="39"/>
      <c r="C58" s="39"/>
      <c r="D58" s="39"/>
      <c r="E58" s="39"/>
      <c r="F58" s="39"/>
      <c r="G58" s="39"/>
      <c r="H58" s="46"/>
      <c r="I58" s="46"/>
      <c r="J58" s="39"/>
      <c r="K58" s="39"/>
      <c r="L58" s="39"/>
      <c r="M58" s="39"/>
      <c r="N58" s="6"/>
    </row>
    <row r="59" spans="1:14" ht="11.25" customHeight="1">
      <c r="A59" s="37"/>
      <c r="B59" s="47" t="s">
        <v>4</v>
      </c>
      <c r="C59" s="47"/>
      <c r="D59" s="396"/>
      <c r="E59" s="397"/>
      <c r="F59" s="47"/>
      <c r="G59" s="47"/>
      <c r="H59" s="49"/>
      <c r="I59" s="49"/>
      <c r="J59" s="392"/>
      <c r="K59" s="392"/>
      <c r="L59" s="392" t="s">
        <v>53</v>
      </c>
      <c r="M59" s="286"/>
      <c r="N59" s="20"/>
    </row>
    <row r="60" spans="1:14" ht="11.25" customHeight="1">
      <c r="A60" s="37"/>
      <c r="B60" s="50"/>
      <c r="C60" s="50"/>
      <c r="D60" s="393"/>
      <c r="E60" s="393"/>
      <c r="F60" s="50"/>
      <c r="G60" s="50"/>
      <c r="H60" s="50"/>
      <c r="I60" s="50"/>
      <c r="J60" s="393"/>
      <c r="K60" s="393"/>
      <c r="L60" s="393"/>
      <c r="M60" s="393"/>
      <c r="N60" s="5"/>
    </row>
    <row r="61" spans="1:14" ht="11.25" customHeight="1">
      <c r="A61" s="37"/>
      <c r="B61" s="394" t="s">
        <v>355</v>
      </c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20"/>
    </row>
  </sheetData>
  <sheetProtection password="FB1E" sheet="1" objects="1" scenarios="1"/>
  <mergeCells count="141">
    <mergeCell ref="G11:G12"/>
    <mergeCell ref="H11:H12"/>
    <mergeCell ref="I11:I12"/>
    <mergeCell ref="J11:J12"/>
    <mergeCell ref="K11:M12"/>
    <mergeCell ref="G9:G10"/>
    <mergeCell ref="H9:H10"/>
    <mergeCell ref="I9:I10"/>
    <mergeCell ref="F37:F38"/>
    <mergeCell ref="B42:C43"/>
    <mergeCell ref="D42:E43"/>
    <mergeCell ref="F42:F43"/>
    <mergeCell ref="D25:E26"/>
    <mergeCell ref="F25:F26"/>
    <mergeCell ref="B29:C30"/>
    <mergeCell ref="D29:E30"/>
    <mergeCell ref="F29:F30"/>
    <mergeCell ref="B31:C32"/>
    <mergeCell ref="D31:E32"/>
    <mergeCell ref="F31:F32"/>
    <mergeCell ref="B33:C34"/>
    <mergeCell ref="D33:E34"/>
    <mergeCell ref="B9:C10"/>
    <mergeCell ref="D9:E10"/>
    <mergeCell ref="F9:F10"/>
    <mergeCell ref="J15:J16"/>
    <mergeCell ref="K15:M16"/>
    <mergeCell ref="D17:E18"/>
    <mergeCell ref="F17:F18"/>
    <mergeCell ref="G17:G18"/>
    <mergeCell ref="H17:H18"/>
    <mergeCell ref="I17:I18"/>
    <mergeCell ref="B11:C12"/>
    <mergeCell ref="B13:C14"/>
    <mergeCell ref="D13:E14"/>
    <mergeCell ref="F13:F14"/>
    <mergeCell ref="G13:G14"/>
    <mergeCell ref="H13:H14"/>
    <mergeCell ref="I13:I14"/>
    <mergeCell ref="F15:F16"/>
    <mergeCell ref="G15:G16"/>
    <mergeCell ref="H15:H16"/>
    <mergeCell ref="I15:I16"/>
    <mergeCell ref="J9:J10"/>
    <mergeCell ref="K9:M10"/>
    <mergeCell ref="D11:E12"/>
    <mergeCell ref="F33:F34"/>
    <mergeCell ref="G29:G30"/>
    <mergeCell ref="H29:H30"/>
    <mergeCell ref="I29:I30"/>
    <mergeCell ref="J29:J30"/>
    <mergeCell ref="K29:M30"/>
    <mergeCell ref="G31:G32"/>
    <mergeCell ref="H35:H36"/>
    <mergeCell ref="I35:I36"/>
    <mergeCell ref="G35:G36"/>
    <mergeCell ref="J31:J32"/>
    <mergeCell ref="K31:M32"/>
    <mergeCell ref="K33:M34"/>
    <mergeCell ref="J59:J60"/>
    <mergeCell ref="K59:K60"/>
    <mergeCell ref="L59:M60"/>
    <mergeCell ref="B61:M61"/>
    <mergeCell ref="H31:H32"/>
    <mergeCell ref="I31:I32"/>
    <mergeCell ref="G33:G34"/>
    <mergeCell ref="H33:H34"/>
    <mergeCell ref="I33:I34"/>
    <mergeCell ref="J33:J34"/>
    <mergeCell ref="J35:J38"/>
    <mergeCell ref="K35:M38"/>
    <mergeCell ref="K42:M43"/>
    <mergeCell ref="G37:G38"/>
    <mergeCell ref="G42:G43"/>
    <mergeCell ref="H37:H38"/>
    <mergeCell ref="I37:I38"/>
    <mergeCell ref="J42:J43"/>
    <mergeCell ref="D59:D60"/>
    <mergeCell ref="E59:E60"/>
    <mergeCell ref="B35:C38"/>
    <mergeCell ref="D35:E36"/>
    <mergeCell ref="F35:F36"/>
    <mergeCell ref="D37:E38"/>
    <mergeCell ref="B1:C1"/>
    <mergeCell ref="G1:M1"/>
    <mergeCell ref="B2:C2"/>
    <mergeCell ref="D2:E2"/>
    <mergeCell ref="J2:M2"/>
    <mergeCell ref="B3:M4"/>
    <mergeCell ref="K5:M6"/>
    <mergeCell ref="D7:E8"/>
    <mergeCell ref="F7:F8"/>
    <mergeCell ref="G7:G8"/>
    <mergeCell ref="H7:H8"/>
    <mergeCell ref="I7:I8"/>
    <mergeCell ref="J7:J8"/>
    <mergeCell ref="K7:M8"/>
    <mergeCell ref="G5:G6"/>
    <mergeCell ref="H5:H6"/>
    <mergeCell ref="I5:I6"/>
    <mergeCell ref="D5:E6"/>
    <mergeCell ref="F5:F6"/>
    <mergeCell ref="B5:C8"/>
    <mergeCell ref="J5:J6"/>
    <mergeCell ref="J19:J26"/>
    <mergeCell ref="I21:I22"/>
    <mergeCell ref="J13:J14"/>
    <mergeCell ref="K13:M14"/>
    <mergeCell ref="D23:E24"/>
    <mergeCell ref="F23:F24"/>
    <mergeCell ref="G27:G28"/>
    <mergeCell ref="G21:G22"/>
    <mergeCell ref="G23:G24"/>
    <mergeCell ref="H23:H24"/>
    <mergeCell ref="I23:I24"/>
    <mergeCell ref="G25:G26"/>
    <mergeCell ref="H25:H26"/>
    <mergeCell ref="J17:J18"/>
    <mergeCell ref="K17:M18"/>
    <mergeCell ref="G19:G20"/>
    <mergeCell ref="D19:E20"/>
    <mergeCell ref="F19:F20"/>
    <mergeCell ref="D21:E22"/>
    <mergeCell ref="F21:F22"/>
    <mergeCell ref="H19:H20"/>
    <mergeCell ref="I19:I20"/>
    <mergeCell ref="F11:F12"/>
    <mergeCell ref="K19:M26"/>
    <mergeCell ref="H21:H22"/>
    <mergeCell ref="I25:I26"/>
    <mergeCell ref="D15:E16"/>
    <mergeCell ref="B27:C28"/>
    <mergeCell ref="D27:E28"/>
    <mergeCell ref="F27:F28"/>
    <mergeCell ref="H27:H28"/>
    <mergeCell ref="I27:I28"/>
    <mergeCell ref="J27:J28"/>
    <mergeCell ref="K27:M28"/>
    <mergeCell ref="B19:C26"/>
    <mergeCell ref="B15:C16"/>
    <mergeCell ref="B17:C18"/>
  </mergeCells>
  <pageMargins left="0.78740157480314954" right="0" top="0" bottom="0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44"/>
  <sheetViews>
    <sheetView showGridLines="0" tabSelected="1" topLeftCell="B64" workbookViewId="0">
      <selection activeCell="E96" sqref="E96:G97"/>
    </sheetView>
  </sheetViews>
  <sheetFormatPr defaultColWidth="14.42578125" defaultRowHeight="15" customHeight="1"/>
  <cols>
    <col min="1" max="1" width="12.85546875" style="73" hidden="1" customWidth="1"/>
    <col min="2" max="2" width="16" style="73" customWidth="1"/>
    <col min="3" max="3" width="18.85546875" style="73" customWidth="1"/>
    <col min="4" max="4" width="13.140625" style="73" customWidth="1"/>
    <col min="5" max="5" width="16" style="73" customWidth="1"/>
    <col min="6" max="6" width="24.85546875" style="73" customWidth="1"/>
    <col min="7" max="9" width="16.7109375" style="73" customWidth="1"/>
    <col min="10" max="10" width="61.5703125" style="73" hidden="1" customWidth="1"/>
    <col min="11" max="16384" width="14.42578125" style="73"/>
  </cols>
  <sheetData>
    <row r="1" spans="1:10" ht="61.5" customHeight="1">
      <c r="A1" s="70"/>
      <c r="B1" s="366"/>
      <c r="C1" s="311"/>
      <c r="D1" s="197"/>
      <c r="E1" s="197"/>
      <c r="F1" s="367" t="s">
        <v>356</v>
      </c>
      <c r="G1" s="311"/>
      <c r="H1" s="311"/>
      <c r="I1" s="311"/>
      <c r="J1" s="446"/>
    </row>
    <row r="2" spans="1:10" ht="34.5" customHeight="1">
      <c r="A2" s="70"/>
      <c r="B2" s="221" t="s">
        <v>7</v>
      </c>
      <c r="C2" s="221" t="s">
        <v>357</v>
      </c>
      <c r="D2" s="221" t="s">
        <v>7</v>
      </c>
      <c r="E2" s="221" t="s">
        <v>357</v>
      </c>
      <c r="F2" s="222" t="s">
        <v>7</v>
      </c>
      <c r="G2" s="222" t="s">
        <v>357</v>
      </c>
      <c r="H2" s="222" t="s">
        <v>7</v>
      </c>
      <c r="I2" s="222" t="s">
        <v>357</v>
      </c>
      <c r="J2" s="351"/>
    </row>
    <row r="3" spans="1:10" ht="7.5" customHeight="1">
      <c r="A3" s="223"/>
      <c r="B3" s="483">
        <v>119</v>
      </c>
      <c r="C3" s="484" t="s">
        <v>358</v>
      </c>
      <c r="D3" s="485">
        <v>190</v>
      </c>
      <c r="E3" s="486" t="s">
        <v>359</v>
      </c>
      <c r="F3" s="487" t="s">
        <v>360</v>
      </c>
      <c r="G3" s="425"/>
      <c r="H3" s="482" t="s">
        <v>361</v>
      </c>
      <c r="I3" s="301"/>
      <c r="J3" s="224"/>
    </row>
    <row r="4" spans="1:10" ht="7.5" customHeight="1">
      <c r="A4" s="223"/>
      <c r="B4" s="296"/>
      <c r="C4" s="296"/>
      <c r="D4" s="405"/>
      <c r="E4" s="403"/>
      <c r="F4" s="296"/>
      <c r="G4" s="403"/>
      <c r="H4" s="409"/>
      <c r="I4" s="299"/>
      <c r="J4" s="224"/>
    </row>
    <row r="5" spans="1:10" ht="7.5" customHeight="1">
      <c r="A5" s="223"/>
      <c r="B5" s="469">
        <v>120</v>
      </c>
      <c r="C5" s="437" t="s">
        <v>358</v>
      </c>
      <c r="D5" s="469">
        <v>191</v>
      </c>
      <c r="E5" s="437" t="s">
        <v>359</v>
      </c>
      <c r="F5" s="438">
        <v>50500</v>
      </c>
      <c r="G5" s="462" t="s">
        <v>362</v>
      </c>
      <c r="H5" s="409"/>
      <c r="I5" s="299"/>
      <c r="J5" s="224"/>
    </row>
    <row r="6" spans="1:10" ht="7.5" customHeight="1">
      <c r="A6" s="223"/>
      <c r="B6" s="296"/>
      <c r="C6" s="403"/>
      <c r="D6" s="296"/>
      <c r="E6" s="403"/>
      <c r="F6" s="296"/>
      <c r="G6" s="403"/>
      <c r="H6" s="409"/>
      <c r="I6" s="299"/>
      <c r="J6" s="224"/>
    </row>
    <row r="7" spans="1:10" ht="7.5" customHeight="1">
      <c r="A7" s="223"/>
      <c r="B7" s="469">
        <v>121</v>
      </c>
      <c r="C7" s="437" t="s">
        <v>358</v>
      </c>
      <c r="D7" s="469">
        <v>192</v>
      </c>
      <c r="E7" s="437" t="s">
        <v>359</v>
      </c>
      <c r="F7" s="438">
        <v>50600</v>
      </c>
      <c r="G7" s="462" t="s">
        <v>362</v>
      </c>
      <c r="H7" s="409"/>
      <c r="I7" s="299"/>
      <c r="J7" s="224"/>
    </row>
    <row r="8" spans="1:10" ht="7.5" customHeight="1">
      <c r="A8" s="223"/>
      <c r="B8" s="296"/>
      <c r="C8" s="403"/>
      <c r="D8" s="296"/>
      <c r="E8" s="403"/>
      <c r="F8" s="296"/>
      <c r="G8" s="403"/>
      <c r="H8" s="409"/>
      <c r="I8" s="299"/>
      <c r="J8" s="224"/>
    </row>
    <row r="9" spans="1:10" ht="7.5" customHeight="1">
      <c r="A9" s="223"/>
      <c r="B9" s="469">
        <v>124</v>
      </c>
      <c r="C9" s="437" t="s">
        <v>358</v>
      </c>
      <c r="D9" s="469">
        <v>193</v>
      </c>
      <c r="E9" s="437" t="s">
        <v>359</v>
      </c>
      <c r="F9" s="438">
        <v>50610</v>
      </c>
      <c r="G9" s="462" t="s">
        <v>362</v>
      </c>
      <c r="H9" s="409"/>
      <c r="I9" s="299"/>
      <c r="J9" s="224"/>
    </row>
    <row r="10" spans="1:10" ht="7.5" customHeight="1">
      <c r="A10" s="223"/>
      <c r="B10" s="296"/>
      <c r="C10" s="403"/>
      <c r="D10" s="296"/>
      <c r="E10" s="403"/>
      <c r="F10" s="296"/>
      <c r="G10" s="403"/>
      <c r="H10" s="409"/>
      <c r="I10" s="299"/>
      <c r="J10" s="224"/>
    </row>
    <row r="11" spans="1:10" ht="7.5" customHeight="1">
      <c r="A11" s="223"/>
      <c r="B11" s="469">
        <v>127</v>
      </c>
      <c r="C11" s="437" t="s">
        <v>358</v>
      </c>
      <c r="D11" s="469">
        <v>194</v>
      </c>
      <c r="E11" s="437" t="s">
        <v>359</v>
      </c>
      <c r="F11" s="476" t="s">
        <v>363</v>
      </c>
      <c r="G11" s="462" t="s">
        <v>362</v>
      </c>
      <c r="H11" s="409"/>
      <c r="I11" s="299"/>
      <c r="J11" s="224"/>
    </row>
    <row r="12" spans="1:10" ht="7.5" customHeight="1">
      <c r="A12" s="223"/>
      <c r="B12" s="296"/>
      <c r="C12" s="403"/>
      <c r="D12" s="296"/>
      <c r="E12" s="403"/>
      <c r="F12" s="296"/>
      <c r="G12" s="403"/>
      <c r="H12" s="409"/>
      <c r="I12" s="299"/>
      <c r="J12" s="224"/>
    </row>
    <row r="13" spans="1:10" ht="7.5" customHeight="1">
      <c r="A13" s="223"/>
      <c r="B13" s="469">
        <v>135</v>
      </c>
      <c r="C13" s="437" t="s">
        <v>364</v>
      </c>
      <c r="D13" s="469">
        <v>195</v>
      </c>
      <c r="E13" s="437" t="s">
        <v>359</v>
      </c>
      <c r="F13" s="476" t="s">
        <v>365</v>
      </c>
      <c r="G13" s="462" t="s">
        <v>362</v>
      </c>
      <c r="H13" s="409"/>
      <c r="I13" s="299"/>
      <c r="J13" s="224"/>
    </row>
    <row r="14" spans="1:10" ht="7.5" customHeight="1">
      <c r="A14" s="223"/>
      <c r="B14" s="296"/>
      <c r="C14" s="403"/>
      <c r="D14" s="296"/>
      <c r="E14" s="403"/>
      <c r="F14" s="296"/>
      <c r="G14" s="403"/>
      <c r="H14" s="405"/>
      <c r="I14" s="296"/>
      <c r="J14" s="224"/>
    </row>
    <row r="15" spans="1:10" ht="7.5" customHeight="1">
      <c r="A15" s="223"/>
      <c r="B15" s="469"/>
      <c r="C15" s="437"/>
      <c r="D15" s="469">
        <v>196</v>
      </c>
      <c r="E15" s="437" t="s">
        <v>366</v>
      </c>
      <c r="F15" s="476" t="s">
        <v>367</v>
      </c>
      <c r="G15" s="462" t="s">
        <v>362</v>
      </c>
      <c r="H15" s="202"/>
      <c r="I15" s="400"/>
      <c r="J15" s="224"/>
    </row>
    <row r="16" spans="1:10" ht="7.5" customHeight="1">
      <c r="A16" s="223"/>
      <c r="B16" s="296"/>
      <c r="C16" s="403"/>
      <c r="D16" s="296"/>
      <c r="E16" s="403"/>
      <c r="F16" s="296"/>
      <c r="G16" s="403"/>
      <c r="H16" s="202"/>
      <c r="I16" s="296"/>
      <c r="J16" s="224"/>
    </row>
    <row r="17" spans="1:10" ht="7.5" customHeight="1">
      <c r="A17" s="223"/>
      <c r="B17" s="469">
        <v>148</v>
      </c>
      <c r="C17" s="437" t="s">
        <v>358</v>
      </c>
      <c r="D17" s="469">
        <v>198</v>
      </c>
      <c r="E17" s="437" t="s">
        <v>366</v>
      </c>
      <c r="F17" s="476" t="s">
        <v>368</v>
      </c>
      <c r="G17" s="462" t="s">
        <v>362</v>
      </c>
      <c r="H17" s="444" t="s">
        <v>369</v>
      </c>
      <c r="I17" s="202"/>
      <c r="J17" s="224"/>
    </row>
    <row r="18" spans="1:10" ht="7.5" customHeight="1">
      <c r="A18" s="223"/>
      <c r="B18" s="296"/>
      <c r="C18" s="403"/>
      <c r="D18" s="296"/>
      <c r="E18" s="403"/>
      <c r="F18" s="296"/>
      <c r="G18" s="403"/>
      <c r="H18" s="405"/>
      <c r="I18" s="202"/>
      <c r="J18" s="224"/>
    </row>
    <row r="19" spans="1:10" ht="7.5" customHeight="1">
      <c r="A19" s="223"/>
      <c r="B19" s="469">
        <v>149</v>
      </c>
      <c r="C19" s="437" t="s">
        <v>358</v>
      </c>
      <c r="D19" s="469">
        <v>201</v>
      </c>
      <c r="E19" s="437" t="s">
        <v>366</v>
      </c>
      <c r="F19" s="477" t="s">
        <v>370</v>
      </c>
      <c r="G19" s="478" t="s">
        <v>362</v>
      </c>
      <c r="H19" s="407" t="s">
        <v>371</v>
      </c>
      <c r="I19" s="400"/>
      <c r="J19" s="224"/>
    </row>
    <row r="20" spans="1:10" ht="7.5" customHeight="1">
      <c r="A20" s="223"/>
      <c r="B20" s="296"/>
      <c r="C20" s="403"/>
      <c r="D20" s="296"/>
      <c r="E20" s="403"/>
      <c r="F20" s="296"/>
      <c r="G20" s="403"/>
      <c r="H20" s="405"/>
      <c r="I20" s="296"/>
      <c r="J20" s="224"/>
    </row>
    <row r="21" spans="1:10" ht="7.5" customHeight="1">
      <c r="A21" s="223"/>
      <c r="B21" s="469">
        <v>153</v>
      </c>
      <c r="C21" s="437" t="s">
        <v>366</v>
      </c>
      <c r="D21" s="469">
        <v>202</v>
      </c>
      <c r="E21" s="437" t="s">
        <v>359</v>
      </c>
      <c r="F21" s="476" t="s">
        <v>372</v>
      </c>
      <c r="G21" s="462" t="s">
        <v>362</v>
      </c>
      <c r="H21" s="407" t="s">
        <v>363</v>
      </c>
      <c r="I21" s="400"/>
      <c r="J21" s="224"/>
    </row>
    <row r="22" spans="1:10" ht="7.5" customHeight="1">
      <c r="A22" s="223"/>
      <c r="B22" s="296"/>
      <c r="C22" s="403"/>
      <c r="D22" s="296"/>
      <c r="E22" s="403"/>
      <c r="F22" s="296"/>
      <c r="G22" s="403"/>
      <c r="H22" s="405"/>
      <c r="I22" s="296"/>
      <c r="J22" s="224"/>
    </row>
    <row r="23" spans="1:10" ht="7.5" customHeight="1">
      <c r="A23" s="223"/>
      <c r="B23" s="469">
        <v>154</v>
      </c>
      <c r="C23" s="437" t="s">
        <v>366</v>
      </c>
      <c r="D23" s="469">
        <v>203</v>
      </c>
      <c r="E23" s="437" t="s">
        <v>364</v>
      </c>
      <c r="F23" s="476" t="s">
        <v>373</v>
      </c>
      <c r="G23" s="462" t="s">
        <v>362</v>
      </c>
      <c r="H23" s="407" t="s">
        <v>374</v>
      </c>
      <c r="I23" s="400"/>
      <c r="J23" s="224"/>
    </row>
    <row r="24" spans="1:10" ht="7.5" customHeight="1">
      <c r="A24" s="223"/>
      <c r="B24" s="296"/>
      <c r="C24" s="403"/>
      <c r="D24" s="296"/>
      <c r="E24" s="403"/>
      <c r="F24" s="296"/>
      <c r="G24" s="403"/>
      <c r="H24" s="405"/>
      <c r="I24" s="296"/>
      <c r="J24" s="224"/>
    </row>
    <row r="25" spans="1:10" ht="7.5" customHeight="1">
      <c r="A25" s="223"/>
      <c r="B25" s="469">
        <v>155</v>
      </c>
      <c r="C25" s="437" t="s">
        <v>366</v>
      </c>
      <c r="D25" s="475">
        <v>204</v>
      </c>
      <c r="E25" s="437" t="s">
        <v>364</v>
      </c>
      <c r="F25" s="476" t="s">
        <v>375</v>
      </c>
      <c r="G25" s="462" t="s">
        <v>362</v>
      </c>
      <c r="H25" s="407" t="s">
        <v>376</v>
      </c>
      <c r="I25" s="400"/>
      <c r="J25" s="224"/>
    </row>
    <row r="26" spans="1:10" ht="7.5" customHeight="1">
      <c r="A26" s="223"/>
      <c r="B26" s="296"/>
      <c r="C26" s="403"/>
      <c r="D26" s="296"/>
      <c r="E26" s="403"/>
      <c r="F26" s="296"/>
      <c r="G26" s="403"/>
      <c r="H26" s="405"/>
      <c r="I26" s="296"/>
      <c r="J26" s="224"/>
    </row>
    <row r="27" spans="1:10" ht="7.5" customHeight="1">
      <c r="A27" s="225"/>
      <c r="B27" s="469">
        <v>156</v>
      </c>
      <c r="C27" s="437" t="s">
        <v>366</v>
      </c>
      <c r="D27" s="481">
        <v>205</v>
      </c>
      <c r="E27" s="437" t="s">
        <v>359</v>
      </c>
      <c r="F27" s="476" t="s">
        <v>376</v>
      </c>
      <c r="G27" s="462" t="s">
        <v>362</v>
      </c>
      <c r="H27" s="407" t="s">
        <v>377</v>
      </c>
      <c r="I27" s="400"/>
      <c r="J27" s="224"/>
    </row>
    <row r="28" spans="1:10" ht="7.5" customHeight="1">
      <c r="A28" s="142"/>
      <c r="B28" s="296"/>
      <c r="C28" s="403"/>
      <c r="D28" s="480"/>
      <c r="E28" s="403"/>
      <c r="F28" s="296"/>
      <c r="G28" s="403"/>
      <c r="H28" s="405"/>
      <c r="I28" s="296"/>
      <c r="J28" s="224"/>
    </row>
    <row r="29" spans="1:10" ht="7.5" customHeight="1">
      <c r="A29" s="142"/>
      <c r="B29" s="469">
        <v>158</v>
      </c>
      <c r="C29" s="437" t="s">
        <v>366</v>
      </c>
      <c r="D29" s="479">
        <v>206</v>
      </c>
      <c r="E29" s="437" t="s">
        <v>364</v>
      </c>
      <c r="F29" s="476" t="s">
        <v>378</v>
      </c>
      <c r="G29" s="462" t="s">
        <v>362</v>
      </c>
      <c r="H29" s="407"/>
      <c r="I29" s="400"/>
      <c r="J29" s="224"/>
    </row>
    <row r="30" spans="1:10" ht="7.5" customHeight="1">
      <c r="A30" s="223"/>
      <c r="B30" s="296"/>
      <c r="C30" s="403"/>
      <c r="D30" s="480"/>
      <c r="E30" s="403"/>
      <c r="F30" s="296"/>
      <c r="G30" s="403"/>
      <c r="H30" s="405"/>
      <c r="I30" s="296"/>
      <c r="J30" s="224"/>
    </row>
    <row r="31" spans="1:10" ht="7.5" customHeight="1">
      <c r="A31" s="223"/>
      <c r="B31" s="469">
        <v>159</v>
      </c>
      <c r="C31" s="437" t="s">
        <v>366</v>
      </c>
      <c r="D31" s="473">
        <v>207</v>
      </c>
      <c r="E31" s="437" t="s">
        <v>366</v>
      </c>
      <c r="F31" s="476" t="s">
        <v>379</v>
      </c>
      <c r="G31" s="462" t="s">
        <v>362</v>
      </c>
      <c r="H31" s="398"/>
      <c r="I31" s="400"/>
      <c r="J31" s="224"/>
    </row>
    <row r="32" spans="1:10" ht="7.5" customHeight="1">
      <c r="A32" s="223"/>
      <c r="B32" s="296"/>
      <c r="C32" s="403"/>
      <c r="D32" s="296"/>
      <c r="E32" s="403"/>
      <c r="F32" s="296"/>
      <c r="G32" s="403"/>
      <c r="H32" s="405"/>
      <c r="I32" s="296"/>
      <c r="J32" s="224"/>
    </row>
    <row r="33" spans="1:10" ht="7.5" customHeight="1">
      <c r="A33" s="223"/>
      <c r="B33" s="469">
        <v>165</v>
      </c>
      <c r="C33" s="437" t="s">
        <v>358</v>
      </c>
      <c r="D33" s="473">
        <v>208</v>
      </c>
      <c r="E33" s="437" t="s">
        <v>362</v>
      </c>
      <c r="F33" s="471" t="s">
        <v>380</v>
      </c>
      <c r="G33" s="462" t="s">
        <v>381</v>
      </c>
      <c r="H33" s="398"/>
      <c r="I33" s="400"/>
      <c r="J33" s="224"/>
    </row>
    <row r="34" spans="1:10" ht="7.5" customHeight="1">
      <c r="A34" s="223"/>
      <c r="B34" s="296"/>
      <c r="C34" s="403"/>
      <c r="D34" s="296"/>
      <c r="E34" s="403"/>
      <c r="F34" s="296"/>
      <c r="G34" s="403"/>
      <c r="H34" s="405"/>
      <c r="I34" s="296"/>
      <c r="J34" s="224"/>
    </row>
    <row r="35" spans="1:10" ht="7.5" customHeight="1">
      <c r="A35" s="223"/>
      <c r="B35" s="469">
        <v>167</v>
      </c>
      <c r="C35" s="435" t="s">
        <v>364</v>
      </c>
      <c r="D35" s="473">
        <v>209</v>
      </c>
      <c r="E35" s="437" t="s">
        <v>362</v>
      </c>
      <c r="F35" s="471" t="s">
        <v>382</v>
      </c>
      <c r="G35" s="462" t="s">
        <v>381</v>
      </c>
      <c r="H35" s="398"/>
      <c r="I35" s="400"/>
      <c r="J35" s="224"/>
    </row>
    <row r="36" spans="1:10" ht="7.5" customHeight="1">
      <c r="A36" s="223"/>
      <c r="B36" s="296"/>
      <c r="C36" s="403"/>
      <c r="D36" s="296"/>
      <c r="E36" s="403"/>
      <c r="F36" s="296"/>
      <c r="G36" s="403"/>
      <c r="H36" s="405"/>
      <c r="I36" s="296"/>
      <c r="J36" s="224"/>
    </row>
    <row r="37" spans="1:10" ht="7.5" customHeight="1">
      <c r="A37" s="223"/>
      <c r="B37" s="469">
        <v>169</v>
      </c>
      <c r="C37" s="437" t="s">
        <v>366</v>
      </c>
      <c r="D37" s="470"/>
      <c r="E37" s="437"/>
      <c r="F37" s="471" t="s">
        <v>383</v>
      </c>
      <c r="G37" s="462" t="s">
        <v>381</v>
      </c>
      <c r="H37" s="398"/>
      <c r="I37" s="400"/>
      <c r="J37" s="224"/>
    </row>
    <row r="38" spans="1:10" ht="7.5" customHeight="1">
      <c r="A38" s="223"/>
      <c r="B38" s="296"/>
      <c r="C38" s="403"/>
      <c r="D38" s="296"/>
      <c r="E38" s="403"/>
      <c r="F38" s="296"/>
      <c r="G38" s="403"/>
      <c r="H38" s="405"/>
      <c r="I38" s="296"/>
      <c r="J38" s="224"/>
    </row>
    <row r="39" spans="1:10" ht="7.5" customHeight="1">
      <c r="A39" s="223"/>
      <c r="B39" s="469">
        <v>171</v>
      </c>
      <c r="C39" s="437" t="s">
        <v>358</v>
      </c>
      <c r="D39" s="470"/>
      <c r="E39" s="437"/>
      <c r="F39" s="471" t="s">
        <v>384</v>
      </c>
      <c r="G39" s="462" t="s">
        <v>381</v>
      </c>
      <c r="H39" s="226"/>
      <c r="I39" s="226"/>
      <c r="J39" s="224"/>
    </row>
    <row r="40" spans="1:10" ht="7.5" customHeight="1">
      <c r="A40" s="223"/>
      <c r="B40" s="296"/>
      <c r="C40" s="403"/>
      <c r="D40" s="296"/>
      <c r="E40" s="403"/>
      <c r="F40" s="296"/>
      <c r="G40" s="403"/>
      <c r="H40" s="202"/>
      <c r="I40" s="202"/>
      <c r="J40" s="224"/>
    </row>
    <row r="41" spans="1:10" ht="7.5" customHeight="1">
      <c r="A41" s="223"/>
      <c r="B41" s="469">
        <v>173</v>
      </c>
      <c r="C41" s="437" t="s">
        <v>366</v>
      </c>
      <c r="D41" s="436"/>
      <c r="E41" s="472"/>
      <c r="F41" s="471" t="s">
        <v>385</v>
      </c>
      <c r="G41" s="462" t="s">
        <v>381</v>
      </c>
      <c r="H41" s="398"/>
      <c r="I41" s="400"/>
      <c r="J41" s="224"/>
    </row>
    <row r="42" spans="1:10" ht="7.5" customHeight="1">
      <c r="A42" s="223"/>
      <c r="B42" s="296"/>
      <c r="C42" s="403"/>
      <c r="D42" s="296"/>
      <c r="E42" s="403"/>
      <c r="F42" s="296"/>
      <c r="G42" s="403"/>
      <c r="H42" s="405"/>
      <c r="I42" s="296"/>
      <c r="J42" s="224"/>
    </row>
    <row r="43" spans="1:10" ht="7.5" customHeight="1">
      <c r="A43" s="223"/>
      <c r="B43" s="469">
        <v>174</v>
      </c>
      <c r="C43" s="437" t="s">
        <v>366</v>
      </c>
      <c r="D43" s="436"/>
      <c r="E43" s="472"/>
      <c r="F43" s="471" t="s">
        <v>386</v>
      </c>
      <c r="G43" s="462" t="s">
        <v>381</v>
      </c>
      <c r="H43" s="398"/>
      <c r="I43" s="400"/>
      <c r="J43" s="224"/>
    </row>
    <row r="44" spans="1:10" ht="7.5" customHeight="1">
      <c r="A44" s="223"/>
      <c r="B44" s="296"/>
      <c r="C44" s="403"/>
      <c r="D44" s="296"/>
      <c r="E44" s="403"/>
      <c r="F44" s="296"/>
      <c r="G44" s="403"/>
      <c r="H44" s="405"/>
      <c r="I44" s="296"/>
      <c r="J44" s="224"/>
    </row>
    <row r="45" spans="1:10" ht="7.5" customHeight="1">
      <c r="A45" s="223"/>
      <c r="B45" s="474">
        <v>175</v>
      </c>
      <c r="C45" s="435" t="s">
        <v>358</v>
      </c>
      <c r="D45" s="436"/>
      <c r="E45" s="472"/>
      <c r="F45" s="471" t="s">
        <v>387</v>
      </c>
      <c r="G45" s="462" t="s">
        <v>381</v>
      </c>
      <c r="H45" s="398"/>
      <c r="I45" s="400"/>
      <c r="J45" s="224"/>
    </row>
    <row r="46" spans="1:10" ht="7.5" customHeight="1">
      <c r="A46" s="225"/>
      <c r="B46" s="296"/>
      <c r="C46" s="403"/>
      <c r="D46" s="296"/>
      <c r="E46" s="403"/>
      <c r="F46" s="296"/>
      <c r="G46" s="403"/>
      <c r="H46" s="405"/>
      <c r="I46" s="296"/>
      <c r="J46" s="224"/>
    </row>
    <row r="47" spans="1:10" ht="7.5" customHeight="1">
      <c r="A47" s="225"/>
      <c r="B47" s="474">
        <v>183</v>
      </c>
      <c r="C47" s="435" t="s">
        <v>103</v>
      </c>
      <c r="D47" s="436"/>
      <c r="E47" s="472"/>
      <c r="F47" s="471" t="s">
        <v>388</v>
      </c>
      <c r="G47" s="462" t="s">
        <v>381</v>
      </c>
      <c r="H47" s="398"/>
      <c r="I47" s="400"/>
      <c r="J47" s="224"/>
    </row>
    <row r="48" spans="1:10" ht="7.5" customHeight="1">
      <c r="A48" s="225"/>
      <c r="B48" s="296"/>
      <c r="C48" s="403"/>
      <c r="D48" s="296"/>
      <c r="E48" s="403"/>
      <c r="F48" s="296"/>
      <c r="G48" s="403"/>
      <c r="H48" s="405"/>
      <c r="I48" s="296"/>
      <c r="J48" s="224"/>
    </row>
    <row r="49" spans="1:10" ht="7.5" customHeight="1">
      <c r="A49" s="225"/>
      <c r="B49" s="434">
        <v>184</v>
      </c>
      <c r="C49" s="435" t="s">
        <v>359</v>
      </c>
      <c r="D49" s="436"/>
      <c r="E49" s="472"/>
      <c r="F49" s="471" t="s">
        <v>389</v>
      </c>
      <c r="G49" s="462" t="s">
        <v>381</v>
      </c>
      <c r="H49" s="398"/>
      <c r="I49" s="400"/>
      <c r="J49" s="224"/>
    </row>
    <row r="50" spans="1:10" ht="7.5" customHeight="1">
      <c r="A50" s="225"/>
      <c r="B50" s="405"/>
      <c r="C50" s="403"/>
      <c r="D50" s="296"/>
      <c r="E50" s="403"/>
      <c r="F50" s="296"/>
      <c r="G50" s="403"/>
      <c r="H50" s="405"/>
      <c r="I50" s="296"/>
      <c r="J50" s="224"/>
    </row>
    <row r="51" spans="1:10" ht="7.5" customHeight="1">
      <c r="A51" s="225"/>
      <c r="B51" s="434">
        <v>185</v>
      </c>
      <c r="C51" s="435" t="s">
        <v>103</v>
      </c>
      <c r="D51" s="436"/>
      <c r="E51" s="472"/>
      <c r="F51" s="471" t="s">
        <v>390</v>
      </c>
      <c r="G51" s="462" t="s">
        <v>381</v>
      </c>
      <c r="H51" s="398"/>
      <c r="I51" s="400"/>
      <c r="J51" s="224"/>
    </row>
    <row r="52" spans="1:10" ht="7.5" customHeight="1">
      <c r="A52" s="225"/>
      <c r="B52" s="405"/>
      <c r="C52" s="403"/>
      <c r="D52" s="296"/>
      <c r="E52" s="403"/>
      <c r="F52" s="296"/>
      <c r="G52" s="403"/>
      <c r="H52" s="405"/>
      <c r="I52" s="296"/>
      <c r="J52" s="224"/>
    </row>
    <row r="53" spans="1:10" ht="7.5" customHeight="1">
      <c r="A53" s="225"/>
      <c r="B53" s="434">
        <v>186</v>
      </c>
      <c r="C53" s="435" t="s">
        <v>359</v>
      </c>
      <c r="D53" s="436"/>
      <c r="E53" s="472"/>
      <c r="F53" s="471" t="s">
        <v>391</v>
      </c>
      <c r="G53" s="462" t="s">
        <v>381</v>
      </c>
      <c r="H53" s="398"/>
      <c r="I53" s="400"/>
      <c r="J53" s="224"/>
    </row>
    <row r="54" spans="1:10" ht="7.5" customHeight="1">
      <c r="A54" s="225"/>
      <c r="B54" s="405"/>
      <c r="C54" s="403"/>
      <c r="D54" s="296"/>
      <c r="E54" s="403"/>
      <c r="F54" s="299"/>
      <c r="G54" s="403"/>
      <c r="H54" s="405"/>
      <c r="I54" s="296"/>
      <c r="J54" s="224"/>
    </row>
    <row r="55" spans="1:10" ht="7.5" customHeight="1">
      <c r="A55" s="225"/>
      <c r="B55" s="434">
        <v>187</v>
      </c>
      <c r="C55" s="435" t="s">
        <v>359</v>
      </c>
      <c r="D55" s="473"/>
      <c r="E55" s="472"/>
      <c r="F55" s="471" t="s">
        <v>392</v>
      </c>
      <c r="G55" s="462" t="s">
        <v>381</v>
      </c>
      <c r="H55" s="398"/>
      <c r="I55" s="400"/>
      <c r="J55" s="224"/>
    </row>
    <row r="56" spans="1:10" ht="7.5" customHeight="1">
      <c r="A56" s="225"/>
      <c r="B56" s="405"/>
      <c r="C56" s="403"/>
      <c r="D56" s="296"/>
      <c r="E56" s="403"/>
      <c r="F56" s="296"/>
      <c r="G56" s="403"/>
      <c r="H56" s="405"/>
      <c r="I56" s="296"/>
      <c r="J56" s="224"/>
    </row>
    <row r="57" spans="1:10" ht="7.5" customHeight="1">
      <c r="A57" s="225"/>
      <c r="B57" s="434">
        <v>189</v>
      </c>
      <c r="C57" s="435" t="s">
        <v>359</v>
      </c>
      <c r="D57" s="436"/>
      <c r="E57" s="437"/>
      <c r="F57" s="438" t="s">
        <v>393</v>
      </c>
      <c r="G57" s="462" t="s">
        <v>381</v>
      </c>
      <c r="H57" s="398"/>
      <c r="I57" s="400"/>
      <c r="J57" s="224"/>
    </row>
    <row r="58" spans="1:10" ht="7.5" customHeight="1">
      <c r="A58" s="225"/>
      <c r="B58" s="399"/>
      <c r="C58" s="402"/>
      <c r="D58" s="311"/>
      <c r="E58" s="402"/>
      <c r="F58" s="311"/>
      <c r="G58" s="403"/>
      <c r="H58" s="399"/>
      <c r="I58" s="311"/>
      <c r="J58" s="224"/>
    </row>
    <row r="59" spans="1:10" ht="11.25" customHeight="1">
      <c r="A59" s="199"/>
      <c r="B59" s="227" t="s">
        <v>4</v>
      </c>
      <c r="C59" s="227"/>
      <c r="D59" s="228"/>
      <c r="E59" s="200"/>
      <c r="F59" s="229"/>
      <c r="G59" s="229"/>
      <c r="H59" s="373" t="s">
        <v>53</v>
      </c>
      <c r="I59" s="301"/>
      <c r="J59" s="230"/>
    </row>
    <row r="60" spans="1:10" ht="11.25" customHeight="1">
      <c r="A60" s="199"/>
      <c r="B60" s="231"/>
      <c r="C60" s="231"/>
      <c r="D60" s="232"/>
      <c r="E60" s="233"/>
      <c r="F60" s="231"/>
      <c r="G60" s="231"/>
      <c r="H60" s="296"/>
      <c r="I60" s="296"/>
      <c r="J60" s="230"/>
    </row>
    <row r="61" spans="1:10" ht="11.25" customHeight="1">
      <c r="A61" s="199"/>
      <c r="B61" s="374" t="s">
        <v>394</v>
      </c>
      <c r="C61" s="323"/>
      <c r="D61" s="323"/>
      <c r="E61" s="323"/>
      <c r="F61" s="323"/>
      <c r="G61" s="323"/>
      <c r="H61" s="323"/>
      <c r="I61" s="323"/>
      <c r="J61" s="72"/>
    </row>
    <row r="62" spans="1:10" ht="61.5" customHeight="1">
      <c r="A62" s="70"/>
      <c r="B62" s="366"/>
      <c r="C62" s="311"/>
      <c r="D62" s="234"/>
      <c r="E62" s="234"/>
      <c r="F62" s="367" t="s">
        <v>395</v>
      </c>
      <c r="G62" s="311"/>
      <c r="H62" s="311"/>
      <c r="I62" s="311"/>
      <c r="J62" s="235"/>
    </row>
    <row r="63" spans="1:10" ht="34.5" customHeight="1">
      <c r="A63" s="70"/>
      <c r="B63" s="432" t="s">
        <v>7</v>
      </c>
      <c r="C63" s="301"/>
      <c r="D63" s="221" t="s">
        <v>357</v>
      </c>
      <c r="E63" s="432" t="s">
        <v>7</v>
      </c>
      <c r="F63" s="301"/>
      <c r="G63" s="221" t="s">
        <v>357</v>
      </c>
      <c r="H63" s="222" t="s">
        <v>7</v>
      </c>
      <c r="I63" s="222" t="s">
        <v>357</v>
      </c>
      <c r="J63" s="235"/>
    </row>
    <row r="64" spans="1:10" ht="7.5" customHeight="1">
      <c r="A64" s="199"/>
      <c r="B64" s="465" t="s">
        <v>396</v>
      </c>
      <c r="C64" s="301"/>
      <c r="D64" s="467" t="s">
        <v>359</v>
      </c>
      <c r="E64" s="468" t="s">
        <v>397</v>
      </c>
      <c r="F64" s="301"/>
      <c r="G64" s="439" t="s">
        <v>364</v>
      </c>
      <c r="H64" s="440"/>
      <c r="I64" s="466"/>
      <c r="J64" s="235"/>
    </row>
    <row r="65" spans="1:10" ht="7.5" customHeight="1">
      <c r="A65" s="199"/>
      <c r="B65" s="299"/>
      <c r="C65" s="299"/>
      <c r="D65" s="296"/>
      <c r="E65" s="409"/>
      <c r="F65" s="299"/>
      <c r="G65" s="406"/>
      <c r="H65" s="296"/>
      <c r="I65" s="296"/>
      <c r="J65" s="235"/>
    </row>
    <row r="66" spans="1:10" ht="7.5" customHeight="1">
      <c r="A66" s="199"/>
      <c r="B66" s="426" t="s">
        <v>398</v>
      </c>
      <c r="C66" s="323"/>
      <c r="D66" s="423" t="s">
        <v>359</v>
      </c>
      <c r="E66" s="433" t="s">
        <v>399</v>
      </c>
      <c r="F66" s="323"/>
      <c r="G66" s="430" t="s">
        <v>364</v>
      </c>
      <c r="H66" s="431"/>
      <c r="I66" s="400"/>
      <c r="J66" s="235"/>
    </row>
    <row r="67" spans="1:10" ht="7.5" customHeight="1">
      <c r="A67" s="199"/>
      <c r="B67" s="296"/>
      <c r="C67" s="296"/>
      <c r="D67" s="296"/>
      <c r="E67" s="405"/>
      <c r="F67" s="296"/>
      <c r="G67" s="403"/>
      <c r="H67" s="296"/>
      <c r="I67" s="296"/>
      <c r="J67" s="235"/>
    </row>
    <row r="68" spans="1:10" ht="7.5" customHeight="1">
      <c r="A68" s="199"/>
      <c r="B68" s="422" t="s">
        <v>400</v>
      </c>
      <c r="C68" s="299"/>
      <c r="D68" s="423" t="s">
        <v>359</v>
      </c>
      <c r="E68" s="427" t="s">
        <v>401</v>
      </c>
      <c r="F68" s="299"/>
      <c r="G68" s="428" t="s">
        <v>364</v>
      </c>
      <c r="H68" s="398"/>
      <c r="I68" s="400"/>
      <c r="J68" s="235"/>
    </row>
    <row r="69" spans="1:10" ht="7.5" customHeight="1">
      <c r="A69" s="199"/>
      <c r="B69" s="299"/>
      <c r="C69" s="299"/>
      <c r="D69" s="296"/>
      <c r="E69" s="405"/>
      <c r="F69" s="296"/>
      <c r="G69" s="403"/>
      <c r="H69" s="405"/>
      <c r="I69" s="296"/>
      <c r="J69" s="236"/>
    </row>
    <row r="70" spans="1:10" ht="7.5" customHeight="1">
      <c r="A70" s="199"/>
      <c r="B70" s="426" t="s">
        <v>402</v>
      </c>
      <c r="C70" s="323"/>
      <c r="D70" s="423" t="s">
        <v>359</v>
      </c>
      <c r="E70" s="427" t="s">
        <v>403</v>
      </c>
      <c r="F70" s="299"/>
      <c r="G70" s="428" t="s">
        <v>362</v>
      </c>
      <c r="H70" s="398"/>
      <c r="I70" s="400"/>
      <c r="J70" s="236"/>
    </row>
    <row r="71" spans="1:10" ht="7.5" customHeight="1">
      <c r="A71" s="199"/>
      <c r="B71" s="296"/>
      <c r="C71" s="296"/>
      <c r="D71" s="296"/>
      <c r="E71" s="405"/>
      <c r="F71" s="296"/>
      <c r="G71" s="403"/>
      <c r="H71" s="405"/>
      <c r="I71" s="296"/>
      <c r="J71" s="236"/>
    </row>
    <row r="72" spans="1:10" ht="7.5" customHeight="1">
      <c r="A72" s="199"/>
      <c r="B72" s="422" t="s">
        <v>404</v>
      </c>
      <c r="C72" s="299"/>
      <c r="D72" s="423" t="s">
        <v>364</v>
      </c>
      <c r="E72" s="427"/>
      <c r="F72" s="299"/>
      <c r="G72" s="428"/>
      <c r="H72" s="398"/>
      <c r="I72" s="400"/>
      <c r="J72" s="236"/>
    </row>
    <row r="73" spans="1:10" ht="7.5" customHeight="1">
      <c r="A73" s="199"/>
      <c r="B73" s="299"/>
      <c r="C73" s="299"/>
      <c r="D73" s="296"/>
      <c r="E73" s="405"/>
      <c r="F73" s="296"/>
      <c r="G73" s="403"/>
      <c r="H73" s="405"/>
      <c r="I73" s="296"/>
      <c r="J73" s="236"/>
    </row>
    <row r="74" spans="1:10" ht="7.5" customHeight="1">
      <c r="A74" s="199"/>
      <c r="B74" s="426" t="s">
        <v>405</v>
      </c>
      <c r="C74" s="323"/>
      <c r="D74" s="423" t="s">
        <v>364</v>
      </c>
      <c r="E74" s="463" t="s">
        <v>406</v>
      </c>
      <c r="F74" s="299"/>
      <c r="G74" s="428" t="s">
        <v>364</v>
      </c>
      <c r="H74" s="398"/>
      <c r="I74" s="400"/>
      <c r="J74" s="236"/>
    </row>
    <row r="75" spans="1:10" ht="7.5" customHeight="1">
      <c r="A75" s="199"/>
      <c r="B75" s="296"/>
      <c r="C75" s="296"/>
      <c r="D75" s="296"/>
      <c r="E75" s="405"/>
      <c r="F75" s="296"/>
      <c r="G75" s="403"/>
      <c r="H75" s="405"/>
      <c r="I75" s="296"/>
      <c r="J75" s="236"/>
    </row>
    <row r="76" spans="1:10" ht="7.5" customHeight="1">
      <c r="A76" s="199"/>
      <c r="B76" s="464" t="s">
        <v>407</v>
      </c>
      <c r="C76" s="299"/>
      <c r="D76" s="423" t="s">
        <v>364</v>
      </c>
      <c r="E76" s="427" t="s">
        <v>408</v>
      </c>
      <c r="F76" s="299"/>
      <c r="G76" s="428" t="s">
        <v>362</v>
      </c>
      <c r="H76" s="398"/>
      <c r="I76" s="400"/>
      <c r="J76" s="236"/>
    </row>
    <row r="77" spans="1:10" ht="7.5" customHeight="1">
      <c r="A77" s="199"/>
      <c r="B77" s="299"/>
      <c r="C77" s="299"/>
      <c r="D77" s="296"/>
      <c r="E77" s="405"/>
      <c r="F77" s="296"/>
      <c r="G77" s="403"/>
      <c r="H77" s="405"/>
      <c r="I77" s="296"/>
      <c r="J77" s="236"/>
    </row>
    <row r="78" spans="1:10" ht="7.5" customHeight="1">
      <c r="A78" s="199"/>
      <c r="B78" s="426" t="s">
        <v>409</v>
      </c>
      <c r="C78" s="323"/>
      <c r="D78" s="423" t="s">
        <v>364</v>
      </c>
      <c r="E78" s="427" t="s">
        <v>410</v>
      </c>
      <c r="F78" s="299"/>
      <c r="G78" s="428" t="s">
        <v>364</v>
      </c>
      <c r="H78" s="429" t="s">
        <v>411</v>
      </c>
      <c r="I78" s="323"/>
      <c r="J78" s="236"/>
    </row>
    <row r="79" spans="1:10" ht="7.5" customHeight="1">
      <c r="A79" s="199"/>
      <c r="B79" s="296"/>
      <c r="C79" s="296"/>
      <c r="D79" s="296"/>
      <c r="E79" s="405"/>
      <c r="F79" s="296"/>
      <c r="G79" s="403"/>
      <c r="H79" s="409"/>
      <c r="I79" s="299"/>
      <c r="J79" s="236"/>
    </row>
    <row r="80" spans="1:10" ht="7.5" customHeight="1">
      <c r="A80" s="199"/>
      <c r="B80" s="422" t="s">
        <v>412</v>
      </c>
      <c r="C80" s="299"/>
      <c r="D80" s="423" t="s">
        <v>364</v>
      </c>
      <c r="E80" s="427" t="s">
        <v>413</v>
      </c>
      <c r="F80" s="299"/>
      <c r="G80" s="428" t="s">
        <v>364</v>
      </c>
      <c r="H80" s="409"/>
      <c r="I80" s="299"/>
      <c r="J80" s="236"/>
    </row>
    <row r="81" spans="1:10" ht="7.5" customHeight="1">
      <c r="A81" s="199"/>
      <c r="B81" s="299"/>
      <c r="C81" s="299"/>
      <c r="D81" s="296"/>
      <c r="E81" s="405"/>
      <c r="F81" s="296"/>
      <c r="G81" s="403"/>
      <c r="H81" s="409"/>
      <c r="I81" s="299"/>
      <c r="J81" s="236"/>
    </row>
    <row r="82" spans="1:10" ht="7.5" customHeight="1">
      <c r="A82" s="199"/>
      <c r="B82" s="424" t="s">
        <v>414</v>
      </c>
      <c r="C82" s="323"/>
      <c r="D82" s="423" t="s">
        <v>364</v>
      </c>
      <c r="E82" s="427" t="s">
        <v>415</v>
      </c>
      <c r="F82" s="299"/>
      <c r="G82" s="428" t="s">
        <v>362</v>
      </c>
      <c r="H82" s="409"/>
      <c r="I82" s="299"/>
      <c r="J82" s="236"/>
    </row>
    <row r="83" spans="1:10" ht="7.5" customHeight="1">
      <c r="A83" s="199"/>
      <c r="B83" s="296"/>
      <c r="C83" s="296"/>
      <c r="D83" s="296"/>
      <c r="E83" s="405"/>
      <c r="F83" s="296"/>
      <c r="G83" s="403"/>
      <c r="H83" s="409"/>
      <c r="I83" s="299"/>
      <c r="J83" s="236"/>
    </row>
    <row r="84" spans="1:10" ht="7.5" customHeight="1">
      <c r="A84" s="199"/>
      <c r="B84" s="422"/>
      <c r="C84" s="299"/>
      <c r="D84" s="423"/>
      <c r="E84" s="427" t="s">
        <v>416</v>
      </c>
      <c r="F84" s="299"/>
      <c r="G84" s="428" t="s">
        <v>381</v>
      </c>
      <c r="H84" s="409"/>
      <c r="I84" s="299"/>
      <c r="J84" s="236"/>
    </row>
    <row r="85" spans="1:10" ht="7.5" customHeight="1">
      <c r="A85" s="199"/>
      <c r="B85" s="299"/>
      <c r="C85" s="299"/>
      <c r="D85" s="296"/>
      <c r="E85" s="405"/>
      <c r="F85" s="296"/>
      <c r="G85" s="403"/>
      <c r="H85" s="409"/>
      <c r="I85" s="299"/>
      <c r="J85" s="236"/>
    </row>
    <row r="86" spans="1:10" ht="7.5" customHeight="1">
      <c r="A86" s="199"/>
      <c r="B86" s="426" t="s">
        <v>417</v>
      </c>
      <c r="C86" s="323"/>
      <c r="D86" s="423" t="s">
        <v>364</v>
      </c>
      <c r="E86" s="427" t="s">
        <v>418</v>
      </c>
      <c r="F86" s="299"/>
      <c r="G86" s="428" t="s">
        <v>359</v>
      </c>
      <c r="H86" s="409"/>
      <c r="I86" s="299"/>
      <c r="J86" s="236"/>
    </row>
    <row r="87" spans="1:10" ht="7.5" customHeight="1">
      <c r="A87" s="199"/>
      <c r="B87" s="296"/>
      <c r="C87" s="296"/>
      <c r="D87" s="296"/>
      <c r="E87" s="405"/>
      <c r="F87" s="296"/>
      <c r="G87" s="403"/>
      <c r="H87" s="409"/>
      <c r="I87" s="299"/>
      <c r="J87" s="236"/>
    </row>
    <row r="88" spans="1:10" ht="7.5" customHeight="1">
      <c r="A88" s="199"/>
      <c r="B88" s="422"/>
      <c r="C88" s="299"/>
      <c r="D88" s="423"/>
      <c r="E88" s="427" t="s">
        <v>419</v>
      </c>
      <c r="F88" s="299"/>
      <c r="G88" s="428" t="s">
        <v>359</v>
      </c>
      <c r="H88" s="409"/>
      <c r="I88" s="299"/>
      <c r="J88" s="236"/>
    </row>
    <row r="89" spans="1:10" ht="7.5" customHeight="1">
      <c r="A89" s="199"/>
      <c r="B89" s="299"/>
      <c r="C89" s="299"/>
      <c r="D89" s="296"/>
      <c r="E89" s="405"/>
      <c r="F89" s="296"/>
      <c r="G89" s="403"/>
      <c r="H89" s="409"/>
      <c r="I89" s="299"/>
      <c r="J89" s="72"/>
    </row>
    <row r="90" spans="1:10" ht="7.5" customHeight="1">
      <c r="A90" s="199"/>
      <c r="B90" s="424" t="s">
        <v>420</v>
      </c>
      <c r="C90" s="323"/>
      <c r="D90" s="423" t="s">
        <v>362</v>
      </c>
      <c r="E90" s="237"/>
      <c r="F90" s="238"/>
      <c r="G90" s="239"/>
      <c r="H90" s="398"/>
      <c r="I90" s="400"/>
      <c r="J90" s="72"/>
    </row>
    <row r="91" spans="1:10" ht="7.5" customHeight="1">
      <c r="A91" s="199"/>
      <c r="B91" s="296"/>
      <c r="C91" s="296"/>
      <c r="D91" s="296"/>
      <c r="E91" s="240"/>
      <c r="F91" s="241"/>
      <c r="G91" s="242"/>
      <c r="H91" s="405"/>
      <c r="I91" s="296"/>
      <c r="J91" s="72"/>
    </row>
    <row r="92" spans="1:10" ht="7.5" customHeight="1">
      <c r="A92" s="199"/>
      <c r="B92" s="422" t="s">
        <v>421</v>
      </c>
      <c r="C92" s="299"/>
      <c r="D92" s="423" t="s">
        <v>362</v>
      </c>
      <c r="E92" s="237"/>
      <c r="F92" s="238"/>
      <c r="G92" s="239"/>
      <c r="H92" s="398"/>
      <c r="I92" s="400"/>
      <c r="J92" s="72"/>
    </row>
    <row r="93" spans="1:10" ht="7.5" customHeight="1">
      <c r="A93" s="199"/>
      <c r="B93" s="299"/>
      <c r="C93" s="299"/>
      <c r="D93" s="296"/>
      <c r="E93" s="240"/>
      <c r="F93" s="241"/>
      <c r="G93" s="242"/>
      <c r="H93" s="405"/>
      <c r="I93" s="296"/>
      <c r="J93" s="72"/>
    </row>
    <row r="94" spans="1:10" ht="7.5" customHeight="1">
      <c r="A94" s="199"/>
      <c r="B94" s="424" t="s">
        <v>422</v>
      </c>
      <c r="C94" s="323"/>
      <c r="D94" s="423" t="s">
        <v>364</v>
      </c>
      <c r="E94" s="414"/>
      <c r="F94" s="323"/>
      <c r="G94" s="425"/>
      <c r="H94" s="398"/>
      <c r="I94" s="400"/>
      <c r="J94" s="72"/>
    </row>
    <row r="95" spans="1:10" ht="7.5" customHeight="1">
      <c r="A95" s="199"/>
      <c r="B95" s="296"/>
      <c r="C95" s="296"/>
      <c r="D95" s="296"/>
      <c r="E95" s="405"/>
      <c r="F95" s="296"/>
      <c r="G95" s="403"/>
      <c r="H95" s="405"/>
      <c r="I95" s="296"/>
      <c r="J95" s="72"/>
    </row>
    <row r="96" spans="1:10" ht="7.5" customHeight="1">
      <c r="A96" s="199"/>
      <c r="B96" s="422" t="s">
        <v>423</v>
      </c>
      <c r="C96" s="299"/>
      <c r="D96" s="423" t="s">
        <v>364</v>
      </c>
      <c r="E96" s="414"/>
      <c r="F96" s="323"/>
      <c r="G96" s="425"/>
      <c r="H96" s="398"/>
      <c r="I96" s="400"/>
      <c r="J96" s="72"/>
    </row>
    <row r="97" spans="1:10" ht="7.5" customHeight="1">
      <c r="A97" s="199"/>
      <c r="B97" s="299"/>
      <c r="C97" s="299"/>
      <c r="D97" s="296"/>
      <c r="E97" s="405"/>
      <c r="F97" s="296"/>
      <c r="G97" s="403"/>
      <c r="H97" s="405"/>
      <c r="I97" s="296"/>
      <c r="J97" s="72"/>
    </row>
    <row r="98" spans="1:10" ht="7.5" customHeight="1">
      <c r="A98" s="199"/>
      <c r="B98" s="424" t="s">
        <v>424</v>
      </c>
      <c r="C98" s="323"/>
      <c r="D98" s="423" t="s">
        <v>364</v>
      </c>
      <c r="E98" s="414"/>
      <c r="F98" s="323"/>
      <c r="G98" s="425"/>
      <c r="H98" s="398"/>
      <c r="I98" s="400"/>
      <c r="J98" s="72"/>
    </row>
    <row r="99" spans="1:10" ht="7.5" customHeight="1">
      <c r="A99" s="199"/>
      <c r="B99" s="296"/>
      <c r="C99" s="296"/>
      <c r="D99" s="296"/>
      <c r="E99" s="405"/>
      <c r="F99" s="296"/>
      <c r="G99" s="403"/>
      <c r="H99" s="405"/>
      <c r="I99" s="296"/>
      <c r="J99" s="72"/>
    </row>
    <row r="100" spans="1:10" ht="7.5" customHeight="1">
      <c r="A100" s="199"/>
      <c r="B100" s="422" t="s">
        <v>425</v>
      </c>
      <c r="C100" s="299"/>
      <c r="D100" s="423" t="s">
        <v>364</v>
      </c>
      <c r="E100" s="414"/>
      <c r="F100" s="323"/>
      <c r="G100" s="425"/>
      <c r="H100" s="398"/>
      <c r="I100" s="400"/>
      <c r="J100" s="72"/>
    </row>
    <row r="101" spans="1:10" ht="7.5" customHeight="1">
      <c r="A101" s="199"/>
      <c r="B101" s="299"/>
      <c r="C101" s="299"/>
      <c r="D101" s="296"/>
      <c r="E101" s="405"/>
      <c r="F101" s="296"/>
      <c r="G101" s="403"/>
      <c r="H101" s="405"/>
      <c r="I101" s="296"/>
      <c r="J101" s="72"/>
    </row>
    <row r="102" spans="1:10" ht="7.5" customHeight="1">
      <c r="A102" s="199"/>
      <c r="B102" s="426" t="s">
        <v>426</v>
      </c>
      <c r="C102" s="323"/>
      <c r="D102" s="423" t="s">
        <v>364</v>
      </c>
      <c r="E102" s="414"/>
      <c r="F102" s="323"/>
      <c r="G102" s="425"/>
      <c r="H102" s="398"/>
      <c r="I102" s="400"/>
      <c r="J102" s="72"/>
    </row>
    <row r="103" spans="1:10" ht="7.5" customHeight="1">
      <c r="A103" s="199"/>
      <c r="B103" s="296"/>
      <c r="C103" s="296"/>
      <c r="D103" s="296"/>
      <c r="E103" s="405"/>
      <c r="F103" s="296"/>
      <c r="G103" s="403"/>
      <c r="H103" s="405"/>
      <c r="I103" s="296"/>
      <c r="J103" s="72"/>
    </row>
    <row r="104" spans="1:10" ht="7.5" customHeight="1">
      <c r="A104" s="199"/>
      <c r="B104" s="422" t="s">
        <v>427</v>
      </c>
      <c r="C104" s="299"/>
      <c r="D104" s="423" t="s">
        <v>362</v>
      </c>
      <c r="E104" s="414"/>
      <c r="F104" s="323"/>
      <c r="G104" s="425"/>
      <c r="H104" s="398"/>
      <c r="I104" s="400"/>
      <c r="J104" s="72"/>
    </row>
    <row r="105" spans="1:10" ht="7.5" customHeight="1">
      <c r="A105" s="199"/>
      <c r="B105" s="299"/>
      <c r="C105" s="299"/>
      <c r="D105" s="296"/>
      <c r="E105" s="405"/>
      <c r="F105" s="296"/>
      <c r="G105" s="403"/>
      <c r="H105" s="405"/>
      <c r="I105" s="296"/>
      <c r="J105" s="72"/>
    </row>
    <row r="106" spans="1:10" ht="7.5" customHeight="1">
      <c r="A106" s="199"/>
      <c r="B106" s="426" t="s">
        <v>428</v>
      </c>
      <c r="C106" s="323"/>
      <c r="D106" s="423" t="s">
        <v>362</v>
      </c>
      <c r="E106" s="237"/>
      <c r="F106" s="238"/>
      <c r="G106" s="239"/>
      <c r="H106" s="398"/>
      <c r="I106" s="400"/>
      <c r="J106" s="72"/>
    </row>
    <row r="107" spans="1:10" ht="7.5" customHeight="1">
      <c r="A107" s="199"/>
      <c r="B107" s="296"/>
      <c r="C107" s="296"/>
      <c r="D107" s="296"/>
      <c r="E107" s="240"/>
      <c r="F107" s="241"/>
      <c r="G107" s="242"/>
      <c r="H107" s="405"/>
      <c r="I107" s="296"/>
      <c r="J107" s="236"/>
    </row>
    <row r="108" spans="1:10" ht="7.5" customHeight="1">
      <c r="A108" s="199"/>
      <c r="B108" s="422" t="s">
        <v>429</v>
      </c>
      <c r="C108" s="299"/>
      <c r="D108" s="423" t="s">
        <v>362</v>
      </c>
      <c r="E108" s="237"/>
      <c r="F108" s="238"/>
      <c r="G108" s="239"/>
      <c r="H108" s="398"/>
      <c r="I108" s="400"/>
      <c r="J108" s="236"/>
    </row>
    <row r="109" spans="1:10" ht="7.5" customHeight="1">
      <c r="A109" s="199"/>
      <c r="B109" s="299"/>
      <c r="C109" s="299"/>
      <c r="D109" s="296"/>
      <c r="E109" s="240"/>
      <c r="F109" s="241"/>
      <c r="G109" s="242"/>
      <c r="H109" s="405"/>
      <c r="I109" s="296"/>
      <c r="J109" s="236"/>
    </row>
    <row r="110" spans="1:10" ht="7.5" customHeight="1">
      <c r="A110" s="199"/>
      <c r="B110" s="426" t="s">
        <v>430</v>
      </c>
      <c r="C110" s="323"/>
      <c r="D110" s="423" t="s">
        <v>362</v>
      </c>
      <c r="E110" s="237"/>
      <c r="F110" s="238"/>
      <c r="G110" s="239"/>
      <c r="H110" s="398"/>
      <c r="I110" s="400"/>
      <c r="J110" s="236"/>
    </row>
    <row r="111" spans="1:10" ht="7.5" customHeight="1">
      <c r="A111" s="199"/>
      <c r="B111" s="296"/>
      <c r="C111" s="296"/>
      <c r="D111" s="296"/>
      <c r="E111" s="240"/>
      <c r="F111" s="241"/>
      <c r="G111" s="242"/>
      <c r="H111" s="405"/>
      <c r="I111" s="296"/>
      <c r="J111" s="236"/>
    </row>
    <row r="112" spans="1:10" ht="7.5" customHeight="1">
      <c r="A112" s="199"/>
      <c r="B112" s="460"/>
      <c r="C112" s="299"/>
      <c r="D112" s="459"/>
      <c r="E112" s="237"/>
      <c r="F112" s="238"/>
      <c r="G112" s="239"/>
      <c r="H112" s="398"/>
      <c r="I112" s="400"/>
      <c r="J112" s="236"/>
    </row>
    <row r="113" spans="1:10" ht="7.5" customHeight="1">
      <c r="A113" s="199"/>
      <c r="B113" s="299"/>
      <c r="C113" s="299"/>
      <c r="D113" s="296"/>
      <c r="E113" s="240"/>
      <c r="F113" s="241"/>
      <c r="G113" s="242"/>
      <c r="H113" s="405"/>
      <c r="I113" s="296"/>
      <c r="J113" s="236"/>
    </row>
    <row r="114" spans="1:10" ht="7.5" customHeight="1">
      <c r="A114" s="199"/>
      <c r="B114" s="461" t="s">
        <v>431</v>
      </c>
      <c r="C114" s="323"/>
      <c r="D114" s="459" t="s">
        <v>359</v>
      </c>
      <c r="E114" s="237"/>
      <c r="F114" s="238"/>
      <c r="G114" s="239"/>
      <c r="H114" s="398"/>
      <c r="I114" s="400"/>
      <c r="J114" s="236"/>
    </row>
    <row r="115" spans="1:10" ht="7.5" customHeight="1">
      <c r="A115" s="199"/>
      <c r="B115" s="296"/>
      <c r="C115" s="296"/>
      <c r="D115" s="296"/>
      <c r="E115" s="240"/>
      <c r="F115" s="241"/>
      <c r="G115" s="242"/>
      <c r="H115" s="405"/>
      <c r="I115" s="296"/>
      <c r="J115" s="236"/>
    </row>
    <row r="116" spans="1:10" ht="7.5" customHeight="1">
      <c r="A116" s="199"/>
      <c r="B116" s="460" t="s">
        <v>432</v>
      </c>
      <c r="C116" s="299"/>
      <c r="D116" s="459" t="s">
        <v>359</v>
      </c>
      <c r="E116" s="237"/>
      <c r="F116" s="238"/>
      <c r="G116" s="239"/>
      <c r="H116" s="398"/>
      <c r="I116" s="400"/>
      <c r="J116" s="236"/>
    </row>
    <row r="117" spans="1:10" ht="7.5" customHeight="1">
      <c r="A117" s="199"/>
      <c r="B117" s="296"/>
      <c r="C117" s="296"/>
      <c r="D117" s="296"/>
      <c r="E117" s="240"/>
      <c r="F117" s="241"/>
      <c r="G117" s="242"/>
      <c r="H117" s="405"/>
      <c r="I117" s="296"/>
      <c r="J117" s="224"/>
    </row>
    <row r="118" spans="1:10" ht="7.5" customHeight="1">
      <c r="A118" s="199"/>
      <c r="B118" s="413" t="s">
        <v>433</v>
      </c>
      <c r="C118" s="299"/>
      <c r="D118" s="459" t="s">
        <v>359</v>
      </c>
      <c r="E118" s="243"/>
      <c r="F118" s="244"/>
      <c r="G118" s="244"/>
      <c r="H118" s="398"/>
      <c r="I118" s="400"/>
      <c r="J118" s="224"/>
    </row>
    <row r="119" spans="1:10" ht="7.5" customHeight="1">
      <c r="A119" s="199"/>
      <c r="B119" s="311"/>
      <c r="C119" s="311"/>
      <c r="D119" s="311"/>
      <c r="E119" s="245"/>
      <c r="F119" s="246"/>
      <c r="G119" s="246"/>
      <c r="H119" s="399"/>
      <c r="I119" s="311"/>
      <c r="J119" s="224"/>
    </row>
    <row r="120" spans="1:10" ht="11.25" customHeight="1">
      <c r="A120" s="199"/>
      <c r="B120" s="227" t="s">
        <v>4</v>
      </c>
      <c r="C120" s="227"/>
      <c r="D120" s="228"/>
      <c r="E120" s="198"/>
      <c r="F120" s="229"/>
      <c r="G120" s="229"/>
      <c r="H120" s="373" t="s">
        <v>53</v>
      </c>
      <c r="I120" s="301"/>
      <c r="J120" s="230"/>
    </row>
    <row r="121" spans="1:10" ht="11.25" customHeight="1">
      <c r="A121" s="199"/>
      <c r="B121" s="231"/>
      <c r="C121" s="231"/>
      <c r="D121" s="232"/>
      <c r="E121" s="233"/>
      <c r="F121" s="231"/>
      <c r="G121" s="231"/>
      <c r="H121" s="296"/>
      <c r="I121" s="296"/>
      <c r="J121" s="230"/>
    </row>
    <row r="122" spans="1:10" ht="11.25" customHeight="1">
      <c r="A122" s="199"/>
      <c r="B122" s="374" t="s">
        <v>434</v>
      </c>
      <c r="C122" s="323"/>
      <c r="D122" s="323"/>
      <c r="E122" s="323"/>
      <c r="F122" s="323"/>
      <c r="G122" s="323"/>
      <c r="H122" s="323"/>
      <c r="I122" s="323"/>
      <c r="J122" s="72"/>
    </row>
    <row r="123" spans="1:10" ht="61.5" customHeight="1">
      <c r="A123" s="70"/>
      <c r="B123" s="366"/>
      <c r="C123" s="311"/>
      <c r="D123" s="234"/>
      <c r="E123" s="234"/>
      <c r="F123" s="367" t="s">
        <v>435</v>
      </c>
      <c r="G123" s="311"/>
      <c r="H123" s="311"/>
      <c r="I123" s="311"/>
      <c r="J123" s="235"/>
    </row>
    <row r="124" spans="1:10" ht="34.5" customHeight="1">
      <c r="A124" s="70"/>
      <c r="B124" s="458" t="s">
        <v>7</v>
      </c>
      <c r="C124" s="329"/>
      <c r="D124" s="222" t="s">
        <v>357</v>
      </c>
      <c r="E124" s="432" t="s">
        <v>7</v>
      </c>
      <c r="F124" s="301"/>
      <c r="G124" s="221" t="s">
        <v>357</v>
      </c>
      <c r="H124" s="222" t="s">
        <v>7</v>
      </c>
      <c r="I124" s="222" t="s">
        <v>357</v>
      </c>
      <c r="J124" s="235"/>
    </row>
    <row r="125" spans="1:10" ht="7.5" customHeight="1">
      <c r="A125" s="199"/>
      <c r="B125" s="453" t="s">
        <v>436</v>
      </c>
      <c r="C125" s="323"/>
      <c r="D125" s="425"/>
      <c r="E125" s="457" t="s">
        <v>437</v>
      </c>
      <c r="F125" s="301"/>
      <c r="G125" s="456" t="s">
        <v>101</v>
      </c>
      <c r="H125" s="398"/>
      <c r="I125" s="400"/>
      <c r="J125" s="235"/>
    </row>
    <row r="126" spans="1:10" ht="7.5" customHeight="1">
      <c r="A126" s="199"/>
      <c r="B126" s="454"/>
      <c r="C126" s="299"/>
      <c r="D126" s="406"/>
      <c r="E126" s="296"/>
      <c r="F126" s="296"/>
      <c r="G126" s="403"/>
      <c r="H126" s="405"/>
      <c r="I126" s="296"/>
      <c r="J126" s="235"/>
    </row>
    <row r="127" spans="1:10" ht="7.5" customHeight="1">
      <c r="A127" s="199"/>
      <c r="B127" s="454"/>
      <c r="C127" s="299"/>
      <c r="D127" s="406"/>
      <c r="E127" s="413" t="s">
        <v>438</v>
      </c>
      <c r="F127" s="299"/>
      <c r="G127" s="415" t="s">
        <v>101</v>
      </c>
      <c r="H127" s="398"/>
      <c r="I127" s="400"/>
      <c r="J127" s="235"/>
    </row>
    <row r="128" spans="1:10" ht="7.5" customHeight="1">
      <c r="A128" s="199"/>
      <c r="B128" s="455"/>
      <c r="C128" s="296"/>
      <c r="D128" s="403"/>
      <c r="E128" s="296"/>
      <c r="F128" s="296"/>
      <c r="G128" s="403"/>
      <c r="H128" s="405"/>
      <c r="I128" s="296"/>
      <c r="J128" s="235"/>
    </row>
    <row r="129" spans="1:10" ht="7.5" customHeight="1">
      <c r="A129" s="199"/>
      <c r="B129" s="410" t="s">
        <v>439</v>
      </c>
      <c r="C129" s="299"/>
      <c r="D129" s="415" t="s">
        <v>100</v>
      </c>
      <c r="E129" s="413" t="s">
        <v>440</v>
      </c>
      <c r="F129" s="299"/>
      <c r="G129" s="415" t="s">
        <v>101</v>
      </c>
      <c r="H129" s="398"/>
      <c r="I129" s="400"/>
      <c r="J129" s="235"/>
    </row>
    <row r="130" spans="1:10" ht="7.5" customHeight="1">
      <c r="A130" s="199"/>
      <c r="B130" s="411"/>
      <c r="C130" s="296"/>
      <c r="D130" s="403"/>
      <c r="E130" s="296"/>
      <c r="F130" s="296"/>
      <c r="G130" s="403"/>
      <c r="H130" s="405"/>
      <c r="I130" s="296"/>
      <c r="J130" s="236"/>
    </row>
    <row r="131" spans="1:10" ht="7.5" customHeight="1">
      <c r="A131" s="199"/>
      <c r="B131" s="410" t="s">
        <v>441</v>
      </c>
      <c r="C131" s="299"/>
      <c r="D131" s="415" t="s">
        <v>100</v>
      </c>
      <c r="E131" s="413" t="s">
        <v>442</v>
      </c>
      <c r="F131" s="299"/>
      <c r="G131" s="415" t="s">
        <v>101</v>
      </c>
      <c r="H131" s="398"/>
      <c r="I131" s="400"/>
      <c r="J131" s="236"/>
    </row>
    <row r="132" spans="1:10" ht="7.5" customHeight="1">
      <c r="A132" s="199"/>
      <c r="B132" s="411"/>
      <c r="C132" s="296"/>
      <c r="D132" s="403"/>
      <c r="E132" s="296"/>
      <c r="F132" s="296"/>
      <c r="G132" s="403"/>
      <c r="H132" s="405"/>
      <c r="I132" s="296"/>
      <c r="J132" s="236"/>
    </row>
    <row r="133" spans="1:10" ht="7.5" customHeight="1">
      <c r="A133" s="199"/>
      <c r="B133" s="410" t="s">
        <v>443</v>
      </c>
      <c r="C133" s="299"/>
      <c r="D133" s="415" t="s">
        <v>100</v>
      </c>
      <c r="E133" s="413" t="s">
        <v>444</v>
      </c>
      <c r="F133" s="299"/>
      <c r="G133" s="415" t="s">
        <v>101</v>
      </c>
      <c r="H133" s="398"/>
      <c r="I133" s="400"/>
      <c r="J133" s="236"/>
    </row>
    <row r="134" spans="1:10" ht="7.5" customHeight="1">
      <c r="A134" s="199"/>
      <c r="B134" s="411"/>
      <c r="C134" s="296"/>
      <c r="D134" s="403"/>
      <c r="E134" s="296"/>
      <c r="F134" s="296"/>
      <c r="G134" s="403"/>
      <c r="H134" s="405"/>
      <c r="I134" s="296"/>
      <c r="J134" s="236"/>
    </row>
    <row r="135" spans="1:10" ht="7.5" customHeight="1">
      <c r="A135" s="199"/>
      <c r="B135" s="410" t="s">
        <v>445</v>
      </c>
      <c r="C135" s="299"/>
      <c r="D135" s="415" t="s">
        <v>103</v>
      </c>
      <c r="E135" s="413" t="s">
        <v>446</v>
      </c>
      <c r="F135" s="299"/>
      <c r="G135" s="415" t="s">
        <v>98</v>
      </c>
      <c r="H135" s="398"/>
      <c r="I135" s="400"/>
      <c r="J135" s="236"/>
    </row>
    <row r="136" spans="1:10" ht="7.5" customHeight="1">
      <c r="A136" s="199"/>
      <c r="B136" s="411"/>
      <c r="C136" s="296"/>
      <c r="D136" s="403"/>
      <c r="E136" s="296"/>
      <c r="F136" s="296"/>
      <c r="G136" s="403"/>
      <c r="H136" s="405"/>
      <c r="I136" s="296"/>
      <c r="J136" s="236"/>
    </row>
    <row r="137" spans="1:10" ht="7.5" customHeight="1">
      <c r="A137" s="199"/>
      <c r="B137" s="410" t="s">
        <v>447</v>
      </c>
      <c r="C137" s="299"/>
      <c r="D137" s="415" t="s">
        <v>100</v>
      </c>
      <c r="E137" s="416"/>
      <c r="F137" s="323"/>
      <c r="G137" s="421"/>
      <c r="H137" s="398"/>
      <c r="I137" s="400"/>
      <c r="J137" s="236"/>
    </row>
    <row r="138" spans="1:10" ht="7.5" customHeight="1">
      <c r="A138" s="199"/>
      <c r="B138" s="411"/>
      <c r="C138" s="296"/>
      <c r="D138" s="403"/>
      <c r="E138" s="296"/>
      <c r="F138" s="296"/>
      <c r="G138" s="296"/>
      <c r="H138" s="405"/>
      <c r="I138" s="296"/>
      <c r="J138" s="236"/>
    </row>
    <row r="139" spans="1:10" ht="7.5" customHeight="1">
      <c r="A139" s="199"/>
      <c r="B139" s="410" t="s">
        <v>448</v>
      </c>
      <c r="C139" s="299"/>
      <c r="D139" s="415" t="s">
        <v>101</v>
      </c>
      <c r="E139" s="247"/>
      <c r="F139" s="247"/>
      <c r="G139" s="247"/>
      <c r="H139" s="398"/>
      <c r="I139" s="400"/>
      <c r="J139" s="236"/>
    </row>
    <row r="140" spans="1:10" ht="7.5" customHeight="1">
      <c r="A140" s="199"/>
      <c r="B140" s="411"/>
      <c r="C140" s="296"/>
      <c r="D140" s="403"/>
      <c r="E140" s="247"/>
      <c r="F140" s="247"/>
      <c r="G140" s="247"/>
      <c r="H140" s="405"/>
      <c r="I140" s="296"/>
      <c r="J140" s="236"/>
    </row>
    <row r="141" spans="1:10" ht="7.5" customHeight="1">
      <c r="A141" s="199"/>
      <c r="B141" s="410" t="s">
        <v>449</v>
      </c>
      <c r="C141" s="299"/>
      <c r="D141" s="415" t="s">
        <v>103</v>
      </c>
      <c r="E141" s="416"/>
      <c r="F141" s="323"/>
      <c r="G141" s="417"/>
      <c r="H141" s="216"/>
      <c r="I141" s="216"/>
      <c r="J141" s="236"/>
    </row>
    <row r="142" spans="1:10" ht="7.5" customHeight="1">
      <c r="A142" s="199"/>
      <c r="B142" s="411"/>
      <c r="C142" s="296"/>
      <c r="D142" s="403"/>
      <c r="E142" s="296"/>
      <c r="F142" s="296"/>
      <c r="G142" s="403"/>
      <c r="H142" s="216"/>
      <c r="I142" s="216"/>
      <c r="J142" s="236"/>
    </row>
    <row r="143" spans="1:10" ht="7.5" customHeight="1">
      <c r="A143" s="199"/>
      <c r="B143" s="410" t="s">
        <v>450</v>
      </c>
      <c r="C143" s="299"/>
      <c r="D143" s="415" t="s">
        <v>103</v>
      </c>
      <c r="E143" s="414"/>
      <c r="F143" s="323"/>
      <c r="G143" s="420"/>
      <c r="H143" s="429" t="s">
        <v>451</v>
      </c>
      <c r="I143" s="323"/>
      <c r="J143" s="236"/>
    </row>
    <row r="144" spans="1:10" ht="7.5" customHeight="1">
      <c r="A144" s="199"/>
      <c r="B144" s="411"/>
      <c r="C144" s="296"/>
      <c r="D144" s="403"/>
      <c r="E144" s="405"/>
      <c r="F144" s="296"/>
      <c r="G144" s="403"/>
      <c r="H144" s="409"/>
      <c r="I144" s="299"/>
      <c r="J144" s="236"/>
    </row>
    <row r="145" spans="1:10" ht="7.5" customHeight="1">
      <c r="A145" s="199"/>
      <c r="B145" s="410" t="s">
        <v>452</v>
      </c>
      <c r="C145" s="299"/>
      <c r="D145" s="415" t="s">
        <v>103</v>
      </c>
      <c r="E145" s="414"/>
      <c r="F145" s="323"/>
      <c r="G145" s="420"/>
      <c r="H145" s="409"/>
      <c r="I145" s="299"/>
      <c r="J145" s="236"/>
    </row>
    <row r="146" spans="1:10" ht="7.5" customHeight="1">
      <c r="A146" s="199"/>
      <c r="B146" s="411"/>
      <c r="C146" s="296"/>
      <c r="D146" s="403"/>
      <c r="E146" s="405"/>
      <c r="F146" s="296"/>
      <c r="G146" s="403"/>
      <c r="H146" s="409"/>
      <c r="I146" s="299"/>
      <c r="J146" s="236"/>
    </row>
    <row r="147" spans="1:10" ht="7.5" customHeight="1">
      <c r="A147" s="199"/>
      <c r="B147" s="410" t="s">
        <v>453</v>
      </c>
      <c r="C147" s="299"/>
      <c r="D147" s="415" t="s">
        <v>103</v>
      </c>
      <c r="E147" s="414"/>
      <c r="F147" s="323"/>
      <c r="G147" s="420"/>
      <c r="H147" s="409"/>
      <c r="I147" s="299"/>
      <c r="J147" s="236"/>
    </row>
    <row r="148" spans="1:10" ht="7.5" customHeight="1">
      <c r="A148" s="199"/>
      <c r="B148" s="411"/>
      <c r="C148" s="296"/>
      <c r="D148" s="403"/>
      <c r="E148" s="405"/>
      <c r="F148" s="296"/>
      <c r="G148" s="403"/>
      <c r="H148" s="409"/>
      <c r="I148" s="299"/>
      <c r="J148" s="236"/>
    </row>
    <row r="149" spans="1:10" ht="7.5" customHeight="1">
      <c r="A149" s="199"/>
      <c r="B149" s="410" t="s">
        <v>454</v>
      </c>
      <c r="C149" s="299"/>
      <c r="D149" s="415" t="s">
        <v>103</v>
      </c>
      <c r="E149" s="414"/>
      <c r="F149" s="323"/>
      <c r="G149" s="420"/>
      <c r="H149" s="409"/>
      <c r="I149" s="299"/>
      <c r="J149" s="236"/>
    </row>
    <row r="150" spans="1:10" ht="7.5" customHeight="1">
      <c r="A150" s="199"/>
      <c r="B150" s="411"/>
      <c r="C150" s="296"/>
      <c r="D150" s="406"/>
      <c r="E150" s="405"/>
      <c r="F150" s="296"/>
      <c r="G150" s="403"/>
      <c r="H150" s="409"/>
      <c r="I150" s="299"/>
      <c r="J150" s="72"/>
    </row>
    <row r="151" spans="1:10" ht="7.5" customHeight="1">
      <c r="A151" s="199"/>
      <c r="B151" s="418" t="s">
        <v>455</v>
      </c>
      <c r="C151" s="323"/>
      <c r="D151" s="419" t="s">
        <v>103</v>
      </c>
      <c r="E151" s="248"/>
      <c r="F151" s="248"/>
      <c r="G151" s="248"/>
      <c r="H151" s="409"/>
      <c r="I151" s="299"/>
      <c r="J151" s="72"/>
    </row>
    <row r="152" spans="1:10" ht="7.5" customHeight="1">
      <c r="A152" s="199"/>
      <c r="B152" s="411"/>
      <c r="C152" s="296"/>
      <c r="D152" s="403"/>
      <c r="E152" s="248"/>
      <c r="F152" s="248"/>
      <c r="G152" s="248"/>
      <c r="H152" s="409"/>
      <c r="I152" s="299"/>
      <c r="J152" s="72"/>
    </row>
    <row r="153" spans="1:10" ht="7.5" customHeight="1">
      <c r="A153" s="199"/>
      <c r="B153" s="410" t="s">
        <v>456</v>
      </c>
      <c r="C153" s="299"/>
      <c r="D153" s="412" t="s">
        <v>103</v>
      </c>
      <c r="E153" s="414"/>
      <c r="F153" s="323"/>
      <c r="G153" s="452"/>
      <c r="H153" s="409"/>
      <c r="I153" s="299"/>
      <c r="J153" s="72"/>
    </row>
    <row r="154" spans="1:10" ht="7.5" customHeight="1">
      <c r="A154" s="199"/>
      <c r="B154" s="411"/>
      <c r="C154" s="296"/>
      <c r="D154" s="403"/>
      <c r="E154" s="405"/>
      <c r="F154" s="296"/>
      <c r="G154" s="403"/>
      <c r="H154" s="409"/>
      <c r="I154" s="299"/>
      <c r="J154" s="72"/>
    </row>
    <row r="155" spans="1:10" ht="7.5" customHeight="1">
      <c r="A155" s="199"/>
      <c r="B155" s="410" t="s">
        <v>457</v>
      </c>
      <c r="C155" s="299"/>
      <c r="D155" s="412" t="s">
        <v>103</v>
      </c>
      <c r="E155" s="414"/>
      <c r="F155" s="323"/>
      <c r="G155" s="420"/>
      <c r="H155" s="398"/>
      <c r="I155" s="400"/>
      <c r="J155" s="72"/>
    </row>
    <row r="156" spans="1:10" ht="7.5" customHeight="1">
      <c r="A156" s="199"/>
      <c r="B156" s="411"/>
      <c r="C156" s="296"/>
      <c r="D156" s="403"/>
      <c r="E156" s="405"/>
      <c r="F156" s="296"/>
      <c r="G156" s="403"/>
      <c r="H156" s="405"/>
      <c r="I156" s="296"/>
      <c r="J156" s="72"/>
    </row>
    <row r="157" spans="1:10" ht="7.5" customHeight="1">
      <c r="A157" s="199"/>
      <c r="B157" s="410" t="s">
        <v>458</v>
      </c>
      <c r="C157" s="299"/>
      <c r="D157" s="412" t="s">
        <v>103</v>
      </c>
      <c r="E157" s="414"/>
      <c r="F157" s="323"/>
      <c r="G157" s="420"/>
      <c r="H157" s="398"/>
      <c r="I157" s="400"/>
      <c r="J157" s="72"/>
    </row>
    <row r="158" spans="1:10" ht="7.5" customHeight="1">
      <c r="A158" s="199"/>
      <c r="B158" s="411"/>
      <c r="C158" s="296"/>
      <c r="D158" s="403"/>
      <c r="E158" s="405"/>
      <c r="F158" s="296"/>
      <c r="G158" s="403"/>
      <c r="H158" s="405"/>
      <c r="I158" s="296"/>
      <c r="J158" s="72"/>
    </row>
    <row r="159" spans="1:10" ht="7.5" customHeight="1">
      <c r="A159" s="199"/>
      <c r="B159" s="410" t="s">
        <v>459</v>
      </c>
      <c r="C159" s="299"/>
      <c r="D159" s="412" t="s">
        <v>103</v>
      </c>
      <c r="E159" s="414"/>
      <c r="F159" s="323"/>
      <c r="G159" s="420"/>
      <c r="H159" s="398"/>
      <c r="I159" s="400"/>
      <c r="J159" s="72"/>
    </row>
    <row r="160" spans="1:10" ht="7.5" customHeight="1">
      <c r="A160" s="199"/>
      <c r="B160" s="411"/>
      <c r="C160" s="296"/>
      <c r="D160" s="403"/>
      <c r="E160" s="405"/>
      <c r="F160" s="296"/>
      <c r="G160" s="403"/>
      <c r="H160" s="405"/>
      <c r="I160" s="296"/>
      <c r="J160" s="72"/>
    </row>
    <row r="161" spans="1:10" ht="7.5" customHeight="1">
      <c r="A161" s="199"/>
      <c r="B161" s="410" t="s">
        <v>460</v>
      </c>
      <c r="C161" s="299"/>
      <c r="D161" s="412" t="s">
        <v>103</v>
      </c>
      <c r="E161" s="414"/>
      <c r="F161" s="323"/>
      <c r="G161" s="420"/>
      <c r="H161" s="398"/>
      <c r="I161" s="400"/>
      <c r="J161" s="72"/>
    </row>
    <row r="162" spans="1:10" ht="7.5" customHeight="1">
      <c r="A162" s="199"/>
      <c r="B162" s="411"/>
      <c r="C162" s="296"/>
      <c r="D162" s="403"/>
      <c r="E162" s="405"/>
      <c r="F162" s="296"/>
      <c r="G162" s="403"/>
      <c r="H162" s="405"/>
      <c r="I162" s="296"/>
      <c r="J162" s="72"/>
    </row>
    <row r="163" spans="1:10" ht="7.5" customHeight="1">
      <c r="A163" s="199"/>
      <c r="B163" s="410" t="s">
        <v>461</v>
      </c>
      <c r="C163" s="299"/>
      <c r="D163" s="412" t="s">
        <v>103</v>
      </c>
      <c r="E163" s="414"/>
      <c r="F163" s="323"/>
      <c r="G163" s="420"/>
      <c r="H163" s="398"/>
      <c r="I163" s="400"/>
      <c r="J163" s="72"/>
    </row>
    <row r="164" spans="1:10" ht="7.5" customHeight="1">
      <c r="A164" s="199"/>
      <c r="B164" s="411"/>
      <c r="C164" s="296"/>
      <c r="D164" s="403"/>
      <c r="E164" s="405"/>
      <c r="F164" s="296"/>
      <c r="G164" s="403"/>
      <c r="H164" s="405"/>
      <c r="I164" s="296"/>
      <c r="J164" s="72"/>
    </row>
    <row r="165" spans="1:10" ht="7.5" customHeight="1">
      <c r="A165" s="199"/>
      <c r="B165" s="410" t="s">
        <v>462</v>
      </c>
      <c r="C165" s="299"/>
      <c r="D165" s="412" t="s">
        <v>463</v>
      </c>
      <c r="E165" s="413" t="s">
        <v>464</v>
      </c>
      <c r="F165" s="299"/>
      <c r="G165" s="420"/>
      <c r="H165" s="398"/>
      <c r="I165" s="400"/>
      <c r="J165" s="72"/>
    </row>
    <row r="166" spans="1:10" ht="7.5" customHeight="1">
      <c r="A166" s="199"/>
      <c r="B166" s="411"/>
      <c r="C166" s="296"/>
      <c r="D166" s="403"/>
      <c r="E166" s="296"/>
      <c r="F166" s="296"/>
      <c r="G166" s="403"/>
      <c r="H166" s="405"/>
      <c r="I166" s="296"/>
      <c r="J166" s="72"/>
    </row>
    <row r="167" spans="1:10" ht="7.5" customHeight="1">
      <c r="A167" s="199"/>
      <c r="B167" s="410" t="s">
        <v>465</v>
      </c>
      <c r="C167" s="299"/>
      <c r="D167" s="412" t="s">
        <v>463</v>
      </c>
      <c r="E167" s="413" t="s">
        <v>466</v>
      </c>
      <c r="F167" s="299"/>
      <c r="G167" s="451"/>
      <c r="H167" s="398"/>
      <c r="I167" s="400"/>
      <c r="J167" s="72"/>
    </row>
    <row r="168" spans="1:10" ht="7.5" customHeight="1">
      <c r="A168" s="199"/>
      <c r="B168" s="411"/>
      <c r="C168" s="296"/>
      <c r="D168" s="403"/>
      <c r="E168" s="299"/>
      <c r="F168" s="299"/>
      <c r="G168" s="299"/>
      <c r="H168" s="405"/>
      <c r="I168" s="296"/>
      <c r="J168" s="236"/>
    </row>
    <row r="169" spans="1:10" ht="7.5" customHeight="1">
      <c r="A169" s="199"/>
      <c r="B169" s="410" t="s">
        <v>467</v>
      </c>
      <c r="C169" s="299"/>
      <c r="D169" s="412" t="s">
        <v>463</v>
      </c>
      <c r="E169" s="299"/>
      <c r="F169" s="299"/>
      <c r="G169" s="299"/>
      <c r="H169" s="398"/>
      <c r="I169" s="400"/>
      <c r="J169" s="236"/>
    </row>
    <row r="170" spans="1:10" ht="7.5" customHeight="1">
      <c r="A170" s="199"/>
      <c r="B170" s="411"/>
      <c r="C170" s="296"/>
      <c r="D170" s="403"/>
      <c r="E170" s="299"/>
      <c r="F170" s="299"/>
      <c r="G170" s="299"/>
      <c r="H170" s="405"/>
      <c r="I170" s="296"/>
      <c r="J170" s="236"/>
    </row>
    <row r="171" spans="1:10" ht="7.5" customHeight="1">
      <c r="A171" s="199"/>
      <c r="B171" s="410" t="s">
        <v>468</v>
      </c>
      <c r="C171" s="299"/>
      <c r="D171" s="412" t="s">
        <v>463</v>
      </c>
      <c r="E171" s="299"/>
      <c r="F171" s="299"/>
      <c r="G171" s="299"/>
      <c r="H171" s="398"/>
      <c r="I171" s="400"/>
      <c r="J171" s="236"/>
    </row>
    <row r="172" spans="1:10" ht="7.5" customHeight="1">
      <c r="A172" s="199"/>
      <c r="B172" s="411"/>
      <c r="C172" s="296"/>
      <c r="D172" s="403"/>
      <c r="E172" s="299"/>
      <c r="F172" s="299"/>
      <c r="G172" s="299"/>
      <c r="H172" s="405"/>
      <c r="I172" s="296"/>
      <c r="J172" s="236"/>
    </row>
    <row r="173" spans="1:10" ht="7.5" customHeight="1">
      <c r="A173" s="199"/>
      <c r="B173" s="410" t="s">
        <v>469</v>
      </c>
      <c r="C173" s="299"/>
      <c r="D173" s="412" t="s">
        <v>101</v>
      </c>
      <c r="E173" s="445"/>
      <c r="F173" s="323"/>
      <c r="G173" s="445"/>
      <c r="H173" s="398"/>
      <c r="I173" s="400"/>
      <c r="J173" s="236"/>
    </row>
    <row r="174" spans="1:10" ht="7.5" customHeight="1">
      <c r="A174" s="199"/>
      <c r="B174" s="411"/>
      <c r="C174" s="296"/>
      <c r="D174" s="403"/>
      <c r="E174" s="299"/>
      <c r="F174" s="299"/>
      <c r="G174" s="299"/>
      <c r="H174" s="405"/>
      <c r="I174" s="296"/>
      <c r="J174" s="236"/>
    </row>
    <row r="175" spans="1:10" ht="7.5" customHeight="1">
      <c r="A175" s="199"/>
      <c r="B175" s="410" t="s">
        <v>470</v>
      </c>
      <c r="C175" s="299"/>
      <c r="D175" s="412" t="s">
        <v>101</v>
      </c>
      <c r="E175" s="445"/>
      <c r="F175" s="323"/>
      <c r="G175" s="445"/>
      <c r="H175" s="398"/>
      <c r="I175" s="400"/>
      <c r="J175" s="236"/>
    </row>
    <row r="176" spans="1:10" ht="7.5" customHeight="1">
      <c r="A176" s="199"/>
      <c r="B176" s="411"/>
      <c r="C176" s="296"/>
      <c r="D176" s="403"/>
      <c r="E176" s="296"/>
      <c r="F176" s="296"/>
      <c r="G176" s="296"/>
      <c r="H176" s="405"/>
      <c r="I176" s="296"/>
      <c r="J176" s="236"/>
    </row>
    <row r="177" spans="1:10" ht="7.5" customHeight="1">
      <c r="A177" s="199"/>
      <c r="B177" s="410" t="s">
        <v>471</v>
      </c>
      <c r="C177" s="299"/>
      <c r="D177" s="412" t="s">
        <v>101</v>
      </c>
      <c r="E177" s="414"/>
      <c r="F177" s="323"/>
      <c r="G177" s="420"/>
      <c r="H177" s="398"/>
      <c r="I177" s="400"/>
      <c r="J177" s="236"/>
    </row>
    <row r="178" spans="1:10" ht="7.5" customHeight="1">
      <c r="A178" s="199"/>
      <c r="B178" s="411"/>
      <c r="C178" s="296"/>
      <c r="D178" s="403"/>
      <c r="E178" s="405"/>
      <c r="F178" s="296"/>
      <c r="G178" s="403"/>
      <c r="H178" s="405"/>
      <c r="I178" s="296"/>
      <c r="J178" s="224"/>
    </row>
    <row r="179" spans="1:10" ht="7.5" customHeight="1">
      <c r="A179" s="199"/>
      <c r="B179" s="410" t="s">
        <v>472</v>
      </c>
      <c r="C179" s="299"/>
      <c r="D179" s="415" t="s">
        <v>101</v>
      </c>
      <c r="E179" s="414"/>
      <c r="F179" s="323"/>
      <c r="G179" s="420"/>
      <c r="H179" s="398"/>
      <c r="I179" s="400"/>
      <c r="J179" s="224"/>
    </row>
    <row r="180" spans="1:10" ht="7.5" customHeight="1">
      <c r="A180" s="199"/>
      <c r="B180" s="357"/>
      <c r="C180" s="311"/>
      <c r="D180" s="402"/>
      <c r="E180" s="399"/>
      <c r="F180" s="311"/>
      <c r="G180" s="402"/>
      <c r="H180" s="399"/>
      <c r="I180" s="311"/>
      <c r="J180" s="224"/>
    </row>
    <row r="181" spans="1:10" ht="11.25" customHeight="1">
      <c r="A181" s="199"/>
      <c r="B181" s="249" t="s">
        <v>4</v>
      </c>
      <c r="C181" s="249"/>
      <c r="D181" s="250"/>
      <c r="E181" s="200"/>
      <c r="F181" s="227"/>
      <c r="G181" s="227"/>
      <c r="H181" s="373" t="s">
        <v>53</v>
      </c>
      <c r="I181" s="301"/>
      <c r="J181" s="230"/>
    </row>
    <row r="182" spans="1:10" ht="11.25" customHeight="1">
      <c r="A182" s="199"/>
      <c r="B182" s="231"/>
      <c r="C182" s="231"/>
      <c r="D182" s="232"/>
      <c r="E182" s="233"/>
      <c r="F182" s="231"/>
      <c r="G182" s="231"/>
      <c r="H182" s="296"/>
      <c r="I182" s="296"/>
      <c r="J182" s="230"/>
    </row>
    <row r="183" spans="1:10" ht="11.25" customHeight="1">
      <c r="A183" s="199"/>
      <c r="B183" s="374" t="s">
        <v>473</v>
      </c>
      <c r="C183" s="323"/>
      <c r="D183" s="323"/>
      <c r="E183" s="323"/>
      <c r="F183" s="323"/>
      <c r="G183" s="323"/>
      <c r="H183" s="323"/>
      <c r="I183" s="323"/>
      <c r="J183" s="72"/>
    </row>
    <row r="184" spans="1:10" ht="61.5" customHeight="1">
      <c r="A184" s="70"/>
      <c r="B184" s="366"/>
      <c r="C184" s="311"/>
      <c r="D184" s="234"/>
      <c r="E184" s="234"/>
      <c r="F184" s="367" t="s">
        <v>474</v>
      </c>
      <c r="G184" s="311"/>
      <c r="H184" s="311"/>
      <c r="I184" s="311"/>
      <c r="J184" s="446"/>
    </row>
    <row r="185" spans="1:10" ht="34.5" customHeight="1">
      <c r="A185" s="70"/>
      <c r="B185" s="222" t="s">
        <v>7</v>
      </c>
      <c r="C185" s="222" t="s">
        <v>357</v>
      </c>
      <c r="D185" s="222" t="s">
        <v>7</v>
      </c>
      <c r="E185" s="222" t="s">
        <v>357</v>
      </c>
      <c r="F185" s="222" t="s">
        <v>7</v>
      </c>
      <c r="G185" s="222" t="s">
        <v>357</v>
      </c>
      <c r="H185" s="222" t="s">
        <v>7</v>
      </c>
      <c r="I185" s="222" t="s">
        <v>357</v>
      </c>
      <c r="J185" s="351"/>
    </row>
    <row r="186" spans="1:10" ht="7.5" customHeight="1">
      <c r="A186" s="199"/>
      <c r="B186" s="447" t="s">
        <v>475</v>
      </c>
      <c r="C186" s="448"/>
      <c r="D186" s="449"/>
      <c r="E186" s="450"/>
      <c r="F186" s="251"/>
      <c r="G186" s="252"/>
      <c r="H186" s="218"/>
      <c r="I186" s="253"/>
      <c r="J186" s="224"/>
    </row>
    <row r="187" spans="1:10" ht="7.5" customHeight="1">
      <c r="A187" s="199"/>
      <c r="B187" s="299"/>
      <c r="C187" s="406"/>
      <c r="D187" s="405"/>
      <c r="E187" s="403"/>
      <c r="F187" s="254"/>
      <c r="G187" s="255"/>
      <c r="H187" s="202"/>
      <c r="I187" s="256"/>
      <c r="J187" s="224"/>
    </row>
    <row r="188" spans="1:10" ht="7.5" customHeight="1">
      <c r="A188" s="199"/>
      <c r="B188" s="443" t="s">
        <v>476</v>
      </c>
      <c r="C188" s="425"/>
      <c r="D188" s="404"/>
      <c r="E188" s="401"/>
      <c r="F188" s="404"/>
      <c r="G188" s="401"/>
      <c r="H188" s="444"/>
      <c r="I188" s="202"/>
      <c r="J188" s="224"/>
    </row>
    <row r="189" spans="1:10" ht="7.5" customHeight="1">
      <c r="A189" s="199"/>
      <c r="B189" s="296"/>
      <c r="C189" s="403"/>
      <c r="D189" s="405"/>
      <c r="E189" s="403"/>
      <c r="F189" s="405"/>
      <c r="G189" s="403"/>
      <c r="H189" s="405"/>
      <c r="I189" s="202"/>
      <c r="J189" s="224"/>
    </row>
    <row r="190" spans="1:10" ht="7.5" customHeight="1">
      <c r="A190" s="199"/>
      <c r="B190" s="443" t="s">
        <v>477</v>
      </c>
      <c r="C190" s="425"/>
      <c r="D190" s="404"/>
      <c r="E190" s="401"/>
      <c r="F190" s="404"/>
      <c r="G190" s="401"/>
      <c r="H190" s="407"/>
      <c r="I190" s="400"/>
      <c r="J190" s="224"/>
    </row>
    <row r="191" spans="1:10" ht="7.5" customHeight="1">
      <c r="A191" s="199"/>
      <c r="B191" s="296"/>
      <c r="C191" s="403"/>
      <c r="D191" s="405"/>
      <c r="E191" s="403"/>
      <c r="F191" s="405"/>
      <c r="G191" s="403"/>
      <c r="H191" s="405"/>
      <c r="I191" s="296"/>
      <c r="J191" s="224"/>
    </row>
    <row r="192" spans="1:10" ht="7.5" customHeight="1">
      <c r="A192" s="199"/>
      <c r="B192" s="443" t="s">
        <v>478</v>
      </c>
      <c r="C192" s="425"/>
      <c r="D192" s="400"/>
      <c r="E192" s="401"/>
      <c r="F192" s="398"/>
      <c r="G192" s="401"/>
      <c r="H192" s="407"/>
      <c r="I192" s="400"/>
      <c r="J192" s="224"/>
    </row>
    <row r="193" spans="1:10" ht="7.5" customHeight="1">
      <c r="A193" s="199"/>
      <c r="B193" s="296"/>
      <c r="C193" s="403"/>
      <c r="D193" s="296"/>
      <c r="E193" s="403"/>
      <c r="F193" s="405"/>
      <c r="G193" s="403"/>
      <c r="H193" s="405"/>
      <c r="I193" s="296"/>
      <c r="J193" s="224"/>
    </row>
    <row r="194" spans="1:10" ht="7.5" customHeight="1">
      <c r="A194" s="199"/>
      <c r="B194" s="443" t="s">
        <v>479</v>
      </c>
      <c r="C194" s="425"/>
      <c r="D194" s="404"/>
      <c r="E194" s="401"/>
      <c r="F194" s="398"/>
      <c r="G194" s="401"/>
      <c r="H194" s="407"/>
      <c r="I194" s="400"/>
      <c r="J194" s="224"/>
    </row>
    <row r="195" spans="1:10" ht="7.5" customHeight="1">
      <c r="A195" s="199"/>
      <c r="B195" s="296"/>
      <c r="C195" s="403"/>
      <c r="D195" s="405"/>
      <c r="E195" s="403"/>
      <c r="F195" s="405"/>
      <c r="G195" s="403"/>
      <c r="H195" s="405"/>
      <c r="I195" s="296"/>
      <c r="J195" s="224"/>
    </row>
    <row r="196" spans="1:10" ht="7.5" customHeight="1">
      <c r="A196" s="199"/>
      <c r="B196" s="443" t="s">
        <v>480</v>
      </c>
      <c r="C196" s="425"/>
      <c r="D196" s="404"/>
      <c r="E196" s="401"/>
      <c r="F196" s="398"/>
      <c r="G196" s="401"/>
      <c r="H196" s="398"/>
      <c r="I196" s="400"/>
      <c r="J196" s="224"/>
    </row>
    <row r="197" spans="1:10" ht="7.5" customHeight="1">
      <c r="A197" s="199"/>
      <c r="B197" s="296"/>
      <c r="C197" s="403"/>
      <c r="D197" s="405"/>
      <c r="E197" s="403"/>
      <c r="F197" s="405"/>
      <c r="G197" s="403"/>
      <c r="H197" s="405"/>
      <c r="I197" s="296"/>
      <c r="J197" s="224"/>
    </row>
    <row r="198" spans="1:10" ht="7.5" customHeight="1">
      <c r="A198" s="199"/>
      <c r="D198" s="404"/>
      <c r="E198" s="401"/>
      <c r="F198" s="398"/>
      <c r="G198" s="401"/>
      <c r="H198" s="398"/>
      <c r="I198" s="400"/>
      <c r="J198" s="224"/>
    </row>
    <row r="199" spans="1:10" ht="7.5" customHeight="1">
      <c r="A199" s="199"/>
      <c r="D199" s="405"/>
      <c r="E199" s="403"/>
      <c r="F199" s="405"/>
      <c r="G199" s="403"/>
      <c r="H199" s="405"/>
      <c r="I199" s="296"/>
      <c r="J199" s="224"/>
    </row>
    <row r="200" spans="1:10" ht="7.5" customHeight="1">
      <c r="A200" s="199"/>
      <c r="B200" s="400"/>
      <c r="C200" s="401"/>
      <c r="D200" s="404"/>
      <c r="E200" s="401"/>
      <c r="F200" s="404"/>
      <c r="G200" s="401"/>
      <c r="H200" s="444"/>
      <c r="I200" s="202"/>
      <c r="J200" s="224"/>
    </row>
    <row r="201" spans="1:10" ht="7.5" customHeight="1">
      <c r="A201" s="199"/>
      <c r="B201" s="296"/>
      <c r="C201" s="403"/>
      <c r="D201" s="405"/>
      <c r="E201" s="403"/>
      <c r="F201" s="405"/>
      <c r="G201" s="403"/>
      <c r="H201" s="405"/>
      <c r="I201" s="202"/>
      <c r="J201" s="224"/>
    </row>
    <row r="202" spans="1:10" ht="7.5" customHeight="1">
      <c r="A202" s="199"/>
      <c r="B202" s="441"/>
      <c r="C202" s="442"/>
      <c r="D202" s="404"/>
      <c r="E202" s="401"/>
      <c r="F202" s="404"/>
      <c r="G202" s="401"/>
      <c r="H202" s="407"/>
      <c r="I202" s="400"/>
      <c r="J202" s="224"/>
    </row>
    <row r="203" spans="1:10" ht="7.5" customHeight="1">
      <c r="A203" s="199"/>
      <c r="B203" s="296"/>
      <c r="C203" s="403"/>
      <c r="D203" s="405"/>
      <c r="E203" s="403"/>
      <c r="F203" s="405"/>
      <c r="G203" s="403"/>
      <c r="H203" s="405"/>
      <c r="I203" s="296"/>
      <c r="J203" s="224"/>
    </row>
    <row r="204" spans="1:10" ht="7.5" customHeight="1">
      <c r="A204" s="199"/>
      <c r="B204" s="400"/>
      <c r="C204" s="401"/>
      <c r="D204" s="404"/>
      <c r="E204" s="401"/>
      <c r="F204" s="398"/>
      <c r="G204" s="401"/>
      <c r="H204" s="407"/>
      <c r="I204" s="400"/>
      <c r="J204" s="224"/>
    </row>
    <row r="205" spans="1:10" ht="7.5" customHeight="1">
      <c r="A205" s="199"/>
      <c r="B205" s="296"/>
      <c r="C205" s="403"/>
      <c r="D205" s="405"/>
      <c r="E205" s="403"/>
      <c r="F205" s="405"/>
      <c r="G205" s="403"/>
      <c r="H205" s="405"/>
      <c r="I205" s="296"/>
      <c r="J205" s="224"/>
    </row>
    <row r="206" spans="1:10" ht="7.5" customHeight="1">
      <c r="A206" s="199"/>
      <c r="B206" s="400"/>
      <c r="C206" s="401"/>
      <c r="D206" s="404"/>
      <c r="E206" s="401"/>
      <c r="F206" s="398"/>
      <c r="G206" s="401"/>
      <c r="H206" s="407"/>
      <c r="I206" s="400"/>
      <c r="J206" s="224"/>
    </row>
    <row r="207" spans="1:10" ht="7.5" customHeight="1">
      <c r="A207" s="199"/>
      <c r="B207" s="296"/>
      <c r="C207" s="403"/>
      <c r="D207" s="405"/>
      <c r="E207" s="403"/>
      <c r="F207" s="405"/>
      <c r="G207" s="403"/>
      <c r="H207" s="405"/>
      <c r="I207" s="296"/>
      <c r="J207" s="224"/>
    </row>
    <row r="208" spans="1:10" ht="7.5" customHeight="1">
      <c r="A208" s="199"/>
      <c r="B208" s="400"/>
      <c r="C208" s="401"/>
      <c r="D208" s="404"/>
      <c r="E208" s="401"/>
      <c r="F208" s="398"/>
      <c r="G208" s="401"/>
      <c r="H208" s="398"/>
      <c r="I208" s="400"/>
      <c r="J208" s="224"/>
    </row>
    <row r="209" spans="1:10" ht="7.5" customHeight="1">
      <c r="A209" s="199"/>
      <c r="B209" s="296"/>
      <c r="C209" s="403"/>
      <c r="D209" s="405"/>
      <c r="E209" s="403"/>
      <c r="F209" s="405"/>
      <c r="G209" s="403"/>
      <c r="H209" s="405"/>
      <c r="I209" s="296"/>
      <c r="J209" s="224"/>
    </row>
    <row r="210" spans="1:10" ht="7.5" customHeight="1">
      <c r="A210" s="199"/>
      <c r="B210" s="441"/>
      <c r="C210" s="442"/>
      <c r="D210" s="404"/>
      <c r="E210" s="401"/>
      <c r="F210" s="398"/>
      <c r="G210" s="401"/>
      <c r="H210" s="429" t="s">
        <v>481</v>
      </c>
      <c r="I210" s="323"/>
      <c r="J210" s="224"/>
    </row>
    <row r="211" spans="1:10" ht="7.5" customHeight="1">
      <c r="A211" s="199"/>
      <c r="B211" s="296"/>
      <c r="C211" s="403"/>
      <c r="D211" s="405"/>
      <c r="E211" s="403"/>
      <c r="F211" s="405"/>
      <c r="G211" s="403"/>
      <c r="H211" s="409"/>
      <c r="I211" s="299"/>
      <c r="J211" s="224"/>
    </row>
    <row r="212" spans="1:10" ht="7.5" customHeight="1">
      <c r="A212" s="199"/>
      <c r="B212" s="400"/>
      <c r="C212" s="401"/>
      <c r="D212" s="404"/>
      <c r="E212" s="401"/>
      <c r="F212" s="398"/>
      <c r="G212" s="401"/>
      <c r="H212" s="409"/>
      <c r="I212" s="299"/>
      <c r="J212" s="224"/>
    </row>
    <row r="213" spans="1:10" ht="7.5" customHeight="1">
      <c r="A213" s="199"/>
      <c r="B213" s="296"/>
      <c r="C213" s="403"/>
      <c r="D213" s="405"/>
      <c r="E213" s="403"/>
      <c r="F213" s="405"/>
      <c r="G213" s="403"/>
      <c r="H213" s="409"/>
      <c r="I213" s="299"/>
      <c r="J213" s="224"/>
    </row>
    <row r="214" spans="1:10" ht="7.5" customHeight="1">
      <c r="A214" s="199"/>
      <c r="B214" s="400"/>
      <c r="C214" s="401"/>
      <c r="D214" s="404"/>
      <c r="E214" s="401"/>
      <c r="F214" s="398"/>
      <c r="G214" s="401"/>
      <c r="H214" s="409"/>
      <c r="I214" s="299"/>
      <c r="J214" s="224"/>
    </row>
    <row r="215" spans="1:10" ht="7.5" customHeight="1">
      <c r="A215" s="199"/>
      <c r="B215" s="296"/>
      <c r="C215" s="403"/>
      <c r="D215" s="405"/>
      <c r="E215" s="403"/>
      <c r="F215" s="405"/>
      <c r="G215" s="403"/>
      <c r="H215" s="409"/>
      <c r="I215" s="299"/>
      <c r="J215" s="224"/>
    </row>
    <row r="216" spans="1:10" ht="7.5" customHeight="1">
      <c r="A216" s="199"/>
      <c r="B216" s="400"/>
      <c r="C216" s="401"/>
      <c r="D216" s="404"/>
      <c r="E216" s="401"/>
      <c r="F216" s="398"/>
      <c r="G216" s="401"/>
      <c r="H216" s="409"/>
      <c r="I216" s="299"/>
      <c r="J216" s="224"/>
    </row>
    <row r="217" spans="1:10" ht="7.5" customHeight="1">
      <c r="A217" s="199"/>
      <c r="B217" s="296"/>
      <c r="C217" s="403"/>
      <c r="D217" s="405"/>
      <c r="E217" s="403"/>
      <c r="F217" s="405"/>
      <c r="G217" s="403"/>
      <c r="H217" s="409"/>
      <c r="I217" s="299"/>
      <c r="J217" s="224"/>
    </row>
    <row r="218" spans="1:10" ht="7.5" customHeight="1">
      <c r="A218" s="199"/>
      <c r="B218" s="441"/>
      <c r="C218" s="442"/>
      <c r="D218" s="404"/>
      <c r="E218" s="401"/>
      <c r="F218" s="398"/>
      <c r="G218" s="401"/>
      <c r="H218" s="409"/>
      <c r="I218" s="299"/>
      <c r="J218" s="224"/>
    </row>
    <row r="219" spans="1:10" ht="7.5" customHeight="1">
      <c r="A219" s="199"/>
      <c r="B219" s="296"/>
      <c r="C219" s="403"/>
      <c r="D219" s="405"/>
      <c r="E219" s="403"/>
      <c r="F219" s="405"/>
      <c r="G219" s="403"/>
      <c r="H219" s="409"/>
      <c r="I219" s="299"/>
      <c r="J219" s="224"/>
    </row>
    <row r="220" spans="1:10" ht="7.5" customHeight="1">
      <c r="A220" s="199"/>
      <c r="B220" s="400"/>
      <c r="C220" s="401"/>
      <c r="D220" s="404"/>
      <c r="E220" s="401"/>
      <c r="F220" s="398"/>
      <c r="G220" s="401"/>
      <c r="H220" s="409"/>
      <c r="I220" s="299"/>
      <c r="J220" s="224"/>
    </row>
    <row r="221" spans="1:10" ht="7.5" customHeight="1">
      <c r="A221" s="199"/>
      <c r="B221" s="296"/>
      <c r="C221" s="403"/>
      <c r="D221" s="409"/>
      <c r="E221" s="406"/>
      <c r="F221" s="405"/>
      <c r="G221" s="403"/>
      <c r="H221" s="405"/>
      <c r="I221" s="296"/>
      <c r="J221" s="224"/>
    </row>
    <row r="222" spans="1:10" ht="7.5" customHeight="1">
      <c r="A222" s="199"/>
      <c r="B222" s="400"/>
      <c r="C222" s="401"/>
      <c r="D222" s="404"/>
      <c r="E222" s="401"/>
      <c r="F222" s="398"/>
      <c r="G222" s="401"/>
      <c r="H222" s="407"/>
      <c r="I222" s="400"/>
      <c r="J222" s="224"/>
    </row>
    <row r="223" spans="1:10" ht="7.5" customHeight="1">
      <c r="A223" s="199"/>
      <c r="B223" s="296"/>
      <c r="C223" s="403"/>
      <c r="D223" s="405"/>
      <c r="E223" s="403"/>
      <c r="F223" s="405"/>
      <c r="G223" s="403"/>
      <c r="H223" s="405"/>
      <c r="I223" s="296"/>
      <c r="J223" s="224"/>
    </row>
    <row r="224" spans="1:10" ht="7.5" customHeight="1">
      <c r="A224" s="199"/>
      <c r="B224" s="400"/>
      <c r="C224" s="401"/>
      <c r="D224" s="404"/>
      <c r="E224" s="401"/>
      <c r="F224" s="398"/>
      <c r="G224" s="401"/>
      <c r="H224" s="408" t="s">
        <v>482</v>
      </c>
      <c r="I224" s="323"/>
      <c r="J224" s="224"/>
    </row>
    <row r="225" spans="1:10" ht="7.5" customHeight="1">
      <c r="A225" s="199"/>
      <c r="B225" s="296"/>
      <c r="C225" s="403"/>
      <c r="D225" s="405"/>
      <c r="E225" s="403"/>
      <c r="F225" s="405"/>
      <c r="G225" s="403"/>
      <c r="H225" s="409"/>
      <c r="I225" s="299"/>
      <c r="J225" s="224"/>
    </row>
    <row r="226" spans="1:10" ht="7.5" customHeight="1">
      <c r="A226" s="199"/>
      <c r="B226" s="201"/>
      <c r="C226" s="257"/>
      <c r="D226" s="398"/>
      <c r="E226" s="401"/>
      <c r="F226" s="398"/>
      <c r="G226" s="401"/>
      <c r="H226" s="409"/>
      <c r="I226" s="299"/>
      <c r="J226" s="224"/>
    </row>
    <row r="227" spans="1:10" ht="7.5" customHeight="1">
      <c r="A227" s="199"/>
      <c r="B227" s="258"/>
      <c r="C227" s="255"/>
      <c r="D227" s="405"/>
      <c r="E227" s="403"/>
      <c r="F227" s="405"/>
      <c r="G227" s="403"/>
      <c r="H227" s="409"/>
      <c r="I227" s="299"/>
      <c r="J227" s="224"/>
    </row>
    <row r="228" spans="1:10" ht="7.5" customHeight="1">
      <c r="A228" s="199"/>
      <c r="B228" s="259"/>
      <c r="C228" s="260"/>
      <c r="D228" s="398"/>
      <c r="E228" s="401"/>
      <c r="F228" s="398"/>
      <c r="G228" s="401"/>
      <c r="H228" s="398"/>
      <c r="I228" s="400"/>
      <c r="J228" s="224"/>
    </row>
    <row r="229" spans="1:10" ht="7.5" customHeight="1">
      <c r="A229" s="199"/>
      <c r="B229" s="258"/>
      <c r="C229" s="255"/>
      <c r="D229" s="405"/>
      <c r="E229" s="403"/>
      <c r="F229" s="405"/>
      <c r="G229" s="403"/>
      <c r="H229" s="405"/>
      <c r="I229" s="296"/>
      <c r="J229" s="224"/>
    </row>
    <row r="230" spans="1:10" ht="7.5" customHeight="1">
      <c r="A230" s="199"/>
      <c r="B230" s="400"/>
      <c r="C230" s="401"/>
      <c r="D230" s="404"/>
      <c r="E230" s="401"/>
      <c r="F230" s="398"/>
      <c r="G230" s="401"/>
      <c r="H230" s="398"/>
      <c r="I230" s="400"/>
      <c r="J230" s="224"/>
    </row>
    <row r="231" spans="1:10" ht="7.5" customHeight="1">
      <c r="A231" s="199"/>
      <c r="B231" s="296"/>
      <c r="C231" s="403"/>
      <c r="D231" s="405"/>
      <c r="E231" s="403"/>
      <c r="F231" s="405"/>
      <c r="G231" s="403"/>
      <c r="H231" s="405"/>
      <c r="I231" s="296"/>
      <c r="J231" s="224"/>
    </row>
    <row r="232" spans="1:10" ht="7.5" customHeight="1">
      <c r="A232" s="199"/>
      <c r="B232" s="400"/>
      <c r="C232" s="401"/>
      <c r="D232" s="209"/>
      <c r="E232" s="209"/>
      <c r="F232" s="398"/>
      <c r="G232" s="401"/>
      <c r="H232" s="398"/>
      <c r="I232" s="400"/>
      <c r="J232" s="224"/>
    </row>
    <row r="233" spans="1:10" ht="7.5" customHeight="1">
      <c r="A233" s="199"/>
      <c r="B233" s="299"/>
      <c r="C233" s="406"/>
      <c r="D233" s="209"/>
      <c r="E233" s="209"/>
      <c r="F233" s="405"/>
      <c r="G233" s="403"/>
      <c r="H233" s="405"/>
      <c r="I233" s="296"/>
      <c r="J233" s="224"/>
    </row>
    <row r="234" spans="1:10" ht="7.5" customHeight="1">
      <c r="A234" s="199"/>
      <c r="B234" s="400"/>
      <c r="C234" s="401"/>
      <c r="D234" s="404"/>
      <c r="E234" s="401"/>
      <c r="F234" s="398"/>
      <c r="G234" s="401"/>
      <c r="H234" s="398"/>
      <c r="I234" s="400"/>
      <c r="J234" s="224"/>
    </row>
    <row r="235" spans="1:10" ht="7.5" customHeight="1">
      <c r="A235" s="199"/>
      <c r="B235" s="296"/>
      <c r="C235" s="403"/>
      <c r="D235" s="405"/>
      <c r="E235" s="403"/>
      <c r="F235" s="405"/>
      <c r="G235" s="403"/>
      <c r="H235" s="405"/>
      <c r="I235" s="296"/>
      <c r="J235" s="224"/>
    </row>
    <row r="236" spans="1:10" ht="7.5" customHeight="1">
      <c r="A236" s="199"/>
      <c r="B236" s="400"/>
      <c r="C236" s="401"/>
      <c r="D236" s="398"/>
      <c r="E236" s="401"/>
      <c r="F236" s="398"/>
      <c r="G236" s="401"/>
      <c r="H236" s="398"/>
      <c r="I236" s="400"/>
      <c r="J236" s="224"/>
    </row>
    <row r="237" spans="1:10" ht="7.5" customHeight="1">
      <c r="A237" s="199"/>
      <c r="B237" s="299"/>
      <c r="C237" s="406"/>
      <c r="D237" s="405"/>
      <c r="E237" s="403"/>
      <c r="F237" s="405"/>
      <c r="G237" s="403"/>
      <c r="H237" s="405"/>
      <c r="I237" s="296"/>
      <c r="J237" s="224"/>
    </row>
    <row r="238" spans="1:10" ht="7.5" customHeight="1">
      <c r="A238" s="199"/>
      <c r="B238" s="400"/>
      <c r="C238" s="401"/>
      <c r="D238" s="398"/>
      <c r="E238" s="401"/>
      <c r="F238" s="398"/>
      <c r="G238" s="401"/>
      <c r="H238" s="398"/>
      <c r="I238" s="400"/>
      <c r="J238" s="224"/>
    </row>
    <row r="239" spans="1:10" ht="7.5" customHeight="1">
      <c r="A239" s="199"/>
      <c r="B239" s="296"/>
      <c r="C239" s="403"/>
      <c r="D239" s="405"/>
      <c r="E239" s="403"/>
      <c r="F239" s="405"/>
      <c r="G239" s="403"/>
      <c r="H239" s="405"/>
      <c r="I239" s="296"/>
      <c r="J239" s="224"/>
    </row>
    <row r="240" spans="1:10" ht="7.5" customHeight="1">
      <c r="A240" s="199"/>
      <c r="B240" s="400"/>
      <c r="C240" s="401"/>
      <c r="D240" s="398"/>
      <c r="E240" s="401"/>
      <c r="F240" s="398"/>
      <c r="G240" s="401"/>
      <c r="H240" s="398"/>
      <c r="I240" s="400"/>
      <c r="J240" s="224"/>
    </row>
    <row r="241" spans="1:10" ht="7.5" customHeight="1">
      <c r="A241" s="199"/>
      <c r="B241" s="311"/>
      <c r="C241" s="402"/>
      <c r="D241" s="399"/>
      <c r="E241" s="402"/>
      <c r="F241" s="399"/>
      <c r="G241" s="402"/>
      <c r="H241" s="399"/>
      <c r="I241" s="311"/>
      <c r="J241" s="224"/>
    </row>
    <row r="242" spans="1:10" ht="11.25" customHeight="1">
      <c r="A242" s="199"/>
      <c r="B242" s="229" t="s">
        <v>4</v>
      </c>
      <c r="C242" s="229"/>
      <c r="D242" s="261"/>
      <c r="E242" s="198"/>
      <c r="F242" s="229"/>
      <c r="G242" s="229"/>
      <c r="H242" s="373" t="s">
        <v>53</v>
      </c>
      <c r="I242" s="301"/>
      <c r="J242" s="230"/>
    </row>
    <row r="243" spans="1:10" ht="11.25" customHeight="1">
      <c r="A243" s="199"/>
      <c r="B243" s="231"/>
      <c r="C243" s="231"/>
      <c r="D243" s="232"/>
      <c r="E243" s="233"/>
      <c r="F243" s="231"/>
      <c r="G243" s="231"/>
      <c r="H243" s="296"/>
      <c r="I243" s="296"/>
      <c r="J243" s="230"/>
    </row>
    <row r="244" spans="1:10" ht="11.25" customHeight="1">
      <c r="A244" s="199"/>
      <c r="B244" s="374" t="s">
        <v>483</v>
      </c>
      <c r="C244" s="323"/>
      <c r="D244" s="323"/>
      <c r="E244" s="323"/>
      <c r="F244" s="323"/>
      <c r="G244" s="323"/>
      <c r="H244" s="323"/>
      <c r="I244" s="323"/>
      <c r="J244" s="72"/>
    </row>
  </sheetData>
  <sheetProtection password="FB1E" sheet="1" objects="1" scenarios="1"/>
  <mergeCells count="697">
    <mergeCell ref="B15:B16"/>
    <mergeCell ref="C15:C16"/>
    <mergeCell ref="D15:D16"/>
    <mergeCell ref="E15:E16"/>
    <mergeCell ref="F15:F16"/>
    <mergeCell ref="G15:G16"/>
    <mergeCell ref="I15:I16"/>
    <mergeCell ref="B17:B18"/>
    <mergeCell ref="C17:C18"/>
    <mergeCell ref="D17:D18"/>
    <mergeCell ref="E17:E18"/>
    <mergeCell ref="F17:F18"/>
    <mergeCell ref="G17:G18"/>
    <mergeCell ref="H17:H18"/>
    <mergeCell ref="J1:J2"/>
    <mergeCell ref="H3:I14"/>
    <mergeCell ref="B1:C1"/>
    <mergeCell ref="F1:I1"/>
    <mergeCell ref="B3:B4"/>
    <mergeCell ref="C3:C4"/>
    <mergeCell ref="D3:D4"/>
    <mergeCell ref="E3:E4"/>
    <mergeCell ref="F3:G4"/>
    <mergeCell ref="E7:E8"/>
    <mergeCell ref="F7:F8"/>
    <mergeCell ref="E9:E10"/>
    <mergeCell ref="F9:F10"/>
    <mergeCell ref="G9:G10"/>
    <mergeCell ref="E11:E12"/>
    <mergeCell ref="F11:F12"/>
    <mergeCell ref="G11:G12"/>
    <mergeCell ref="B5:B6"/>
    <mergeCell ref="C5:C6"/>
    <mergeCell ref="D5:D6"/>
    <mergeCell ref="E5:E6"/>
    <mergeCell ref="F5:F6"/>
    <mergeCell ref="G5:G6"/>
    <mergeCell ref="B7:B8"/>
    <mergeCell ref="G7:G8"/>
    <mergeCell ref="B11:B12"/>
    <mergeCell ref="B13:B14"/>
    <mergeCell ref="C13:C14"/>
    <mergeCell ref="D13:D14"/>
    <mergeCell ref="E13:E14"/>
    <mergeCell ref="F13:F14"/>
    <mergeCell ref="G13:G14"/>
    <mergeCell ref="C7:C8"/>
    <mergeCell ref="D7:D8"/>
    <mergeCell ref="B9:B10"/>
    <mergeCell ref="C9:C10"/>
    <mergeCell ref="D9:D10"/>
    <mergeCell ref="C11:C12"/>
    <mergeCell ref="D11:D12"/>
    <mergeCell ref="H27:H28"/>
    <mergeCell ref="I27:I28"/>
    <mergeCell ref="C23:C24"/>
    <mergeCell ref="D23:D24"/>
    <mergeCell ref="E23:E24"/>
    <mergeCell ref="F23:F24"/>
    <mergeCell ref="G23:G24"/>
    <mergeCell ref="H23:H24"/>
    <mergeCell ref="I23:I24"/>
    <mergeCell ref="H25:H26"/>
    <mergeCell ref="I25:I26"/>
    <mergeCell ref="B27:B28"/>
    <mergeCell ref="B29:B30"/>
    <mergeCell ref="C29:C30"/>
    <mergeCell ref="D29:D30"/>
    <mergeCell ref="E29:E30"/>
    <mergeCell ref="F29:F30"/>
    <mergeCell ref="G29:G30"/>
    <mergeCell ref="C31:C32"/>
    <mergeCell ref="D31:D32"/>
    <mergeCell ref="E31:E32"/>
    <mergeCell ref="F31:F32"/>
    <mergeCell ref="G31:G32"/>
    <mergeCell ref="C27:C28"/>
    <mergeCell ref="D27:D28"/>
    <mergeCell ref="E27:E28"/>
    <mergeCell ref="F27:F28"/>
    <mergeCell ref="G27:G28"/>
    <mergeCell ref="C35:C36"/>
    <mergeCell ref="D35:D36"/>
    <mergeCell ref="E35:E36"/>
    <mergeCell ref="F35:F36"/>
    <mergeCell ref="I35:I36"/>
    <mergeCell ref="H31:H32"/>
    <mergeCell ref="I31:I32"/>
    <mergeCell ref="B31:B32"/>
    <mergeCell ref="B33:B34"/>
    <mergeCell ref="C33:C34"/>
    <mergeCell ref="D33:D34"/>
    <mergeCell ref="E33:E34"/>
    <mergeCell ref="F33:F34"/>
    <mergeCell ref="G33:G34"/>
    <mergeCell ref="C19:C20"/>
    <mergeCell ref="D19:D20"/>
    <mergeCell ref="E19:E20"/>
    <mergeCell ref="F19:F20"/>
    <mergeCell ref="G19:G20"/>
    <mergeCell ref="H19:H20"/>
    <mergeCell ref="I19:I20"/>
    <mergeCell ref="B19:B20"/>
    <mergeCell ref="B21:B22"/>
    <mergeCell ref="C21:C22"/>
    <mergeCell ref="D21:D22"/>
    <mergeCell ref="E21:E22"/>
    <mergeCell ref="F21:F22"/>
    <mergeCell ref="G21:G22"/>
    <mergeCell ref="H21:H22"/>
    <mergeCell ref="I21:I22"/>
    <mergeCell ref="H47:H48"/>
    <mergeCell ref="I47:I48"/>
    <mergeCell ref="B23:B24"/>
    <mergeCell ref="B25:B26"/>
    <mergeCell ref="C25:C26"/>
    <mergeCell ref="D25:D26"/>
    <mergeCell ref="E25:E26"/>
    <mergeCell ref="F25:F26"/>
    <mergeCell ref="G25:G26"/>
    <mergeCell ref="H29:H30"/>
    <mergeCell ref="I29:I30"/>
    <mergeCell ref="H37:H38"/>
    <mergeCell ref="I37:I38"/>
    <mergeCell ref="B35:B36"/>
    <mergeCell ref="B37:B38"/>
    <mergeCell ref="C37:C38"/>
    <mergeCell ref="D37:D38"/>
    <mergeCell ref="E37:E38"/>
    <mergeCell ref="F37:F38"/>
    <mergeCell ref="G37:G38"/>
    <mergeCell ref="G35:G36"/>
    <mergeCell ref="H35:H36"/>
    <mergeCell ref="H33:H34"/>
    <mergeCell ref="I33:I34"/>
    <mergeCell ref="H49:H50"/>
    <mergeCell ref="I49:I50"/>
    <mergeCell ref="H51:H52"/>
    <mergeCell ref="I51:I52"/>
    <mergeCell ref="C41:C42"/>
    <mergeCell ref="D41:D42"/>
    <mergeCell ref="H41:H42"/>
    <mergeCell ref="I41:I42"/>
    <mergeCell ref="B45:B46"/>
    <mergeCell ref="B47:B48"/>
    <mergeCell ref="C47:C48"/>
    <mergeCell ref="D47:D48"/>
    <mergeCell ref="E47:E48"/>
    <mergeCell ref="F47:F48"/>
    <mergeCell ref="G47:G48"/>
    <mergeCell ref="E41:E42"/>
    <mergeCell ref="F41:F42"/>
    <mergeCell ref="C45:C46"/>
    <mergeCell ref="D45:D46"/>
    <mergeCell ref="E45:E46"/>
    <mergeCell ref="F45:F46"/>
    <mergeCell ref="G45:G46"/>
    <mergeCell ref="H45:H46"/>
    <mergeCell ref="I45:I46"/>
    <mergeCell ref="B49:B50"/>
    <mergeCell ref="B51:B52"/>
    <mergeCell ref="C51:C52"/>
    <mergeCell ref="D51:D52"/>
    <mergeCell ref="E51:E52"/>
    <mergeCell ref="F51:F52"/>
    <mergeCell ref="G51:G52"/>
    <mergeCell ref="C53:C54"/>
    <mergeCell ref="D53:D54"/>
    <mergeCell ref="E53:E54"/>
    <mergeCell ref="F53:F54"/>
    <mergeCell ref="G53:G54"/>
    <mergeCell ref="C49:C50"/>
    <mergeCell ref="D49:D50"/>
    <mergeCell ref="E49:E50"/>
    <mergeCell ref="F49:F50"/>
    <mergeCell ref="G49:G50"/>
    <mergeCell ref="H53:H54"/>
    <mergeCell ref="I53:I54"/>
    <mergeCell ref="B53:B54"/>
    <mergeCell ref="B55:B56"/>
    <mergeCell ref="C55:C56"/>
    <mergeCell ref="D55:D56"/>
    <mergeCell ref="E55:E56"/>
    <mergeCell ref="F55:F56"/>
    <mergeCell ref="G55:G56"/>
    <mergeCell ref="H55:H56"/>
    <mergeCell ref="I55:I56"/>
    <mergeCell ref="B39:B40"/>
    <mergeCell ref="C39:C40"/>
    <mergeCell ref="D39:D40"/>
    <mergeCell ref="E39:E40"/>
    <mergeCell ref="F39:F40"/>
    <mergeCell ref="G39:G40"/>
    <mergeCell ref="G41:G42"/>
    <mergeCell ref="H43:H44"/>
    <mergeCell ref="I43:I44"/>
    <mergeCell ref="B41:B42"/>
    <mergeCell ref="B43:B44"/>
    <mergeCell ref="C43:C44"/>
    <mergeCell ref="D43:D44"/>
    <mergeCell ref="E43:E44"/>
    <mergeCell ref="F43:F44"/>
    <mergeCell ref="G43:G44"/>
    <mergeCell ref="G78:G79"/>
    <mergeCell ref="I74:I75"/>
    <mergeCell ref="G57:G58"/>
    <mergeCell ref="H57:H58"/>
    <mergeCell ref="H59:I60"/>
    <mergeCell ref="B78:C79"/>
    <mergeCell ref="B80:C81"/>
    <mergeCell ref="D80:D81"/>
    <mergeCell ref="E80:F81"/>
    <mergeCell ref="D74:D75"/>
    <mergeCell ref="E74:F75"/>
    <mergeCell ref="B76:C77"/>
    <mergeCell ref="D76:D77"/>
    <mergeCell ref="E76:F77"/>
    <mergeCell ref="D78:D79"/>
    <mergeCell ref="E78:F79"/>
    <mergeCell ref="G80:G81"/>
    <mergeCell ref="E63:F63"/>
    <mergeCell ref="B64:C65"/>
    <mergeCell ref="I64:I65"/>
    <mergeCell ref="D64:D65"/>
    <mergeCell ref="E64:F65"/>
    <mergeCell ref="B66:C67"/>
    <mergeCell ref="D66:D67"/>
    <mergeCell ref="H92:H93"/>
    <mergeCell ref="I92:I93"/>
    <mergeCell ref="H94:H95"/>
    <mergeCell ref="I94:I95"/>
    <mergeCell ref="H96:H97"/>
    <mergeCell ref="I96:I97"/>
    <mergeCell ref="H104:H105"/>
    <mergeCell ref="E102:G103"/>
    <mergeCell ref="G82:G83"/>
    <mergeCell ref="G84:G85"/>
    <mergeCell ref="G86:G87"/>
    <mergeCell ref="H106:H107"/>
    <mergeCell ref="H108:H109"/>
    <mergeCell ref="H110:H111"/>
    <mergeCell ref="H112:H113"/>
    <mergeCell ref="H114:H115"/>
    <mergeCell ref="H116:H117"/>
    <mergeCell ref="H118:H119"/>
    <mergeCell ref="I106:I107"/>
    <mergeCell ref="I108:I109"/>
    <mergeCell ref="I110:I111"/>
    <mergeCell ref="I112:I113"/>
    <mergeCell ref="I114:I115"/>
    <mergeCell ref="I116:I117"/>
    <mergeCell ref="I118:I119"/>
    <mergeCell ref="H120:I121"/>
    <mergeCell ref="H98:H99"/>
    <mergeCell ref="I98:I99"/>
    <mergeCell ref="H100:H101"/>
    <mergeCell ref="I100:I101"/>
    <mergeCell ref="H102:H103"/>
    <mergeCell ref="I102:I103"/>
    <mergeCell ref="I104:I105"/>
    <mergeCell ref="B106:C107"/>
    <mergeCell ref="D106:D107"/>
    <mergeCell ref="B108:C109"/>
    <mergeCell ref="D108:D109"/>
    <mergeCell ref="B110:C111"/>
    <mergeCell ref="D110:D111"/>
    <mergeCell ref="D112:D113"/>
    <mergeCell ref="B112:C113"/>
    <mergeCell ref="B114:C115"/>
    <mergeCell ref="D114:D115"/>
    <mergeCell ref="B116:C117"/>
    <mergeCell ref="D116:D117"/>
    <mergeCell ref="B118:C119"/>
    <mergeCell ref="D118:D119"/>
    <mergeCell ref="E98:G99"/>
    <mergeCell ref="E100:G101"/>
    <mergeCell ref="B122:I122"/>
    <mergeCell ref="B123:C123"/>
    <mergeCell ref="F123:I123"/>
    <mergeCell ref="B124:C124"/>
    <mergeCell ref="E124:F124"/>
    <mergeCell ref="I125:I126"/>
    <mergeCell ref="I127:I128"/>
    <mergeCell ref="G131:G132"/>
    <mergeCell ref="G133:G134"/>
    <mergeCell ref="H133:H134"/>
    <mergeCell ref="I133:I134"/>
    <mergeCell ref="G127:G128"/>
    <mergeCell ref="H127:H128"/>
    <mergeCell ref="G129:G130"/>
    <mergeCell ref="H129:H130"/>
    <mergeCell ref="I129:I130"/>
    <mergeCell ref="H131:H132"/>
    <mergeCell ref="I131:I132"/>
    <mergeCell ref="B135:C136"/>
    <mergeCell ref="D135:D136"/>
    <mergeCell ref="E135:F136"/>
    <mergeCell ref="G135:G136"/>
    <mergeCell ref="H135:H136"/>
    <mergeCell ref="I135:I136"/>
    <mergeCell ref="B125:D128"/>
    <mergeCell ref="B129:C130"/>
    <mergeCell ref="D129:D130"/>
    <mergeCell ref="B131:C132"/>
    <mergeCell ref="D131:D132"/>
    <mergeCell ref="B133:C134"/>
    <mergeCell ref="D133:D134"/>
    <mergeCell ref="G125:G126"/>
    <mergeCell ref="H125:H126"/>
    <mergeCell ref="E125:F126"/>
    <mergeCell ref="E127:F128"/>
    <mergeCell ref="E129:F130"/>
    <mergeCell ref="E131:F132"/>
    <mergeCell ref="E133:F134"/>
    <mergeCell ref="G157:G158"/>
    <mergeCell ref="H157:H158"/>
    <mergeCell ref="E157:F158"/>
    <mergeCell ref="E159:F160"/>
    <mergeCell ref="G159:G160"/>
    <mergeCell ref="H159:H160"/>
    <mergeCell ref="I159:I160"/>
    <mergeCell ref="E153:F154"/>
    <mergeCell ref="G153:G154"/>
    <mergeCell ref="E155:F156"/>
    <mergeCell ref="G155:G156"/>
    <mergeCell ref="H155:H156"/>
    <mergeCell ref="I155:I156"/>
    <mergeCell ref="I157:I158"/>
    <mergeCell ref="H143:I154"/>
    <mergeCell ref="E147:F148"/>
    <mergeCell ref="G147:G148"/>
    <mergeCell ref="E145:F146"/>
    <mergeCell ref="G145:G146"/>
    <mergeCell ref="G161:G162"/>
    <mergeCell ref="H161:H162"/>
    <mergeCell ref="I161:I162"/>
    <mergeCell ref="B167:C168"/>
    <mergeCell ref="B169:C170"/>
    <mergeCell ref="I169:I170"/>
    <mergeCell ref="G165:G166"/>
    <mergeCell ref="H165:H166"/>
    <mergeCell ref="G163:G164"/>
    <mergeCell ref="H163:H164"/>
    <mergeCell ref="I163:I164"/>
    <mergeCell ref="I165:I166"/>
    <mergeCell ref="B179:C180"/>
    <mergeCell ref="D179:D180"/>
    <mergeCell ref="E179:F180"/>
    <mergeCell ref="G179:G180"/>
    <mergeCell ref="H179:H180"/>
    <mergeCell ref="I179:I180"/>
    <mergeCell ref="H181:I182"/>
    <mergeCell ref="B183:I183"/>
    <mergeCell ref="B184:C184"/>
    <mergeCell ref="F184:I184"/>
    <mergeCell ref="J184:J185"/>
    <mergeCell ref="B186:C187"/>
    <mergeCell ref="D186:D187"/>
    <mergeCell ref="E186:E187"/>
    <mergeCell ref="H167:H168"/>
    <mergeCell ref="H169:H170"/>
    <mergeCell ref="H171:H172"/>
    <mergeCell ref="I171:I172"/>
    <mergeCell ref="H173:H174"/>
    <mergeCell ref="I173:I174"/>
    <mergeCell ref="D167:D168"/>
    <mergeCell ref="E167:F172"/>
    <mergeCell ref="G167:G172"/>
    <mergeCell ref="I167:I168"/>
    <mergeCell ref="D169:D170"/>
    <mergeCell ref="D175:D176"/>
    <mergeCell ref="E175:F176"/>
    <mergeCell ref="H175:H176"/>
    <mergeCell ref="I175:I176"/>
    <mergeCell ref="B171:C172"/>
    <mergeCell ref="D171:D172"/>
    <mergeCell ref="B173:C174"/>
    <mergeCell ref="D173:D174"/>
    <mergeCell ref="E173:F174"/>
    <mergeCell ref="G173:G174"/>
    <mergeCell ref="G175:G176"/>
    <mergeCell ref="B175:C176"/>
    <mergeCell ref="B177:C178"/>
    <mergeCell ref="D177:D178"/>
    <mergeCell ref="E177:F178"/>
    <mergeCell ref="G177:G178"/>
    <mergeCell ref="H177:H178"/>
    <mergeCell ref="I177:I178"/>
    <mergeCell ref="B196:C197"/>
    <mergeCell ref="D196:D197"/>
    <mergeCell ref="D190:D191"/>
    <mergeCell ref="E190:E191"/>
    <mergeCell ref="H190:H191"/>
    <mergeCell ref="I190:I191"/>
    <mergeCell ref="G200:G201"/>
    <mergeCell ref="H200:H201"/>
    <mergeCell ref="D198:D199"/>
    <mergeCell ref="E198:E199"/>
    <mergeCell ref="F198:F199"/>
    <mergeCell ref="G198:G199"/>
    <mergeCell ref="H198:H199"/>
    <mergeCell ref="I198:I199"/>
    <mergeCell ref="I192:I193"/>
    <mergeCell ref="I194:I195"/>
    <mergeCell ref="E196:E197"/>
    <mergeCell ref="F196:F197"/>
    <mergeCell ref="G196:G197"/>
    <mergeCell ref="H196:H197"/>
    <mergeCell ref="I196:I197"/>
    <mergeCell ref="E200:E201"/>
    <mergeCell ref="F200:F201"/>
    <mergeCell ref="B192:C193"/>
    <mergeCell ref="D192:D193"/>
    <mergeCell ref="E192:E193"/>
    <mergeCell ref="F192:F193"/>
    <mergeCell ref="G192:G193"/>
    <mergeCell ref="H192:H193"/>
    <mergeCell ref="B194:C195"/>
    <mergeCell ref="D194:D195"/>
    <mergeCell ref="E194:E195"/>
    <mergeCell ref="F194:F195"/>
    <mergeCell ref="G194:G195"/>
    <mergeCell ref="H194:H195"/>
    <mergeCell ref="F190:F191"/>
    <mergeCell ref="G190:G191"/>
    <mergeCell ref="B188:C189"/>
    <mergeCell ref="D188:D189"/>
    <mergeCell ref="E188:E189"/>
    <mergeCell ref="F188:F189"/>
    <mergeCell ref="G188:G189"/>
    <mergeCell ref="H188:H189"/>
    <mergeCell ref="B190:C191"/>
    <mergeCell ref="H206:H207"/>
    <mergeCell ref="I206:I207"/>
    <mergeCell ref="C200:C201"/>
    <mergeCell ref="D200:D201"/>
    <mergeCell ref="B202:B203"/>
    <mergeCell ref="C202:C203"/>
    <mergeCell ref="D202:D203"/>
    <mergeCell ref="B204:B205"/>
    <mergeCell ref="C204:C205"/>
    <mergeCell ref="E202:E203"/>
    <mergeCell ref="F202:F203"/>
    <mergeCell ref="G202:G203"/>
    <mergeCell ref="H202:H203"/>
    <mergeCell ref="I202:I203"/>
    <mergeCell ref="D204:D205"/>
    <mergeCell ref="E204:E205"/>
    <mergeCell ref="F204:F205"/>
    <mergeCell ref="G204:G205"/>
    <mergeCell ref="H204:H205"/>
    <mergeCell ref="I204:I205"/>
    <mergeCell ref="B200:B201"/>
    <mergeCell ref="B208:B209"/>
    <mergeCell ref="B210:B211"/>
    <mergeCell ref="C210:C211"/>
    <mergeCell ref="B206:B207"/>
    <mergeCell ref="C206:C207"/>
    <mergeCell ref="D206:D207"/>
    <mergeCell ref="E206:E207"/>
    <mergeCell ref="F206:F207"/>
    <mergeCell ref="G206:G207"/>
    <mergeCell ref="E214:E215"/>
    <mergeCell ref="F214:F215"/>
    <mergeCell ref="G214:G215"/>
    <mergeCell ref="F216:F217"/>
    <mergeCell ref="G216:G217"/>
    <mergeCell ref="B212:B213"/>
    <mergeCell ref="C212:C213"/>
    <mergeCell ref="B214:B215"/>
    <mergeCell ref="C214:C215"/>
    <mergeCell ref="B216:B217"/>
    <mergeCell ref="C216:C217"/>
    <mergeCell ref="B218:B219"/>
    <mergeCell ref="C218:C219"/>
    <mergeCell ref="B220:B221"/>
    <mergeCell ref="C220:C221"/>
    <mergeCell ref="B222:B223"/>
    <mergeCell ref="C222:C223"/>
    <mergeCell ref="B224:B225"/>
    <mergeCell ref="C224:C225"/>
    <mergeCell ref="D218:D219"/>
    <mergeCell ref="D224:D225"/>
    <mergeCell ref="E218:E219"/>
    <mergeCell ref="F218:F219"/>
    <mergeCell ref="G218:G219"/>
    <mergeCell ref="C208:C209"/>
    <mergeCell ref="E208:E209"/>
    <mergeCell ref="F208:F209"/>
    <mergeCell ref="G208:G209"/>
    <mergeCell ref="H208:H209"/>
    <mergeCell ref="I208:I209"/>
    <mergeCell ref="H210:I221"/>
    <mergeCell ref="F220:F221"/>
    <mergeCell ref="G220:G221"/>
    <mergeCell ref="D210:D211"/>
    <mergeCell ref="E210:E211"/>
    <mergeCell ref="F210:F211"/>
    <mergeCell ref="G210:G211"/>
    <mergeCell ref="D208:D209"/>
    <mergeCell ref="D212:D213"/>
    <mergeCell ref="E212:E213"/>
    <mergeCell ref="F212:F213"/>
    <mergeCell ref="D216:D217"/>
    <mergeCell ref="E216:E217"/>
    <mergeCell ref="G212:G213"/>
    <mergeCell ref="D214:D215"/>
    <mergeCell ref="G66:G67"/>
    <mergeCell ref="H66:H67"/>
    <mergeCell ref="I66:I67"/>
    <mergeCell ref="G68:G69"/>
    <mergeCell ref="H68:H69"/>
    <mergeCell ref="I68:I69"/>
    <mergeCell ref="I57:I58"/>
    <mergeCell ref="B61:I61"/>
    <mergeCell ref="B62:C62"/>
    <mergeCell ref="F62:I62"/>
    <mergeCell ref="B63:C63"/>
    <mergeCell ref="E66:F67"/>
    <mergeCell ref="D68:D69"/>
    <mergeCell ref="B57:B58"/>
    <mergeCell ref="C57:C58"/>
    <mergeCell ref="D57:D58"/>
    <mergeCell ref="E57:E58"/>
    <mergeCell ref="F57:F58"/>
    <mergeCell ref="G64:G65"/>
    <mergeCell ref="H64:H65"/>
    <mergeCell ref="E68:F69"/>
    <mergeCell ref="B68:C69"/>
    <mergeCell ref="B70:C71"/>
    <mergeCell ref="D70:D71"/>
    <mergeCell ref="E70:F71"/>
    <mergeCell ref="G70:G71"/>
    <mergeCell ref="H70:H71"/>
    <mergeCell ref="I70:I71"/>
    <mergeCell ref="B72:C73"/>
    <mergeCell ref="D72:D73"/>
    <mergeCell ref="E72:F73"/>
    <mergeCell ref="G72:G73"/>
    <mergeCell ref="H72:H73"/>
    <mergeCell ref="I72:I73"/>
    <mergeCell ref="D90:D91"/>
    <mergeCell ref="H90:H91"/>
    <mergeCell ref="I90:I91"/>
    <mergeCell ref="B74:C75"/>
    <mergeCell ref="B82:C83"/>
    <mergeCell ref="D82:D83"/>
    <mergeCell ref="E82:F83"/>
    <mergeCell ref="B84:C85"/>
    <mergeCell ref="D84:D85"/>
    <mergeCell ref="E84:F85"/>
    <mergeCell ref="B86:C87"/>
    <mergeCell ref="D86:D87"/>
    <mergeCell ref="E86:F87"/>
    <mergeCell ref="B88:C89"/>
    <mergeCell ref="D88:D89"/>
    <mergeCell ref="E88:F89"/>
    <mergeCell ref="B90:C91"/>
    <mergeCell ref="G88:G89"/>
    <mergeCell ref="H78:I89"/>
    <mergeCell ref="G74:G75"/>
    <mergeCell ref="H74:H75"/>
    <mergeCell ref="G76:G77"/>
    <mergeCell ref="H76:H77"/>
    <mergeCell ref="I76:I77"/>
    <mergeCell ref="B92:C93"/>
    <mergeCell ref="D92:D93"/>
    <mergeCell ref="B94:C95"/>
    <mergeCell ref="D94:D95"/>
    <mergeCell ref="E94:G95"/>
    <mergeCell ref="D96:D97"/>
    <mergeCell ref="E96:G97"/>
    <mergeCell ref="B104:C105"/>
    <mergeCell ref="D104:D105"/>
    <mergeCell ref="E104:G105"/>
    <mergeCell ref="B96:C97"/>
    <mergeCell ref="B98:C99"/>
    <mergeCell ref="D98:D99"/>
    <mergeCell ref="B100:C101"/>
    <mergeCell ref="D100:D101"/>
    <mergeCell ref="B102:C103"/>
    <mergeCell ref="D102:D103"/>
    <mergeCell ref="H137:H138"/>
    <mergeCell ref="H139:H140"/>
    <mergeCell ref="B137:C138"/>
    <mergeCell ref="D137:D138"/>
    <mergeCell ref="E137:F138"/>
    <mergeCell ref="G137:G138"/>
    <mergeCell ref="I137:I138"/>
    <mergeCell ref="D139:D140"/>
    <mergeCell ref="I139:I140"/>
    <mergeCell ref="B139:C140"/>
    <mergeCell ref="B141:C142"/>
    <mergeCell ref="D141:D142"/>
    <mergeCell ref="E141:F142"/>
    <mergeCell ref="G141:G142"/>
    <mergeCell ref="B143:C144"/>
    <mergeCell ref="D143:D144"/>
    <mergeCell ref="B151:C152"/>
    <mergeCell ref="D151:D152"/>
    <mergeCell ref="B153:C154"/>
    <mergeCell ref="D153:D154"/>
    <mergeCell ref="B149:C150"/>
    <mergeCell ref="D149:D150"/>
    <mergeCell ref="E149:F150"/>
    <mergeCell ref="G149:G150"/>
    <mergeCell ref="E143:F144"/>
    <mergeCell ref="G143:G144"/>
    <mergeCell ref="B147:C148"/>
    <mergeCell ref="D147:D148"/>
    <mergeCell ref="B145:C146"/>
    <mergeCell ref="D145:D146"/>
    <mergeCell ref="B155:C156"/>
    <mergeCell ref="D155:D156"/>
    <mergeCell ref="B157:C158"/>
    <mergeCell ref="D157:D158"/>
    <mergeCell ref="D159:D160"/>
    <mergeCell ref="D165:D166"/>
    <mergeCell ref="E165:F166"/>
    <mergeCell ref="B163:C164"/>
    <mergeCell ref="D163:D164"/>
    <mergeCell ref="E163:F164"/>
    <mergeCell ref="B165:C166"/>
    <mergeCell ref="B159:C160"/>
    <mergeCell ref="B161:C162"/>
    <mergeCell ref="D161:D162"/>
    <mergeCell ref="E161:F162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C238:C239"/>
    <mergeCell ref="D238:D239"/>
    <mergeCell ref="E238:E239"/>
    <mergeCell ref="F238:F239"/>
    <mergeCell ref="G238:G239"/>
    <mergeCell ref="H238:H239"/>
    <mergeCell ref="I238:I239"/>
    <mergeCell ref="F222:F223"/>
    <mergeCell ref="G222:G223"/>
    <mergeCell ref="H222:H223"/>
    <mergeCell ref="I222:I223"/>
    <mergeCell ref="H224:I227"/>
    <mergeCell ref="D220:D221"/>
    <mergeCell ref="E220:E221"/>
    <mergeCell ref="D222:D223"/>
    <mergeCell ref="E222:E223"/>
    <mergeCell ref="E224:E225"/>
    <mergeCell ref="F224:F225"/>
    <mergeCell ref="G224:G225"/>
    <mergeCell ref="D226:D227"/>
    <mergeCell ref="E226:E227"/>
    <mergeCell ref="F226:F227"/>
    <mergeCell ref="G226:G227"/>
    <mergeCell ref="D228:D229"/>
    <mergeCell ref="E228:E229"/>
    <mergeCell ref="F228:F229"/>
    <mergeCell ref="G228:G229"/>
    <mergeCell ref="H228:H229"/>
    <mergeCell ref="I228:I229"/>
    <mergeCell ref="E230:E231"/>
    <mergeCell ref="F230:F231"/>
    <mergeCell ref="F232:F233"/>
    <mergeCell ref="G230:G231"/>
    <mergeCell ref="H230:H231"/>
    <mergeCell ref="G232:G233"/>
    <mergeCell ref="H232:H233"/>
    <mergeCell ref="B230:B231"/>
    <mergeCell ref="I230:I231"/>
    <mergeCell ref="C230:C231"/>
    <mergeCell ref="D230:D231"/>
    <mergeCell ref="B232:B233"/>
    <mergeCell ref="C232:C233"/>
    <mergeCell ref="B234:B235"/>
    <mergeCell ref="C234:C235"/>
    <mergeCell ref="D234:D235"/>
    <mergeCell ref="I232:I233"/>
    <mergeCell ref="G234:G235"/>
    <mergeCell ref="H234:H235"/>
    <mergeCell ref="I234:I235"/>
    <mergeCell ref="E234:E235"/>
    <mergeCell ref="F234:F235"/>
    <mergeCell ref="B244:I244"/>
    <mergeCell ref="H240:H241"/>
    <mergeCell ref="I240:I241"/>
    <mergeCell ref="H242:I243"/>
    <mergeCell ref="B238:B239"/>
    <mergeCell ref="B240:B241"/>
    <mergeCell ref="C240:C241"/>
    <mergeCell ref="D240:D241"/>
    <mergeCell ref="E240:E241"/>
    <mergeCell ref="F240:F241"/>
    <mergeCell ref="G240:G241"/>
  </mergeCells>
  <pageMargins left="0.78740157480314954" right="0" top="0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61"/>
  <sheetViews>
    <sheetView showGridLines="0" topLeftCell="B1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  <col min="21" max="24" width="3.7109375" hidden="1" customWidth="1"/>
    <col min="25" max="31" width="9.140625" hidden="1" customWidth="1"/>
  </cols>
  <sheetData>
    <row r="1" spans="1:27" ht="61.5" customHeight="1">
      <c r="A1" s="1"/>
      <c r="B1" s="384"/>
      <c r="C1" s="263"/>
      <c r="D1" s="2"/>
      <c r="E1" s="2"/>
      <c r="F1" s="2"/>
      <c r="G1" s="385" t="s">
        <v>484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5"/>
      <c r="U1" s="5"/>
      <c r="V1" s="5"/>
      <c r="W1" s="5"/>
      <c r="X1" s="5"/>
      <c r="Y1" s="5"/>
      <c r="Z1" s="5"/>
      <c r="AA1" s="5"/>
    </row>
    <row r="2" spans="1:27" ht="34.5" customHeight="1">
      <c r="A2" s="1"/>
      <c r="B2" s="495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5"/>
      <c r="U2" s="5"/>
      <c r="V2" s="5"/>
      <c r="W2" s="5"/>
      <c r="X2" s="5"/>
      <c r="Y2" s="5"/>
      <c r="Z2" s="5"/>
      <c r="AA2" s="5"/>
    </row>
    <row r="3" spans="1:27" ht="7.5" customHeight="1">
      <c r="A3" s="1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48"/>
      <c r="R3" s="48"/>
      <c r="S3" s="36"/>
      <c r="T3" s="15"/>
      <c r="U3" s="15"/>
      <c r="V3" s="15"/>
      <c r="W3" s="15"/>
      <c r="X3" s="15"/>
      <c r="Y3" s="15"/>
      <c r="Z3" s="15"/>
      <c r="AA3" s="15"/>
    </row>
    <row r="4" spans="1:27" ht="7.5" customHeight="1">
      <c r="A4" s="1"/>
      <c r="B4" s="52"/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4"/>
      <c r="R4" s="54"/>
      <c r="S4" s="54"/>
      <c r="T4" s="15"/>
      <c r="U4" s="15"/>
      <c r="V4" s="15"/>
      <c r="W4" s="15"/>
      <c r="X4" s="15"/>
      <c r="Y4" s="15"/>
      <c r="Z4" s="15"/>
      <c r="AA4" s="15"/>
    </row>
    <row r="5" spans="1:27" ht="7.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54"/>
      <c r="R5" s="54"/>
      <c r="S5" s="54"/>
      <c r="T5" s="15"/>
      <c r="U5" s="15"/>
      <c r="V5" s="15"/>
      <c r="W5" s="15"/>
      <c r="X5" s="15"/>
      <c r="Y5" s="15"/>
      <c r="Z5" s="15"/>
      <c r="AA5" s="15"/>
    </row>
    <row r="6" spans="1:27" ht="7.5" customHeight="1">
      <c r="A6" s="1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55"/>
      <c r="R6" s="55"/>
      <c r="S6" s="55"/>
      <c r="T6" s="15"/>
      <c r="U6" s="15"/>
      <c r="V6" s="15"/>
      <c r="W6" s="15"/>
      <c r="X6" s="15"/>
      <c r="Y6" s="15"/>
      <c r="Z6" s="15"/>
      <c r="AA6" s="15"/>
    </row>
    <row r="7" spans="1:27" ht="7.5" customHeight="1">
      <c r="A7" s="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55"/>
      <c r="R7" s="55"/>
      <c r="S7" s="55"/>
      <c r="T7" s="20"/>
      <c r="U7" s="20"/>
      <c r="V7" s="20"/>
      <c r="W7" s="20"/>
      <c r="X7" s="20"/>
      <c r="Y7" s="20"/>
      <c r="Z7" s="20"/>
      <c r="AA7" s="20"/>
    </row>
    <row r="8" spans="1:27" ht="7.5" customHeight="1">
      <c r="A8" s="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56"/>
      <c r="R8" s="56"/>
      <c r="S8" s="56"/>
      <c r="T8" s="20"/>
      <c r="U8" s="20"/>
      <c r="V8" s="20"/>
      <c r="W8" s="57"/>
      <c r="X8" s="58"/>
      <c r="Y8" s="58"/>
      <c r="Z8" s="20"/>
      <c r="AA8" s="20"/>
    </row>
    <row r="9" spans="1:27" ht="7.5" customHeight="1">
      <c r="A9" s="1"/>
      <c r="B9" s="14"/>
      <c r="C9" s="14"/>
      <c r="D9" s="39"/>
      <c r="E9" s="39"/>
      <c r="F9" s="39"/>
      <c r="G9" s="14"/>
      <c r="H9" s="14"/>
      <c r="I9" s="14"/>
      <c r="J9" s="14"/>
      <c r="K9" s="14"/>
      <c r="L9" s="14"/>
      <c r="M9" s="14"/>
      <c r="N9" s="14"/>
      <c r="O9" s="14"/>
      <c r="P9" s="14"/>
      <c r="Q9" s="56"/>
      <c r="R9" s="56"/>
      <c r="S9" s="56"/>
      <c r="T9" s="20"/>
      <c r="U9" s="20"/>
      <c r="V9" s="20"/>
      <c r="W9" s="57"/>
      <c r="X9" s="58"/>
      <c r="Y9" s="58"/>
      <c r="Z9" s="20"/>
      <c r="AA9" s="57"/>
    </row>
    <row r="10" spans="1:27" ht="7.5" customHeight="1">
      <c r="A10" s="1"/>
      <c r="B10" s="14"/>
      <c r="C10" s="14"/>
      <c r="D10" s="39"/>
      <c r="E10" s="39"/>
      <c r="F10" s="39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55"/>
      <c r="R10" s="55"/>
      <c r="S10" s="55"/>
      <c r="T10" s="20"/>
      <c r="U10" s="20"/>
      <c r="V10" s="20"/>
      <c r="W10" s="59"/>
      <c r="X10" s="59"/>
      <c r="Y10" s="59"/>
      <c r="Z10" s="20"/>
      <c r="AA10" s="57"/>
    </row>
    <row r="11" spans="1:27" ht="7.5" customHeight="1">
      <c r="A11" s="1"/>
      <c r="B11" s="14"/>
      <c r="C11" s="14"/>
      <c r="D11" s="39"/>
      <c r="E11" s="39"/>
      <c r="F11" s="39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55"/>
      <c r="R11" s="55"/>
      <c r="S11" s="55"/>
      <c r="T11" s="20"/>
      <c r="U11" s="20"/>
      <c r="V11" s="20"/>
      <c r="W11" s="59"/>
      <c r="X11" s="59"/>
      <c r="Y11" s="59"/>
      <c r="Z11" s="20"/>
      <c r="AA11" s="15"/>
    </row>
    <row r="12" spans="1:27" ht="7.5" customHeight="1">
      <c r="A12" s="1"/>
      <c r="B12" s="14"/>
      <c r="C12" s="14"/>
      <c r="D12" s="39"/>
      <c r="E12" s="39"/>
      <c r="F12" s="39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56"/>
      <c r="R12" s="56"/>
      <c r="S12" s="56"/>
      <c r="T12" s="20"/>
      <c r="U12" s="20"/>
      <c r="V12" s="20"/>
      <c r="W12" s="59"/>
      <c r="X12" s="59"/>
      <c r="Y12" s="59"/>
      <c r="Z12" s="20"/>
      <c r="AA12" s="20"/>
    </row>
    <row r="13" spans="1:27" ht="7.5" customHeight="1">
      <c r="A13" s="1"/>
      <c r="B13" s="14"/>
      <c r="C13" s="14"/>
      <c r="D13" s="39"/>
      <c r="E13" s="39"/>
      <c r="F13" s="39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56"/>
      <c r="R13" s="56"/>
      <c r="S13" s="56"/>
      <c r="T13" s="20"/>
      <c r="U13" s="20"/>
      <c r="V13" s="20"/>
      <c r="W13" s="59"/>
      <c r="X13" s="59"/>
      <c r="Y13" s="59"/>
      <c r="Z13" s="20"/>
      <c r="AA13" s="20"/>
    </row>
    <row r="14" spans="1:27" ht="7.5" customHeight="1">
      <c r="A14" s="1"/>
      <c r="B14" s="14"/>
      <c r="C14" s="14"/>
      <c r="D14" s="39"/>
      <c r="E14" s="39"/>
      <c r="F14" s="39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55"/>
      <c r="R14" s="55"/>
      <c r="S14" s="55"/>
      <c r="T14" s="20"/>
      <c r="U14" s="20"/>
      <c r="V14" s="20"/>
      <c r="W14" s="59"/>
      <c r="X14" s="59"/>
      <c r="Y14" s="59"/>
      <c r="Z14" s="20"/>
      <c r="AA14" s="20"/>
    </row>
    <row r="15" spans="1:27" ht="7.5" customHeight="1">
      <c r="A15" s="1"/>
      <c r="B15" s="14"/>
      <c r="C15" s="14"/>
      <c r="D15" s="39"/>
      <c r="E15" s="39"/>
      <c r="F15" s="39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55"/>
      <c r="R15" s="55"/>
      <c r="S15" s="55"/>
      <c r="T15" s="20"/>
      <c r="U15" s="20"/>
      <c r="V15" s="20"/>
      <c r="W15" s="59"/>
      <c r="X15" s="59"/>
      <c r="Y15" s="59"/>
      <c r="Z15" s="20"/>
      <c r="AA15" s="20"/>
    </row>
    <row r="16" spans="1:27" ht="7.5" customHeight="1">
      <c r="A16" s="1"/>
      <c r="B16" s="14"/>
      <c r="C16" s="14"/>
      <c r="D16" s="39"/>
      <c r="E16" s="39"/>
      <c r="F16" s="39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56"/>
      <c r="R16" s="56"/>
      <c r="S16" s="56"/>
      <c r="T16" s="5"/>
      <c r="U16" s="5"/>
      <c r="V16" s="5"/>
      <c r="W16" s="59"/>
      <c r="X16" s="59"/>
      <c r="Y16" s="59"/>
      <c r="Z16" s="5"/>
      <c r="AA16" s="20"/>
    </row>
    <row r="17" spans="1:27" ht="7.5" customHeight="1">
      <c r="A17" s="1"/>
      <c r="B17" s="14"/>
      <c r="C17" s="14"/>
      <c r="D17" s="39"/>
      <c r="E17" s="39"/>
      <c r="F17" s="39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56"/>
      <c r="R17" s="56"/>
      <c r="S17" s="56"/>
      <c r="T17" s="20"/>
      <c r="U17" s="20"/>
      <c r="V17" s="20"/>
      <c r="W17" s="59"/>
      <c r="X17" s="59"/>
      <c r="Y17" s="59"/>
      <c r="Z17" s="20"/>
      <c r="AA17" s="20"/>
    </row>
    <row r="18" spans="1:27" ht="7.5" customHeight="1">
      <c r="A18" s="1"/>
      <c r="B18" s="14"/>
      <c r="C18" s="14"/>
      <c r="D18" s="39"/>
      <c r="E18" s="39"/>
      <c r="F18" s="39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55"/>
      <c r="R18" s="55"/>
      <c r="S18" s="55"/>
      <c r="T18" s="20"/>
      <c r="U18" s="20"/>
      <c r="V18" s="20"/>
      <c r="W18" s="59"/>
      <c r="X18" s="59"/>
      <c r="Y18" s="59"/>
      <c r="Z18" s="20"/>
      <c r="AA18" s="20"/>
    </row>
    <row r="19" spans="1:27" ht="7.5" customHeight="1">
      <c r="A19" s="1"/>
      <c r="B19" s="60"/>
      <c r="C19" s="60"/>
      <c r="D19" s="39"/>
      <c r="E19" s="39"/>
      <c r="F19" s="39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55"/>
      <c r="R19" s="55"/>
      <c r="S19" s="55"/>
      <c r="T19" s="20"/>
      <c r="U19" s="20"/>
      <c r="V19" s="20"/>
      <c r="W19" s="59"/>
      <c r="X19" s="59"/>
      <c r="Y19" s="59"/>
      <c r="Z19" s="20"/>
      <c r="AA19" s="20"/>
    </row>
    <row r="20" spans="1:27" ht="7.5" customHeight="1">
      <c r="A20" s="1"/>
      <c r="B20" s="60"/>
      <c r="C20" s="60"/>
      <c r="D20" s="39"/>
      <c r="E20" s="39"/>
      <c r="F20" s="39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56"/>
      <c r="R20" s="56"/>
      <c r="S20" s="56"/>
      <c r="T20" s="20"/>
      <c r="U20" s="20"/>
      <c r="V20" s="20"/>
      <c r="W20" s="59"/>
      <c r="X20" s="59"/>
      <c r="Y20" s="59"/>
      <c r="Z20" s="20"/>
      <c r="AA20" s="20"/>
    </row>
    <row r="21" spans="1:27" ht="7.5" customHeight="1">
      <c r="A21" s="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56"/>
      <c r="R21" s="56"/>
      <c r="S21" s="56"/>
      <c r="T21" s="20"/>
      <c r="U21" s="20"/>
      <c r="V21" s="20"/>
      <c r="W21" s="59"/>
      <c r="X21" s="59"/>
      <c r="Y21" s="59"/>
      <c r="Z21" s="20"/>
      <c r="AA21" s="5"/>
    </row>
    <row r="22" spans="1:27" ht="7.5" customHeight="1">
      <c r="A22" s="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55"/>
      <c r="R22" s="55"/>
      <c r="S22" s="55"/>
      <c r="T22" s="20"/>
      <c r="U22" s="20"/>
      <c r="V22" s="20"/>
      <c r="W22" s="59"/>
      <c r="X22" s="59"/>
      <c r="Y22" s="59"/>
      <c r="Z22" s="20"/>
      <c r="AA22" s="20"/>
    </row>
    <row r="23" spans="1:27" ht="7.5" customHeight="1">
      <c r="A23" s="1"/>
      <c r="B23" s="39"/>
      <c r="C23" s="39"/>
      <c r="D23" s="39"/>
      <c r="E23" s="39"/>
      <c r="F23" s="62"/>
      <c r="G23" s="62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55"/>
      <c r="S23" s="55"/>
      <c r="T23" s="20"/>
      <c r="U23" s="20"/>
      <c r="V23" s="63"/>
      <c r="W23" s="59"/>
      <c r="X23" s="59"/>
      <c r="Y23" s="59"/>
      <c r="Z23" s="20"/>
      <c r="AA23" s="20"/>
    </row>
    <row r="24" spans="1:27" ht="7.5" customHeight="1">
      <c r="A24" s="1"/>
      <c r="B24" s="496" t="s">
        <v>485</v>
      </c>
      <c r="C24" s="273"/>
      <c r="D24" s="273"/>
      <c r="E24" s="273"/>
      <c r="F24" s="273"/>
      <c r="G24" s="62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55"/>
      <c r="S24" s="55"/>
      <c r="T24" s="5"/>
      <c r="U24" s="5"/>
      <c r="V24" s="5"/>
      <c r="W24" s="59"/>
      <c r="X24" s="59"/>
      <c r="Y24" s="59"/>
      <c r="Z24" s="5"/>
      <c r="AA24" s="20"/>
    </row>
    <row r="25" spans="1:27" ht="7.5" customHeight="1">
      <c r="A25" s="1"/>
      <c r="B25" s="273"/>
      <c r="C25" s="273"/>
      <c r="D25" s="273"/>
      <c r="E25" s="273"/>
      <c r="F25" s="273"/>
      <c r="G25" s="62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55"/>
      <c r="S25" s="55"/>
      <c r="T25" s="5"/>
      <c r="U25" s="5"/>
      <c r="V25" s="5"/>
      <c r="W25" s="59"/>
      <c r="X25" s="59"/>
      <c r="Y25" s="59"/>
      <c r="Z25" s="5"/>
      <c r="AA25" s="20"/>
    </row>
    <row r="26" spans="1:27" ht="7.5" customHeight="1">
      <c r="A26" s="1"/>
      <c r="B26" s="273"/>
      <c r="C26" s="273"/>
      <c r="D26" s="273"/>
      <c r="E26" s="273"/>
      <c r="F26" s="273"/>
      <c r="G26" s="6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54"/>
      <c r="S26" s="54"/>
      <c r="T26" s="5"/>
      <c r="U26" s="5"/>
      <c r="V26" s="5"/>
      <c r="W26" s="59"/>
      <c r="X26" s="59"/>
      <c r="Y26" s="59"/>
      <c r="Z26" s="5"/>
      <c r="AA26" s="20"/>
    </row>
    <row r="27" spans="1:27" ht="7.5" customHeight="1">
      <c r="A27" s="1"/>
      <c r="B27" s="273"/>
      <c r="C27" s="273"/>
      <c r="D27" s="273"/>
      <c r="E27" s="273"/>
      <c r="F27" s="273"/>
      <c r="G27" s="6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54"/>
      <c r="S27" s="54"/>
      <c r="T27" s="5"/>
      <c r="U27" s="5"/>
      <c r="V27" s="5"/>
      <c r="W27" s="59"/>
      <c r="X27" s="59"/>
      <c r="Y27" s="59"/>
      <c r="Z27" s="5"/>
      <c r="AA27" s="20"/>
    </row>
    <row r="28" spans="1:27" ht="7.5" customHeight="1">
      <c r="A28" s="1"/>
      <c r="B28" s="273"/>
      <c r="C28" s="273"/>
      <c r="D28" s="273"/>
      <c r="E28" s="273"/>
      <c r="F28" s="273"/>
      <c r="G28" s="64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54"/>
      <c r="S28" s="54"/>
      <c r="T28" s="5"/>
      <c r="U28" s="5"/>
      <c r="V28" s="5"/>
      <c r="W28" s="59"/>
      <c r="X28" s="59"/>
      <c r="Y28" s="59"/>
      <c r="Z28" s="5"/>
      <c r="AA28" s="20"/>
    </row>
    <row r="29" spans="1:27" ht="7.5" customHeight="1">
      <c r="A29" s="1"/>
      <c r="B29" s="273"/>
      <c r="C29" s="273"/>
      <c r="D29" s="273"/>
      <c r="E29" s="273"/>
      <c r="F29" s="273"/>
      <c r="G29" s="61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54"/>
      <c r="S29" s="54"/>
      <c r="T29" s="20"/>
      <c r="U29" s="20"/>
      <c r="V29" s="20"/>
      <c r="W29" s="59"/>
      <c r="X29" s="59"/>
      <c r="Y29" s="59"/>
      <c r="Z29" s="20"/>
      <c r="AA29" s="5"/>
    </row>
    <row r="30" spans="1:27" ht="7.5" customHeight="1">
      <c r="A30" s="1"/>
      <c r="B30" s="273"/>
      <c r="C30" s="273"/>
      <c r="D30" s="273"/>
      <c r="E30" s="273"/>
      <c r="F30" s="273"/>
      <c r="G30" s="61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54"/>
      <c r="S30" s="54"/>
      <c r="T30" s="20"/>
      <c r="U30" s="20"/>
      <c r="V30" s="20"/>
      <c r="W30" s="65"/>
      <c r="X30" s="66"/>
      <c r="Y30" s="66"/>
      <c r="Z30" s="20"/>
      <c r="AA30" s="5"/>
    </row>
    <row r="31" spans="1:27" ht="7.5" customHeight="1">
      <c r="A31" s="1"/>
      <c r="B31" s="273"/>
      <c r="C31" s="273"/>
      <c r="D31" s="273"/>
      <c r="E31" s="273"/>
      <c r="F31" s="273"/>
      <c r="G31" s="53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54"/>
      <c r="S31" s="54"/>
      <c r="T31" s="20"/>
      <c r="U31" s="20"/>
      <c r="V31" s="20"/>
      <c r="W31" s="65"/>
      <c r="X31" s="66"/>
      <c r="Y31" s="66"/>
      <c r="Z31" s="20"/>
      <c r="AA31" s="5"/>
    </row>
    <row r="32" spans="1:27" ht="7.5" customHeight="1">
      <c r="A32" s="1"/>
      <c r="B32" s="273"/>
      <c r="C32" s="273"/>
      <c r="D32" s="273"/>
      <c r="E32" s="273"/>
      <c r="F32" s="273"/>
      <c r="G32" s="53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54"/>
      <c r="S32" s="54"/>
      <c r="T32" s="20"/>
      <c r="U32" s="20"/>
      <c r="V32" s="20"/>
      <c r="W32" s="65"/>
      <c r="X32" s="66"/>
      <c r="Y32" s="66"/>
      <c r="Z32" s="20"/>
      <c r="AA32" s="5"/>
    </row>
    <row r="33" spans="1:31" ht="7.5" customHeight="1">
      <c r="A33" s="1"/>
      <c r="B33" s="273"/>
      <c r="C33" s="273"/>
      <c r="D33" s="273"/>
      <c r="E33" s="273"/>
      <c r="F33" s="273"/>
      <c r="G33" s="53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54"/>
      <c r="S33" s="54"/>
      <c r="T33" s="20"/>
      <c r="U33" s="20"/>
      <c r="V33" s="20"/>
      <c r="W33" s="65"/>
      <c r="X33" s="66"/>
      <c r="Y33" s="66"/>
      <c r="Z33" s="20"/>
      <c r="AA33" s="5"/>
    </row>
    <row r="34" spans="1:31" ht="7.5" customHeight="1">
      <c r="A34" s="1"/>
      <c r="B34" s="273"/>
      <c r="C34" s="273"/>
      <c r="D34" s="273"/>
      <c r="E34" s="273"/>
      <c r="F34" s="273"/>
      <c r="G34" s="14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54"/>
      <c r="S34" s="54"/>
      <c r="T34" s="20"/>
      <c r="U34" s="20"/>
      <c r="V34" s="20"/>
      <c r="W34" s="65"/>
      <c r="X34" s="66"/>
      <c r="Y34" s="66"/>
      <c r="Z34" s="20"/>
      <c r="AA34" s="5"/>
    </row>
    <row r="35" spans="1:31" ht="7.5" customHeight="1">
      <c r="A35" s="1"/>
      <c r="B35" s="273"/>
      <c r="C35" s="273"/>
      <c r="D35" s="273"/>
      <c r="E35" s="273"/>
      <c r="F35" s="27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54"/>
      <c r="R35" s="54"/>
      <c r="S35" s="54"/>
      <c r="T35" s="20"/>
      <c r="U35" s="20"/>
      <c r="V35" s="63"/>
      <c r="W35" s="491"/>
      <c r="X35" s="492"/>
      <c r="Y35" s="283"/>
      <c r="Z35" s="20"/>
      <c r="AA35" s="488"/>
      <c r="AB35" s="489"/>
      <c r="AC35" s="283"/>
      <c r="AD35" s="283"/>
      <c r="AE35" s="283"/>
    </row>
    <row r="36" spans="1:31" ht="7.5" customHeight="1">
      <c r="A36" s="1"/>
      <c r="B36" s="30"/>
      <c r="C36" s="30"/>
      <c r="D36" s="30"/>
      <c r="E36" s="30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54"/>
      <c r="R36" s="54"/>
      <c r="S36" s="54"/>
      <c r="T36" s="20"/>
      <c r="U36" s="20"/>
      <c r="V36" s="63"/>
      <c r="W36" s="268"/>
      <c r="X36" s="490"/>
      <c r="Y36" s="273"/>
      <c r="Z36" s="20"/>
      <c r="AA36" s="268"/>
      <c r="AB36" s="490"/>
      <c r="AC36" s="273"/>
      <c r="AD36" s="273"/>
      <c r="AE36" s="273"/>
    </row>
    <row r="37" spans="1:31" ht="7.5" customHeight="1">
      <c r="A37" s="1"/>
      <c r="B37" s="30"/>
      <c r="C37" s="30"/>
      <c r="D37" s="30"/>
      <c r="E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54"/>
      <c r="R37" s="54"/>
      <c r="S37" s="54"/>
      <c r="T37" s="20"/>
      <c r="U37" s="20"/>
      <c r="V37" s="63"/>
      <c r="W37" s="268"/>
      <c r="X37" s="490"/>
      <c r="Y37" s="273"/>
      <c r="Z37" s="20"/>
      <c r="AA37" s="268"/>
      <c r="AB37" s="490"/>
      <c r="AC37" s="273"/>
      <c r="AD37" s="273"/>
      <c r="AE37" s="273"/>
    </row>
    <row r="38" spans="1:31" ht="7.5" customHeight="1">
      <c r="A38" s="1"/>
      <c r="B38" s="30"/>
      <c r="C38" s="30"/>
      <c r="D38" s="30"/>
      <c r="E38" s="3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54"/>
      <c r="R38" s="54"/>
      <c r="S38" s="54"/>
      <c r="T38" s="20"/>
      <c r="U38" s="20"/>
      <c r="V38" s="63"/>
      <c r="W38" s="268"/>
      <c r="X38" s="490"/>
      <c r="Y38" s="273"/>
      <c r="Z38" s="20"/>
      <c r="AA38" s="268"/>
      <c r="AB38" s="490"/>
      <c r="AC38" s="273"/>
      <c r="AD38" s="273"/>
      <c r="AE38" s="273"/>
    </row>
    <row r="39" spans="1:31" ht="7.5" customHeight="1">
      <c r="A39" s="1"/>
      <c r="B39" s="30"/>
      <c r="C39" s="30"/>
      <c r="D39" s="30"/>
      <c r="E39" s="3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54"/>
      <c r="R39" s="54"/>
      <c r="S39" s="54"/>
      <c r="T39" s="20"/>
      <c r="U39" s="20"/>
      <c r="V39" s="63"/>
      <c r="W39" s="268"/>
      <c r="X39" s="490"/>
      <c r="Y39" s="273"/>
      <c r="Z39" s="20"/>
      <c r="AA39" s="268"/>
      <c r="AB39" s="490"/>
      <c r="AC39" s="273"/>
      <c r="AD39" s="273"/>
      <c r="AE39" s="273"/>
    </row>
    <row r="40" spans="1:31" ht="7.5" customHeight="1">
      <c r="A40" s="1"/>
      <c r="B40" s="30"/>
      <c r="C40" s="30"/>
      <c r="D40" s="30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54"/>
      <c r="R40" s="54"/>
      <c r="S40" s="54"/>
      <c r="T40" s="20"/>
      <c r="U40" s="20"/>
      <c r="V40" s="63"/>
      <c r="W40" s="268"/>
      <c r="X40" s="490"/>
      <c r="Y40" s="273"/>
      <c r="Z40" s="20"/>
      <c r="AA40" s="268"/>
      <c r="AB40" s="490"/>
      <c r="AC40" s="273"/>
      <c r="AD40" s="273"/>
      <c r="AE40" s="273"/>
    </row>
    <row r="41" spans="1:31" ht="7.5" customHeight="1">
      <c r="A41" s="1"/>
      <c r="B41" s="30"/>
      <c r="C41" s="30"/>
      <c r="D41" s="30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54"/>
      <c r="R41" s="54"/>
      <c r="S41" s="54"/>
      <c r="T41" s="20"/>
      <c r="U41" s="20"/>
      <c r="V41" s="63"/>
      <c r="W41" s="268"/>
      <c r="X41" s="490"/>
      <c r="Y41" s="273"/>
      <c r="Z41" s="20"/>
      <c r="AA41" s="268"/>
      <c r="AB41" s="490"/>
      <c r="AC41" s="273"/>
      <c r="AD41" s="273"/>
      <c r="AE41" s="273"/>
    </row>
    <row r="42" spans="1:31" ht="7.5" customHeight="1">
      <c r="A42" s="1"/>
      <c r="B42" s="30"/>
      <c r="C42" s="30"/>
      <c r="D42" s="30"/>
      <c r="E42" s="3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54"/>
      <c r="R42" s="54"/>
      <c r="S42" s="54"/>
      <c r="T42" s="20"/>
      <c r="U42" s="20"/>
      <c r="V42" s="20"/>
      <c r="W42" s="268"/>
      <c r="X42" s="490"/>
      <c r="Y42" s="273"/>
      <c r="Z42" s="20"/>
      <c r="AA42" s="268"/>
      <c r="AB42" s="490"/>
      <c r="AC42" s="273"/>
      <c r="AD42" s="273"/>
      <c r="AE42" s="273"/>
    </row>
    <row r="43" spans="1:31" ht="7.5" customHeight="1">
      <c r="A43" s="1"/>
      <c r="B43" s="30"/>
      <c r="C43" s="30"/>
      <c r="D43" s="30"/>
      <c r="E43" s="3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54"/>
      <c r="R43" s="54"/>
      <c r="S43" s="54"/>
      <c r="T43" s="5"/>
      <c r="U43" s="5"/>
      <c r="V43" s="20"/>
      <c r="W43" s="491"/>
      <c r="X43" s="492"/>
      <c r="Y43" s="283"/>
      <c r="Z43" s="5"/>
      <c r="AA43" s="5"/>
      <c r="AB43" s="59"/>
      <c r="AC43" s="59"/>
      <c r="AD43" s="34"/>
      <c r="AE43" s="59"/>
    </row>
    <row r="44" spans="1:31" ht="7.5" customHeight="1">
      <c r="A44" s="1"/>
      <c r="B44" s="30"/>
      <c r="C44" s="30"/>
      <c r="D44" s="30"/>
      <c r="E44" s="3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54"/>
      <c r="R44" s="54"/>
      <c r="S44" s="54"/>
      <c r="T44" s="5"/>
      <c r="U44" s="5"/>
      <c r="V44" s="5"/>
      <c r="W44" s="268"/>
      <c r="X44" s="490"/>
      <c r="Y44" s="273"/>
      <c r="Z44" s="5"/>
      <c r="AA44" s="488"/>
      <c r="AB44" s="489"/>
      <c r="AC44" s="283"/>
      <c r="AD44" s="283"/>
      <c r="AE44" s="283"/>
    </row>
    <row r="45" spans="1:31" ht="7.5" customHeight="1">
      <c r="A45" s="1"/>
      <c r="B45" s="30"/>
      <c r="C45" s="30"/>
      <c r="D45" s="30"/>
      <c r="E45" s="3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54"/>
      <c r="R45" s="54"/>
      <c r="S45" s="54"/>
      <c r="T45" s="5"/>
      <c r="U45" s="5"/>
      <c r="V45" s="5"/>
      <c r="W45" s="5"/>
      <c r="X45" s="5"/>
      <c r="Y45" s="5"/>
      <c r="Z45" s="5"/>
      <c r="AA45" s="268"/>
      <c r="AB45" s="490"/>
      <c r="AC45" s="273"/>
      <c r="AD45" s="273"/>
      <c r="AE45" s="273"/>
    </row>
    <row r="46" spans="1:31" ht="7.5" customHeight="1">
      <c r="A46" s="1"/>
      <c r="B46" s="39"/>
      <c r="C46" s="39"/>
      <c r="D46" s="39"/>
      <c r="E46" s="39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54"/>
      <c r="R46" s="54"/>
      <c r="S46" s="54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7.5" customHeight="1">
      <c r="A47" s="1"/>
      <c r="B47" s="39"/>
      <c r="C47" s="39"/>
      <c r="D47" s="39"/>
      <c r="E47" s="39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54"/>
      <c r="R47" s="54"/>
      <c r="S47" s="54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7.5" customHeight="1">
      <c r="A48" s="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54"/>
      <c r="R48" s="54"/>
      <c r="S48" s="54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7.5" customHeight="1">
      <c r="A49" s="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54"/>
      <c r="R49" s="54"/>
      <c r="S49" s="54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7.5" customHeight="1">
      <c r="A50" s="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54"/>
      <c r="R50" s="54"/>
      <c r="S50" s="54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7.5" customHeight="1">
      <c r="A51" s="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54"/>
      <c r="R51" s="54"/>
      <c r="S51" s="54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7.5" customHeight="1">
      <c r="A52" s="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54"/>
      <c r="R52" s="54"/>
      <c r="S52" s="54"/>
      <c r="T52" s="5"/>
      <c r="U52" s="5"/>
      <c r="V52" s="5"/>
      <c r="W52" s="488"/>
      <c r="X52" s="489"/>
      <c r="Y52" s="283"/>
      <c r="Z52" s="5"/>
      <c r="AA52" s="5"/>
      <c r="AB52" s="5"/>
      <c r="AC52" s="5"/>
      <c r="AD52" s="5"/>
      <c r="AE52" s="5"/>
    </row>
    <row r="53" spans="1:31" ht="7.5" customHeight="1">
      <c r="A53" s="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54"/>
      <c r="R53" s="54"/>
      <c r="S53" s="54"/>
      <c r="T53" s="5"/>
      <c r="U53" s="5"/>
      <c r="V53" s="5"/>
      <c r="W53" s="268"/>
      <c r="X53" s="490"/>
      <c r="Y53" s="273"/>
      <c r="Z53" s="5"/>
      <c r="AA53" s="5"/>
      <c r="AB53" s="5"/>
      <c r="AC53" s="5"/>
      <c r="AD53" s="5"/>
      <c r="AE53" s="5"/>
    </row>
    <row r="54" spans="1:31" ht="7.5" customHeight="1">
      <c r="A54" s="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54"/>
      <c r="R54" s="54"/>
      <c r="S54" s="54"/>
      <c r="T54" s="5"/>
      <c r="U54" s="5"/>
      <c r="V54" s="5"/>
      <c r="W54" s="491"/>
      <c r="X54" s="492"/>
      <c r="Y54" s="283"/>
      <c r="Z54" s="5"/>
      <c r="AA54" s="5"/>
      <c r="AB54" s="5"/>
      <c r="AC54" s="5"/>
      <c r="AD54" s="5"/>
      <c r="AE54" s="5"/>
    </row>
    <row r="55" spans="1:31" ht="7.5" customHeight="1">
      <c r="A55" s="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54"/>
      <c r="R55" s="54"/>
      <c r="S55" s="54"/>
      <c r="T55" s="5"/>
      <c r="U55" s="5"/>
      <c r="V55" s="5"/>
      <c r="W55" s="268"/>
      <c r="X55" s="490"/>
      <c r="Y55" s="273"/>
      <c r="Z55" s="5"/>
      <c r="AA55" s="5"/>
      <c r="AB55" s="5"/>
      <c r="AC55" s="5"/>
      <c r="AD55" s="5"/>
      <c r="AE55" s="5"/>
    </row>
    <row r="56" spans="1:31" ht="7.5" customHeight="1">
      <c r="A56" s="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54"/>
      <c r="R56" s="54"/>
      <c r="S56" s="54"/>
      <c r="T56" s="5"/>
      <c r="U56" s="5"/>
      <c r="V56" s="5"/>
      <c r="W56" s="491"/>
      <c r="X56" s="492"/>
      <c r="Y56" s="283"/>
      <c r="Z56" s="5"/>
      <c r="AA56" s="5"/>
      <c r="AB56" s="5"/>
      <c r="AC56" s="5"/>
      <c r="AD56" s="5"/>
      <c r="AE56" s="5"/>
    </row>
    <row r="57" spans="1:31" ht="7.5" customHeight="1">
      <c r="A57" s="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54"/>
      <c r="R57" s="54"/>
      <c r="S57" s="54"/>
      <c r="T57" s="5"/>
      <c r="U57" s="5"/>
      <c r="V57" s="5"/>
      <c r="W57" s="268"/>
      <c r="X57" s="490"/>
      <c r="Y57" s="273"/>
      <c r="Z57" s="5"/>
      <c r="AA57" s="5"/>
      <c r="AB57" s="5"/>
      <c r="AC57" s="5"/>
      <c r="AD57" s="5"/>
      <c r="AE57" s="5"/>
    </row>
    <row r="58" spans="1:31" ht="7.5" customHeight="1">
      <c r="A58" s="1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8"/>
      <c r="R58" s="35"/>
      <c r="S58" s="69"/>
      <c r="T58" s="5"/>
      <c r="U58" s="5"/>
      <c r="V58" s="5"/>
      <c r="W58" s="65"/>
      <c r="X58" s="493"/>
      <c r="Y58" s="494"/>
      <c r="Z58" s="5"/>
      <c r="AA58" s="5"/>
      <c r="AB58" s="5"/>
      <c r="AC58" s="5"/>
      <c r="AD58" s="5"/>
      <c r="AE58" s="5"/>
    </row>
    <row r="59" spans="1:31" ht="11.25" customHeight="1">
      <c r="A59" s="1"/>
      <c r="B59" s="38"/>
      <c r="C59" s="40" t="s">
        <v>4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392" t="s">
        <v>53</v>
      </c>
      <c r="T59" s="51"/>
      <c r="U59" s="20"/>
      <c r="V59" s="20"/>
      <c r="W59" s="65"/>
      <c r="X59" s="493"/>
      <c r="Y59" s="494"/>
      <c r="Z59" s="20"/>
      <c r="AA59" s="20"/>
      <c r="AB59" s="20"/>
      <c r="AC59" s="20"/>
      <c r="AD59" s="20"/>
      <c r="AE59" s="20"/>
    </row>
    <row r="60" spans="1:31" ht="11.25" customHeight="1">
      <c r="A60" s="1"/>
      <c r="B60" s="5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93"/>
      <c r="T60" s="51"/>
      <c r="U60" s="5"/>
      <c r="V60" s="5"/>
      <c r="W60" s="491"/>
      <c r="X60" s="492"/>
      <c r="Y60" s="283"/>
      <c r="Z60" s="5"/>
      <c r="AA60" s="5"/>
      <c r="AB60" s="5"/>
      <c r="AC60" s="5"/>
      <c r="AD60" s="5"/>
      <c r="AE60" s="5"/>
    </row>
    <row r="61" spans="1:31" ht="11.25" customHeight="1">
      <c r="A61" s="1"/>
      <c r="B61" s="38"/>
      <c r="C61" s="394" t="s">
        <v>486</v>
      </c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20"/>
      <c r="U61" s="20"/>
      <c r="V61" s="20"/>
      <c r="W61" s="268"/>
      <c r="X61" s="490"/>
      <c r="Y61" s="273"/>
      <c r="Z61" s="20"/>
      <c r="AA61" s="20"/>
      <c r="AB61" s="20"/>
      <c r="AC61" s="20"/>
      <c r="AD61" s="20"/>
      <c r="AE61" s="20"/>
    </row>
  </sheetData>
  <mergeCells count="24">
    <mergeCell ref="B1:C1"/>
    <mergeCell ref="G1:S1"/>
    <mergeCell ref="B2:S2"/>
    <mergeCell ref="B24:F35"/>
    <mergeCell ref="X35:Y42"/>
    <mergeCell ref="AA35:AA42"/>
    <mergeCell ref="AB35:AE42"/>
    <mergeCell ref="W35:W42"/>
    <mergeCell ref="W43:W44"/>
    <mergeCell ref="X43:Y44"/>
    <mergeCell ref="AA44:AA45"/>
    <mergeCell ref="AB44:AE45"/>
    <mergeCell ref="W52:W53"/>
    <mergeCell ref="X52:Y53"/>
    <mergeCell ref="W60:W61"/>
    <mergeCell ref="X60:Y61"/>
    <mergeCell ref="C61:S61"/>
    <mergeCell ref="W54:W55"/>
    <mergeCell ref="X54:Y55"/>
    <mergeCell ref="W56:W57"/>
    <mergeCell ref="X56:Y57"/>
    <mergeCell ref="X58:Y58"/>
    <mergeCell ref="S59:S60"/>
    <mergeCell ref="X59:Y59"/>
  </mergeCells>
  <pageMargins left="0.78740157480314954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CAPA Linha Doty</vt:lpstr>
      <vt:lpstr>Linha Doty</vt:lpstr>
      <vt:lpstr>Acabamentos</vt:lpstr>
      <vt:lpstr>Tecido Fornecido</vt:lpstr>
      <vt:lpstr>Classificação de Tecidos </vt:lpstr>
      <vt:lpstr>Política de Pagamento</vt:lpstr>
      <vt:lpstr>mark_up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modified xsi:type="dcterms:W3CDTF">2023-06-26T12:05:37Z</dcterms:modified>
</cp:coreProperties>
</file>