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bookViews>
    <workbookView xWindow="0" yWindow="0" windowWidth="23970" windowHeight="9660"/>
  </bookViews>
  <sheets>
    <sheet name="STUDIO PIÙ SOFÁS" sheetId="2" r:id="rId1"/>
    <sheet name="STUDIO PIÙ POLTRONAS" sheetId="4" r:id="rId2"/>
    <sheet name="DESIGNERS" sheetId="3" r:id="rId3"/>
    <sheet name="CAMAS" sheetId="1" r:id="rId4"/>
  </sheets>
  <definedNames>
    <definedName name="_xlnm.Print_Area" localSheetId="3">CAMAS!$A$1:$Q$92</definedName>
    <definedName name="_xlnm.Print_Area" localSheetId="2">DESIGNERS!$B$1:$Q$335</definedName>
  </definedNames>
  <calcPr calcId="152511"/>
</workbook>
</file>

<file path=xl/calcChain.xml><?xml version="1.0" encoding="utf-8"?>
<calcChain xmlns="http://schemas.openxmlformats.org/spreadsheetml/2006/main">
  <c r="H315" i="3" l="1"/>
  <c r="Q314" i="3"/>
  <c r="P314" i="3"/>
  <c r="O314" i="3"/>
  <c r="N314" i="3"/>
  <c r="M314" i="3"/>
  <c r="L314" i="3"/>
  <c r="K314" i="3"/>
  <c r="J314" i="3"/>
  <c r="I314" i="3"/>
  <c r="H314" i="3"/>
  <c r="H313" i="3"/>
  <c r="Q312" i="3"/>
  <c r="P312" i="3"/>
  <c r="O312" i="3"/>
  <c r="N312" i="3"/>
  <c r="M312" i="3"/>
  <c r="L312" i="3"/>
  <c r="K312" i="3"/>
  <c r="J312" i="3"/>
  <c r="I312" i="3"/>
  <c r="H312" i="3"/>
  <c r="H311" i="3"/>
  <c r="Q310" i="3"/>
  <c r="P310" i="3"/>
  <c r="O310" i="3"/>
  <c r="N310" i="3"/>
  <c r="M310" i="3"/>
  <c r="L310" i="3"/>
  <c r="K310" i="3"/>
  <c r="J310" i="3"/>
  <c r="I310" i="3"/>
  <c r="H310" i="3"/>
  <c r="H309" i="3"/>
  <c r="Q308" i="3"/>
  <c r="P308" i="3"/>
  <c r="O308" i="3"/>
  <c r="N308" i="3"/>
  <c r="M308" i="3"/>
  <c r="L308" i="3"/>
  <c r="K308" i="3"/>
  <c r="J308" i="3"/>
  <c r="I308" i="3"/>
  <c r="H308" i="3"/>
  <c r="Q19" i="2" l="1"/>
  <c r="P19" i="2"/>
  <c r="O19" i="2"/>
  <c r="N19" i="2"/>
  <c r="M19" i="2"/>
  <c r="L19" i="2"/>
  <c r="K19" i="2"/>
  <c r="J19" i="2"/>
  <c r="I19" i="2"/>
  <c r="H19" i="2"/>
  <c r="Q18" i="2"/>
  <c r="P18" i="2"/>
  <c r="O18" i="2"/>
  <c r="N18" i="2"/>
  <c r="M18" i="2"/>
  <c r="L18" i="2"/>
  <c r="K18" i="2"/>
  <c r="J18" i="2"/>
  <c r="I18" i="2"/>
  <c r="H18" i="2"/>
  <c r="C414" i="2" l="1"/>
  <c r="Q389" i="2" l="1"/>
  <c r="P389" i="2"/>
  <c r="O389" i="2"/>
  <c r="N389" i="2"/>
  <c r="M389" i="2"/>
  <c r="L389" i="2"/>
  <c r="K389" i="2"/>
  <c r="J389" i="2"/>
  <c r="I389" i="2"/>
  <c r="H389" i="2"/>
  <c r="C453" i="2" l="1"/>
  <c r="C454" i="2"/>
  <c r="Q452" i="2"/>
  <c r="P452" i="2"/>
  <c r="O452" i="2"/>
  <c r="N452" i="2"/>
  <c r="M452" i="2"/>
  <c r="L452" i="2"/>
  <c r="K452" i="2"/>
  <c r="J452" i="2"/>
  <c r="I452" i="2"/>
  <c r="H452" i="2"/>
  <c r="I435" i="2" l="1"/>
  <c r="Q50" i="4" l="1"/>
  <c r="P50" i="4"/>
  <c r="O50" i="4"/>
  <c r="N50" i="4"/>
  <c r="M50" i="4"/>
  <c r="L50" i="4"/>
  <c r="K50" i="4"/>
  <c r="J50" i="4"/>
  <c r="I50" i="4"/>
  <c r="H50" i="4"/>
  <c r="Q49" i="4"/>
  <c r="P49" i="4"/>
  <c r="O49" i="4"/>
  <c r="N49" i="4"/>
  <c r="M49" i="4"/>
  <c r="L49" i="4"/>
  <c r="K49" i="4"/>
  <c r="J49" i="4"/>
  <c r="I49" i="4"/>
  <c r="H49" i="4"/>
  <c r="Q110" i="2" l="1"/>
  <c r="P110" i="2"/>
  <c r="O110" i="2"/>
  <c r="N110" i="2"/>
  <c r="M110" i="2"/>
  <c r="L110" i="2"/>
  <c r="K110" i="2"/>
  <c r="J110" i="2"/>
  <c r="I110" i="2"/>
  <c r="H110" i="2"/>
  <c r="Q109" i="2"/>
  <c r="P109" i="2"/>
  <c r="O109" i="2"/>
  <c r="N109" i="2"/>
  <c r="M109" i="2"/>
  <c r="L109" i="2"/>
  <c r="K109" i="2"/>
  <c r="J109" i="2"/>
  <c r="I109" i="2"/>
  <c r="H109" i="2"/>
  <c r="L79" i="3"/>
  <c r="Q29" i="1" l="1"/>
  <c r="P29" i="1"/>
  <c r="O29" i="1"/>
  <c r="N29" i="1"/>
  <c r="M29" i="1"/>
  <c r="L29" i="1"/>
  <c r="K29" i="1"/>
  <c r="J29" i="1"/>
  <c r="I29" i="1"/>
  <c r="H29" i="1"/>
  <c r="Q28" i="1"/>
  <c r="P28" i="1"/>
  <c r="O28" i="1"/>
  <c r="N28" i="1"/>
  <c r="M28" i="1"/>
  <c r="L28" i="1"/>
  <c r="K28" i="1"/>
  <c r="J28" i="1"/>
  <c r="I28" i="1"/>
  <c r="H28" i="1"/>
  <c r="Q27" i="1"/>
  <c r="P27" i="1"/>
  <c r="O27" i="1"/>
  <c r="N27" i="1"/>
  <c r="M27" i="1"/>
  <c r="L27" i="1"/>
  <c r="K27" i="1"/>
  <c r="J27" i="1"/>
  <c r="I27" i="1"/>
  <c r="H27" i="1"/>
  <c r="Q26" i="1"/>
  <c r="P26" i="1"/>
  <c r="O26" i="1"/>
  <c r="N26" i="1"/>
  <c r="M26" i="1"/>
  <c r="L26" i="1"/>
  <c r="K26" i="1"/>
  <c r="J26" i="1"/>
  <c r="I26" i="1"/>
  <c r="H26" i="1"/>
  <c r="Q25" i="1"/>
  <c r="P25" i="1"/>
  <c r="O25" i="1"/>
  <c r="N25" i="1"/>
  <c r="M25" i="1"/>
  <c r="L25" i="1"/>
  <c r="K25" i="1"/>
  <c r="J25" i="1"/>
  <c r="I25" i="1"/>
  <c r="H25" i="1"/>
  <c r="Q24" i="1"/>
  <c r="P24" i="1"/>
  <c r="O24" i="1"/>
  <c r="N24" i="1"/>
  <c r="M24" i="1"/>
  <c r="L24" i="1"/>
  <c r="K24" i="1"/>
  <c r="J24" i="1"/>
  <c r="I24" i="1"/>
  <c r="H24" i="1"/>
  <c r="Q23" i="1"/>
  <c r="P23" i="1"/>
  <c r="O23" i="1"/>
  <c r="N23" i="1"/>
  <c r="M23" i="1"/>
  <c r="L23" i="1"/>
  <c r="K23" i="1"/>
  <c r="J23" i="1"/>
  <c r="I23" i="1"/>
  <c r="H23" i="1"/>
  <c r="Q22" i="1"/>
  <c r="P22" i="1"/>
  <c r="O22" i="1"/>
  <c r="N22" i="1"/>
  <c r="M22" i="1"/>
  <c r="L22" i="1"/>
  <c r="K22" i="1"/>
  <c r="J22" i="1"/>
  <c r="I22" i="1"/>
  <c r="H22" i="1"/>
  <c r="Q21" i="1"/>
  <c r="P21" i="1"/>
  <c r="O21" i="1"/>
  <c r="N21" i="1"/>
  <c r="M21" i="1"/>
  <c r="L21" i="1"/>
  <c r="K21" i="1"/>
  <c r="J21" i="1"/>
  <c r="I21" i="1"/>
  <c r="H21" i="1"/>
  <c r="Q20" i="1"/>
  <c r="P20" i="1"/>
  <c r="O20" i="1"/>
  <c r="N20" i="1"/>
  <c r="M20" i="1"/>
  <c r="L20" i="1"/>
  <c r="K20" i="1"/>
  <c r="J20" i="1"/>
  <c r="I20" i="1"/>
  <c r="H20" i="1"/>
  <c r="Q19" i="1"/>
  <c r="P19" i="1"/>
  <c r="O19" i="1"/>
  <c r="N19" i="1"/>
  <c r="M19" i="1"/>
  <c r="L19" i="1"/>
  <c r="K19" i="1"/>
  <c r="J19" i="1"/>
  <c r="I19" i="1"/>
  <c r="H19" i="1"/>
  <c r="Q18" i="1"/>
  <c r="P18" i="1"/>
  <c r="O18" i="1"/>
  <c r="N18" i="1"/>
  <c r="M18" i="1"/>
  <c r="L18" i="1"/>
  <c r="K18" i="1"/>
  <c r="J18" i="1"/>
  <c r="I18" i="1"/>
  <c r="H18" i="1"/>
  <c r="Q17" i="1"/>
  <c r="P17" i="1"/>
  <c r="O17" i="1"/>
  <c r="N17" i="1"/>
  <c r="M17" i="1"/>
  <c r="L17" i="1"/>
  <c r="K17" i="1"/>
  <c r="J17" i="1"/>
  <c r="I17" i="1"/>
  <c r="H17" i="1"/>
  <c r="Q16" i="1"/>
  <c r="P16" i="1"/>
  <c r="O16" i="1"/>
  <c r="N16" i="1"/>
  <c r="M16" i="1"/>
  <c r="L16" i="1"/>
  <c r="K16" i="1"/>
  <c r="J16" i="1"/>
  <c r="I16" i="1"/>
  <c r="H16" i="1"/>
  <c r="Q15" i="1"/>
  <c r="P15" i="1"/>
  <c r="O15" i="1"/>
  <c r="N15" i="1"/>
  <c r="M15" i="1"/>
  <c r="L15" i="1"/>
  <c r="K15" i="1"/>
  <c r="J15" i="1"/>
  <c r="I15" i="1"/>
  <c r="H15" i="1"/>
  <c r="Q15" i="2"/>
  <c r="P15" i="2"/>
  <c r="O15" i="2"/>
  <c r="N15" i="2"/>
  <c r="M15" i="2"/>
  <c r="L15" i="2"/>
  <c r="K15" i="2"/>
  <c r="J15" i="2"/>
  <c r="I15" i="2"/>
  <c r="H15" i="2"/>
  <c r="Q64" i="4" l="1"/>
  <c r="P64" i="4"/>
  <c r="O64" i="4"/>
  <c r="N64" i="4"/>
  <c r="M64" i="4"/>
  <c r="L64" i="4"/>
  <c r="K64" i="4"/>
  <c r="J64" i="4"/>
  <c r="I64" i="4"/>
  <c r="H64" i="4"/>
  <c r="Q63" i="4"/>
  <c r="P63" i="4"/>
  <c r="O63" i="4"/>
  <c r="N63" i="4"/>
  <c r="M63" i="4"/>
  <c r="L63" i="4"/>
  <c r="K63" i="4"/>
  <c r="J63" i="4"/>
  <c r="I63" i="4"/>
  <c r="H63" i="4"/>
  <c r="Q60" i="4"/>
  <c r="P60" i="4"/>
  <c r="O60" i="4"/>
  <c r="N60" i="4"/>
  <c r="M60" i="4"/>
  <c r="L60" i="4"/>
  <c r="K60" i="4"/>
  <c r="J60" i="4"/>
  <c r="I60" i="4"/>
  <c r="H60" i="4"/>
  <c r="Q59" i="4"/>
  <c r="P59" i="4"/>
  <c r="O59" i="4"/>
  <c r="N59" i="4"/>
  <c r="M59" i="4"/>
  <c r="L59" i="4"/>
  <c r="K59" i="4"/>
  <c r="J59" i="4"/>
  <c r="I59" i="4"/>
  <c r="H59" i="4"/>
  <c r="Q56" i="4"/>
  <c r="P56" i="4"/>
  <c r="O56" i="4"/>
  <c r="N56" i="4"/>
  <c r="M56" i="4"/>
  <c r="L56" i="4"/>
  <c r="K56" i="4"/>
  <c r="J56" i="4"/>
  <c r="I56" i="4"/>
  <c r="H56" i="4"/>
  <c r="Q53" i="4"/>
  <c r="P53" i="4"/>
  <c r="O53" i="4"/>
  <c r="N53" i="4"/>
  <c r="M53" i="4"/>
  <c r="L53" i="4"/>
  <c r="K53" i="4"/>
  <c r="J53" i="4"/>
  <c r="I53" i="4"/>
  <c r="H53" i="4"/>
  <c r="Q46" i="4"/>
  <c r="P46" i="4"/>
  <c r="O46" i="4"/>
  <c r="N46" i="4"/>
  <c r="M46" i="4"/>
  <c r="L46" i="4"/>
  <c r="K46" i="4"/>
  <c r="J46" i="4"/>
  <c r="I46" i="4"/>
  <c r="H46" i="4"/>
  <c r="Q43" i="4"/>
  <c r="P43" i="4"/>
  <c r="O43" i="4"/>
  <c r="N43" i="4"/>
  <c r="M43" i="4"/>
  <c r="L43" i="4"/>
  <c r="K43" i="4"/>
  <c r="J43" i="4"/>
  <c r="I43" i="4"/>
  <c r="H43" i="4"/>
  <c r="Q40" i="4"/>
  <c r="P40" i="4"/>
  <c r="O40" i="4"/>
  <c r="N40" i="4"/>
  <c r="M40" i="4"/>
  <c r="L40" i="4"/>
  <c r="K40" i="4"/>
  <c r="J40" i="4"/>
  <c r="I40" i="4"/>
  <c r="H40" i="4"/>
  <c r="Q37" i="4"/>
  <c r="P37" i="4"/>
  <c r="O37" i="4"/>
  <c r="N37" i="4"/>
  <c r="M37" i="4"/>
  <c r="L37" i="4"/>
  <c r="K37" i="4"/>
  <c r="J37" i="4"/>
  <c r="I37" i="4"/>
  <c r="H37" i="4"/>
  <c r="Q34" i="4"/>
  <c r="P34" i="4"/>
  <c r="O34" i="4"/>
  <c r="N34" i="4"/>
  <c r="M34" i="4"/>
  <c r="L34" i="4"/>
  <c r="K34" i="4"/>
  <c r="J34" i="4"/>
  <c r="I34" i="4"/>
  <c r="H34" i="4"/>
  <c r="Q31" i="4"/>
  <c r="P31" i="4"/>
  <c r="O31" i="4"/>
  <c r="N31" i="4"/>
  <c r="M31" i="4"/>
  <c r="L31" i="4"/>
  <c r="K31" i="4"/>
  <c r="J31" i="4"/>
  <c r="I31" i="4"/>
  <c r="H31" i="4"/>
  <c r="Q28" i="4"/>
  <c r="P28" i="4"/>
  <c r="O28" i="4"/>
  <c r="N28" i="4"/>
  <c r="M28" i="4"/>
  <c r="L28" i="4"/>
  <c r="K28" i="4"/>
  <c r="J28" i="4"/>
  <c r="I28" i="4"/>
  <c r="H28" i="4"/>
  <c r="Q27" i="4"/>
  <c r="P27" i="4"/>
  <c r="O27" i="4"/>
  <c r="N27" i="4"/>
  <c r="M27" i="4"/>
  <c r="L27" i="4"/>
  <c r="K27" i="4"/>
  <c r="J27" i="4"/>
  <c r="I27" i="4"/>
  <c r="H27" i="4"/>
  <c r="Q26" i="4"/>
  <c r="P26" i="4"/>
  <c r="O26" i="4"/>
  <c r="N26" i="4"/>
  <c r="M26" i="4"/>
  <c r="L26" i="4"/>
  <c r="K26" i="4"/>
  <c r="J26" i="4"/>
  <c r="I26" i="4"/>
  <c r="H26" i="4"/>
  <c r="Q25" i="4"/>
  <c r="P25" i="4"/>
  <c r="O25" i="4"/>
  <c r="N25" i="4"/>
  <c r="M25" i="4"/>
  <c r="L25" i="4"/>
  <c r="K25" i="4"/>
  <c r="J25" i="4"/>
  <c r="I25" i="4"/>
  <c r="H25" i="4"/>
  <c r="Q22" i="4"/>
  <c r="P22" i="4"/>
  <c r="O22" i="4"/>
  <c r="N22" i="4"/>
  <c r="M22" i="4"/>
  <c r="L22" i="4"/>
  <c r="K22" i="4"/>
  <c r="J22" i="4"/>
  <c r="I22" i="4"/>
  <c r="H22" i="4"/>
  <c r="Q21" i="4"/>
  <c r="P21" i="4"/>
  <c r="O21" i="4"/>
  <c r="N21" i="4"/>
  <c r="M21" i="4"/>
  <c r="L21" i="4"/>
  <c r="K21" i="4"/>
  <c r="J21" i="4"/>
  <c r="I21" i="4"/>
  <c r="H21" i="4"/>
  <c r="Q18" i="4"/>
  <c r="P18" i="4"/>
  <c r="O18" i="4"/>
  <c r="N18" i="4"/>
  <c r="M18" i="4"/>
  <c r="L18" i="4"/>
  <c r="K18" i="4"/>
  <c r="J18" i="4"/>
  <c r="I18" i="4"/>
  <c r="H18" i="4"/>
  <c r="Q15" i="4"/>
  <c r="P15" i="4"/>
  <c r="O15" i="4"/>
  <c r="N15" i="4"/>
  <c r="M15" i="4"/>
  <c r="L15" i="4"/>
  <c r="K15" i="4"/>
  <c r="J15" i="4"/>
  <c r="I15" i="4"/>
  <c r="H15" i="4"/>
  <c r="Q335" i="3"/>
  <c r="P335" i="3"/>
  <c r="O335" i="3"/>
  <c r="N335" i="3"/>
  <c r="M335" i="3"/>
  <c r="L335" i="3"/>
  <c r="K335" i="3"/>
  <c r="J335" i="3"/>
  <c r="I335" i="3"/>
  <c r="H335" i="3"/>
  <c r="Q334" i="3"/>
  <c r="P334" i="3"/>
  <c r="O334" i="3"/>
  <c r="N334" i="3"/>
  <c r="M334" i="3"/>
  <c r="L334" i="3"/>
  <c r="K334" i="3"/>
  <c r="J334" i="3"/>
  <c r="I334" i="3"/>
  <c r="H334" i="3"/>
  <c r="Q333" i="3"/>
  <c r="P333" i="3"/>
  <c r="O333" i="3"/>
  <c r="N333" i="3"/>
  <c r="M333" i="3"/>
  <c r="L333" i="3"/>
  <c r="K333" i="3"/>
  <c r="J333" i="3"/>
  <c r="I333" i="3"/>
  <c r="H333" i="3"/>
  <c r="Q332" i="3"/>
  <c r="P332" i="3"/>
  <c r="O332" i="3"/>
  <c r="N332" i="3"/>
  <c r="M332" i="3"/>
  <c r="L332" i="3"/>
  <c r="K332" i="3"/>
  <c r="J332" i="3"/>
  <c r="I332" i="3"/>
  <c r="H332" i="3"/>
  <c r="Q331" i="3"/>
  <c r="P331" i="3"/>
  <c r="O331" i="3"/>
  <c r="N331" i="3"/>
  <c r="M331" i="3"/>
  <c r="L331" i="3"/>
  <c r="K331" i="3"/>
  <c r="J331" i="3"/>
  <c r="I331" i="3"/>
  <c r="H331" i="3"/>
  <c r="Q330" i="3"/>
  <c r="P330" i="3"/>
  <c r="O330" i="3"/>
  <c r="N330" i="3"/>
  <c r="M330" i="3"/>
  <c r="L330" i="3"/>
  <c r="K330" i="3"/>
  <c r="J330" i="3"/>
  <c r="I330" i="3"/>
  <c r="H330" i="3"/>
  <c r="Q329" i="3"/>
  <c r="P329" i="3"/>
  <c r="O329" i="3"/>
  <c r="N329" i="3"/>
  <c r="M329" i="3"/>
  <c r="L329" i="3"/>
  <c r="K329" i="3"/>
  <c r="J329" i="3"/>
  <c r="I329" i="3"/>
  <c r="H329" i="3"/>
  <c r="Q328" i="3"/>
  <c r="P328" i="3"/>
  <c r="O328" i="3"/>
  <c r="N328" i="3"/>
  <c r="M328" i="3"/>
  <c r="L328" i="3"/>
  <c r="K328" i="3"/>
  <c r="J328" i="3"/>
  <c r="I328" i="3"/>
  <c r="H328" i="3"/>
  <c r="Q325" i="3"/>
  <c r="P325" i="3"/>
  <c r="O325" i="3"/>
  <c r="N325" i="3"/>
  <c r="M325" i="3"/>
  <c r="L325" i="3"/>
  <c r="K325" i="3"/>
  <c r="J325" i="3"/>
  <c r="I325" i="3"/>
  <c r="H325" i="3"/>
  <c r="Q324" i="3"/>
  <c r="P324" i="3"/>
  <c r="O324" i="3"/>
  <c r="N324" i="3"/>
  <c r="M324" i="3"/>
  <c r="L324" i="3"/>
  <c r="K324" i="3"/>
  <c r="J324" i="3"/>
  <c r="I324" i="3"/>
  <c r="H324" i="3"/>
  <c r="Q323" i="3"/>
  <c r="P323" i="3"/>
  <c r="O323" i="3"/>
  <c r="N323" i="3"/>
  <c r="M323" i="3"/>
  <c r="L323" i="3"/>
  <c r="K323" i="3"/>
  <c r="J323" i="3"/>
  <c r="I323" i="3"/>
  <c r="H323" i="3"/>
  <c r="Q322" i="3"/>
  <c r="P322" i="3"/>
  <c r="O322" i="3"/>
  <c r="N322" i="3"/>
  <c r="M322" i="3"/>
  <c r="L322" i="3"/>
  <c r="K322" i="3"/>
  <c r="J322" i="3"/>
  <c r="I322" i="3"/>
  <c r="H322" i="3"/>
  <c r="Q321" i="3"/>
  <c r="P321" i="3"/>
  <c r="O321" i="3"/>
  <c r="N321" i="3"/>
  <c r="M321" i="3"/>
  <c r="L321" i="3"/>
  <c r="K321" i="3"/>
  <c r="J321" i="3"/>
  <c r="I321" i="3"/>
  <c r="H321" i="3"/>
  <c r="Q320" i="3"/>
  <c r="P320" i="3"/>
  <c r="O320" i="3"/>
  <c r="N320" i="3"/>
  <c r="M320" i="3"/>
  <c r="L320" i="3"/>
  <c r="K320" i="3"/>
  <c r="J320" i="3"/>
  <c r="I320" i="3"/>
  <c r="H320" i="3"/>
  <c r="Q319" i="3"/>
  <c r="P319" i="3"/>
  <c r="O319" i="3"/>
  <c r="N319" i="3"/>
  <c r="M319" i="3"/>
  <c r="L319" i="3"/>
  <c r="K319" i="3"/>
  <c r="J319" i="3"/>
  <c r="I319" i="3"/>
  <c r="H319" i="3"/>
  <c r="H316" i="3"/>
  <c r="Q305" i="3"/>
  <c r="P305" i="3"/>
  <c r="O305" i="3"/>
  <c r="N305" i="3"/>
  <c r="M305" i="3"/>
  <c r="L305" i="3"/>
  <c r="K305" i="3"/>
  <c r="J305" i="3"/>
  <c r="I305" i="3"/>
  <c r="H305" i="3"/>
  <c r="Q304" i="3"/>
  <c r="P304" i="3"/>
  <c r="O304" i="3"/>
  <c r="N304" i="3"/>
  <c r="M304" i="3"/>
  <c r="L304" i="3"/>
  <c r="K304" i="3"/>
  <c r="J304" i="3"/>
  <c r="I304" i="3"/>
  <c r="H304" i="3"/>
  <c r="Q303" i="3"/>
  <c r="P303" i="3"/>
  <c r="O303" i="3"/>
  <c r="N303" i="3"/>
  <c r="M303" i="3"/>
  <c r="L303" i="3"/>
  <c r="K303" i="3"/>
  <c r="J303" i="3"/>
  <c r="I303" i="3"/>
  <c r="H303" i="3"/>
  <c r="Q302" i="3"/>
  <c r="P302" i="3"/>
  <c r="O302" i="3"/>
  <c r="N302" i="3"/>
  <c r="M302" i="3"/>
  <c r="L302" i="3"/>
  <c r="K302" i="3"/>
  <c r="J302" i="3"/>
  <c r="I302" i="3"/>
  <c r="H302" i="3"/>
  <c r="Q301" i="3"/>
  <c r="P301" i="3"/>
  <c r="O301" i="3"/>
  <c r="N301" i="3"/>
  <c r="M301" i="3"/>
  <c r="L301" i="3"/>
  <c r="K301" i="3"/>
  <c r="J301" i="3"/>
  <c r="I301" i="3"/>
  <c r="H301" i="3"/>
  <c r="Q300" i="3"/>
  <c r="P300" i="3"/>
  <c r="O300" i="3"/>
  <c r="N300" i="3"/>
  <c r="M300" i="3"/>
  <c r="L300" i="3"/>
  <c r="K300" i="3"/>
  <c r="J300" i="3"/>
  <c r="I300" i="3"/>
  <c r="H300" i="3"/>
  <c r="Q299" i="3"/>
  <c r="P299" i="3"/>
  <c r="O299" i="3"/>
  <c r="N299" i="3"/>
  <c r="M299" i="3"/>
  <c r="L299" i="3"/>
  <c r="K299" i="3"/>
  <c r="J299" i="3"/>
  <c r="I299" i="3"/>
  <c r="H299" i="3"/>
  <c r="Q298" i="3"/>
  <c r="P298" i="3"/>
  <c r="O298" i="3"/>
  <c r="N298" i="3"/>
  <c r="M298" i="3"/>
  <c r="L298" i="3"/>
  <c r="K298" i="3"/>
  <c r="J298" i="3"/>
  <c r="I298" i="3"/>
  <c r="H298" i="3"/>
  <c r="Q297" i="3"/>
  <c r="P297" i="3"/>
  <c r="O297" i="3"/>
  <c r="N297" i="3"/>
  <c r="M297" i="3"/>
  <c r="L297" i="3"/>
  <c r="K297" i="3"/>
  <c r="J297" i="3"/>
  <c r="I297" i="3"/>
  <c r="H297" i="3"/>
  <c r="Q296" i="3"/>
  <c r="P296" i="3"/>
  <c r="O296" i="3"/>
  <c r="N296" i="3"/>
  <c r="M296" i="3"/>
  <c r="L296" i="3"/>
  <c r="K296" i="3"/>
  <c r="J296" i="3"/>
  <c r="I296" i="3"/>
  <c r="H296" i="3"/>
  <c r="Q295" i="3"/>
  <c r="P295" i="3"/>
  <c r="O295" i="3"/>
  <c r="N295" i="3"/>
  <c r="M295" i="3"/>
  <c r="L295" i="3"/>
  <c r="K295" i="3"/>
  <c r="J295" i="3"/>
  <c r="I295" i="3"/>
  <c r="H295" i="3"/>
  <c r="Q294" i="3"/>
  <c r="P294" i="3"/>
  <c r="O294" i="3"/>
  <c r="N294" i="3"/>
  <c r="M294" i="3"/>
  <c r="L294" i="3"/>
  <c r="K294" i="3"/>
  <c r="J294" i="3"/>
  <c r="I294" i="3"/>
  <c r="H294" i="3"/>
  <c r="Q293" i="3"/>
  <c r="P293" i="3"/>
  <c r="O293" i="3"/>
  <c r="N293" i="3"/>
  <c r="M293" i="3"/>
  <c r="L293" i="3"/>
  <c r="K293" i="3"/>
  <c r="J293" i="3"/>
  <c r="I293" i="3"/>
  <c r="H293" i="3"/>
  <c r="Q292" i="3"/>
  <c r="P292" i="3"/>
  <c r="O292" i="3"/>
  <c r="N292" i="3"/>
  <c r="M292" i="3"/>
  <c r="L292" i="3"/>
  <c r="K292" i="3"/>
  <c r="J292" i="3"/>
  <c r="I292" i="3"/>
  <c r="H292" i="3"/>
  <c r="Q291" i="3"/>
  <c r="P291" i="3"/>
  <c r="O291" i="3"/>
  <c r="N291" i="3"/>
  <c r="M291" i="3"/>
  <c r="L291" i="3"/>
  <c r="K291" i="3"/>
  <c r="J291" i="3"/>
  <c r="I291" i="3"/>
  <c r="H291" i="3"/>
  <c r="Q290" i="3"/>
  <c r="P290" i="3"/>
  <c r="O290" i="3"/>
  <c r="N290" i="3"/>
  <c r="M290" i="3"/>
  <c r="L290" i="3"/>
  <c r="K290" i="3"/>
  <c r="J290" i="3"/>
  <c r="I290" i="3"/>
  <c r="H290" i="3"/>
  <c r="Q289" i="3"/>
  <c r="P289" i="3"/>
  <c r="O289" i="3"/>
  <c r="N289" i="3"/>
  <c r="M289" i="3"/>
  <c r="L289" i="3"/>
  <c r="K289" i="3"/>
  <c r="J289" i="3"/>
  <c r="I289" i="3"/>
  <c r="H289" i="3"/>
  <c r="Q286" i="3"/>
  <c r="P286" i="3"/>
  <c r="O286" i="3"/>
  <c r="N286" i="3"/>
  <c r="M286" i="3"/>
  <c r="L286" i="3"/>
  <c r="K286" i="3"/>
  <c r="J286" i="3"/>
  <c r="I286" i="3"/>
  <c r="H286" i="3"/>
  <c r="Q285" i="3"/>
  <c r="P285" i="3"/>
  <c r="O285" i="3"/>
  <c r="N285" i="3"/>
  <c r="M285" i="3"/>
  <c r="L285" i="3"/>
  <c r="K285" i="3"/>
  <c r="J285" i="3"/>
  <c r="I285" i="3"/>
  <c r="H285" i="3"/>
  <c r="Q284" i="3"/>
  <c r="P284" i="3"/>
  <c r="O284" i="3"/>
  <c r="N284" i="3"/>
  <c r="M284" i="3"/>
  <c r="L284" i="3"/>
  <c r="K284" i="3"/>
  <c r="J284" i="3"/>
  <c r="I284" i="3"/>
  <c r="H284" i="3"/>
  <c r="Q283" i="3"/>
  <c r="P283" i="3"/>
  <c r="O283" i="3"/>
  <c r="N283" i="3"/>
  <c r="M283" i="3"/>
  <c r="L283" i="3"/>
  <c r="K283" i="3"/>
  <c r="J283" i="3"/>
  <c r="I283" i="3"/>
  <c r="H283" i="3"/>
  <c r="Q282" i="3"/>
  <c r="P282" i="3"/>
  <c r="O282" i="3"/>
  <c r="N282" i="3"/>
  <c r="M282" i="3"/>
  <c r="L282" i="3"/>
  <c r="K282" i="3"/>
  <c r="J282" i="3"/>
  <c r="I282" i="3"/>
  <c r="H282" i="3"/>
  <c r="Q281" i="3"/>
  <c r="P281" i="3"/>
  <c r="O281" i="3"/>
  <c r="N281" i="3"/>
  <c r="M281" i="3"/>
  <c r="L281" i="3"/>
  <c r="K281" i="3"/>
  <c r="J281" i="3"/>
  <c r="I281" i="3"/>
  <c r="H281" i="3"/>
  <c r="Q280" i="3"/>
  <c r="P280" i="3"/>
  <c r="O280" i="3"/>
  <c r="N280" i="3"/>
  <c r="M280" i="3"/>
  <c r="L280" i="3"/>
  <c r="K280" i="3"/>
  <c r="J280" i="3"/>
  <c r="I280" i="3"/>
  <c r="H280" i="3"/>
  <c r="Q279" i="3"/>
  <c r="P279" i="3"/>
  <c r="O279" i="3"/>
  <c r="N279" i="3"/>
  <c r="M279" i="3"/>
  <c r="L279" i="3"/>
  <c r="K279" i="3"/>
  <c r="J279" i="3"/>
  <c r="I279" i="3"/>
  <c r="H279" i="3"/>
  <c r="Q278" i="3"/>
  <c r="P278" i="3"/>
  <c r="O278" i="3"/>
  <c r="N278" i="3"/>
  <c r="M278" i="3"/>
  <c r="L278" i="3"/>
  <c r="K278" i="3"/>
  <c r="J278" i="3"/>
  <c r="I278" i="3"/>
  <c r="H278" i="3"/>
  <c r="Q277" i="3"/>
  <c r="P277" i="3"/>
  <c r="O277" i="3"/>
  <c r="N277" i="3"/>
  <c r="M277" i="3"/>
  <c r="L277" i="3"/>
  <c r="K277" i="3"/>
  <c r="J277" i="3"/>
  <c r="I277" i="3"/>
  <c r="H277" i="3"/>
  <c r="Q276" i="3"/>
  <c r="P276" i="3"/>
  <c r="O276" i="3"/>
  <c r="N276" i="3"/>
  <c r="M276" i="3"/>
  <c r="L276" i="3"/>
  <c r="K276" i="3"/>
  <c r="J276" i="3"/>
  <c r="I276" i="3"/>
  <c r="H276" i="3"/>
  <c r="Q275" i="3"/>
  <c r="P275" i="3"/>
  <c r="O275" i="3"/>
  <c r="N275" i="3"/>
  <c r="M275" i="3"/>
  <c r="L275" i="3"/>
  <c r="K275" i="3"/>
  <c r="J275" i="3"/>
  <c r="I275" i="3"/>
  <c r="H275" i="3"/>
  <c r="Q272" i="3"/>
  <c r="P272" i="3"/>
  <c r="O272" i="3"/>
  <c r="N272" i="3"/>
  <c r="M272" i="3"/>
  <c r="L272" i="3"/>
  <c r="K272" i="3"/>
  <c r="J272" i="3"/>
  <c r="I272" i="3"/>
  <c r="H272" i="3"/>
  <c r="Q269" i="3"/>
  <c r="P269" i="3"/>
  <c r="O269" i="3"/>
  <c r="N269" i="3"/>
  <c r="M269" i="3"/>
  <c r="L269" i="3"/>
  <c r="K269" i="3"/>
  <c r="J269" i="3"/>
  <c r="I269" i="3"/>
  <c r="H269" i="3"/>
  <c r="Q268" i="3"/>
  <c r="P268" i="3"/>
  <c r="O268" i="3"/>
  <c r="N268" i="3"/>
  <c r="M268" i="3"/>
  <c r="L268" i="3"/>
  <c r="K268" i="3"/>
  <c r="J268" i="3"/>
  <c r="I268" i="3"/>
  <c r="H268" i="3"/>
  <c r="Q267" i="3"/>
  <c r="P267" i="3"/>
  <c r="O267" i="3"/>
  <c r="N267" i="3"/>
  <c r="M267" i="3"/>
  <c r="L267" i="3"/>
  <c r="K267" i="3"/>
  <c r="J267" i="3"/>
  <c r="I267" i="3"/>
  <c r="H267" i="3"/>
  <c r="Q266" i="3"/>
  <c r="P266" i="3"/>
  <c r="O266" i="3"/>
  <c r="N266" i="3"/>
  <c r="M266" i="3"/>
  <c r="L266" i="3"/>
  <c r="K266" i="3"/>
  <c r="J266" i="3"/>
  <c r="I266" i="3"/>
  <c r="H266" i="3"/>
  <c r="Q263" i="3"/>
  <c r="P263" i="3"/>
  <c r="O263" i="3"/>
  <c r="N263" i="3"/>
  <c r="M263" i="3"/>
  <c r="L263" i="3"/>
  <c r="K263" i="3"/>
  <c r="J263" i="3"/>
  <c r="I263" i="3"/>
  <c r="H263" i="3"/>
  <c r="Q262" i="3"/>
  <c r="P262" i="3"/>
  <c r="O262" i="3"/>
  <c r="N262" i="3"/>
  <c r="M262" i="3"/>
  <c r="L262" i="3"/>
  <c r="K262" i="3"/>
  <c r="J262" i="3"/>
  <c r="I262" i="3"/>
  <c r="H262" i="3"/>
  <c r="Q261" i="3"/>
  <c r="P261" i="3"/>
  <c r="O261" i="3"/>
  <c r="N261" i="3"/>
  <c r="M261" i="3"/>
  <c r="L261" i="3"/>
  <c r="K261" i="3"/>
  <c r="J261" i="3"/>
  <c r="I261" i="3"/>
  <c r="H261" i="3"/>
  <c r="Q260" i="3"/>
  <c r="P260" i="3"/>
  <c r="O260" i="3"/>
  <c r="N260" i="3"/>
  <c r="M260" i="3"/>
  <c r="L260" i="3"/>
  <c r="K260" i="3"/>
  <c r="J260" i="3"/>
  <c r="I260" i="3"/>
  <c r="H260" i="3"/>
  <c r="Q259" i="3"/>
  <c r="P259" i="3"/>
  <c r="O259" i="3"/>
  <c r="N259" i="3"/>
  <c r="M259" i="3"/>
  <c r="L259" i="3"/>
  <c r="K259" i="3"/>
  <c r="J259" i="3"/>
  <c r="I259" i="3"/>
  <c r="H259" i="3"/>
  <c r="Q258" i="3"/>
  <c r="P258" i="3"/>
  <c r="O258" i="3"/>
  <c r="N258" i="3"/>
  <c r="M258" i="3"/>
  <c r="L258" i="3"/>
  <c r="K258" i="3"/>
  <c r="J258" i="3"/>
  <c r="I258" i="3"/>
  <c r="H258" i="3"/>
  <c r="Q257" i="3"/>
  <c r="P257" i="3"/>
  <c r="O257" i="3"/>
  <c r="N257" i="3"/>
  <c r="M257" i="3"/>
  <c r="L257" i="3"/>
  <c r="K257" i="3"/>
  <c r="J257" i="3"/>
  <c r="I257" i="3"/>
  <c r="H257" i="3"/>
  <c r="Q256" i="3"/>
  <c r="P256" i="3"/>
  <c r="O256" i="3"/>
  <c r="N256" i="3"/>
  <c r="M256" i="3"/>
  <c r="L256" i="3"/>
  <c r="K256" i="3"/>
  <c r="J256" i="3"/>
  <c r="I256" i="3"/>
  <c r="H256" i="3"/>
  <c r="Q255" i="3"/>
  <c r="P255" i="3"/>
  <c r="O255" i="3"/>
  <c r="N255" i="3"/>
  <c r="M255" i="3"/>
  <c r="L255" i="3"/>
  <c r="K255" i="3"/>
  <c r="J255" i="3"/>
  <c r="I255" i="3"/>
  <c r="H255" i="3"/>
  <c r="Q252" i="3"/>
  <c r="P252" i="3"/>
  <c r="O252" i="3"/>
  <c r="N252" i="3"/>
  <c r="M252" i="3"/>
  <c r="L252" i="3"/>
  <c r="K252" i="3"/>
  <c r="J252" i="3"/>
  <c r="I252" i="3"/>
  <c r="H252" i="3"/>
  <c r="Q249" i="3"/>
  <c r="P249" i="3"/>
  <c r="O249" i="3"/>
  <c r="N249" i="3"/>
  <c r="M249" i="3"/>
  <c r="L249" i="3"/>
  <c r="K249" i="3"/>
  <c r="J249" i="3"/>
  <c r="I249" i="3"/>
  <c r="H249" i="3"/>
  <c r="Q246" i="3"/>
  <c r="P246" i="3"/>
  <c r="O246" i="3"/>
  <c r="N246" i="3"/>
  <c r="M246" i="3"/>
  <c r="L246" i="3"/>
  <c r="K246" i="3"/>
  <c r="J246" i="3"/>
  <c r="I246" i="3"/>
  <c r="H246" i="3"/>
  <c r="Q245" i="3"/>
  <c r="P245" i="3"/>
  <c r="O245" i="3"/>
  <c r="N245" i="3"/>
  <c r="M245" i="3"/>
  <c r="L245" i="3"/>
  <c r="K245" i="3"/>
  <c r="J245" i="3"/>
  <c r="I245" i="3"/>
  <c r="H245" i="3"/>
  <c r="Q242" i="3"/>
  <c r="P242" i="3"/>
  <c r="O242" i="3"/>
  <c r="N242" i="3"/>
  <c r="M242" i="3"/>
  <c r="L242" i="3"/>
  <c r="K242" i="3"/>
  <c r="J242" i="3"/>
  <c r="I242" i="3"/>
  <c r="H242" i="3"/>
  <c r="Q241" i="3"/>
  <c r="P241" i="3"/>
  <c r="O241" i="3"/>
  <c r="N241" i="3"/>
  <c r="M241" i="3"/>
  <c r="L241" i="3"/>
  <c r="K241" i="3"/>
  <c r="J241" i="3"/>
  <c r="I241" i="3"/>
  <c r="H241" i="3"/>
  <c r="Q238" i="3"/>
  <c r="P238" i="3"/>
  <c r="O238" i="3"/>
  <c r="N238" i="3"/>
  <c r="M238" i="3"/>
  <c r="L238" i="3"/>
  <c r="K238" i="3"/>
  <c r="J238" i="3"/>
  <c r="I238" i="3"/>
  <c r="H238" i="3"/>
  <c r="Q235" i="3"/>
  <c r="P235" i="3"/>
  <c r="O235" i="3"/>
  <c r="N235" i="3"/>
  <c r="M235" i="3"/>
  <c r="L235" i="3"/>
  <c r="K235" i="3"/>
  <c r="J235" i="3"/>
  <c r="I235" i="3"/>
  <c r="H235" i="3"/>
  <c r="Q234" i="3"/>
  <c r="P234" i="3"/>
  <c r="O234" i="3"/>
  <c r="N234" i="3"/>
  <c r="M234" i="3"/>
  <c r="L234" i="3"/>
  <c r="K234" i="3"/>
  <c r="J234" i="3"/>
  <c r="I234" i="3"/>
  <c r="H234" i="3"/>
  <c r="Q233" i="3"/>
  <c r="P233" i="3"/>
  <c r="O233" i="3"/>
  <c r="N233" i="3"/>
  <c r="M233" i="3"/>
  <c r="L233" i="3"/>
  <c r="K233" i="3"/>
  <c r="J233" i="3"/>
  <c r="I233" i="3"/>
  <c r="H233" i="3"/>
  <c r="Q232" i="3"/>
  <c r="P232" i="3"/>
  <c r="O232" i="3"/>
  <c r="N232" i="3"/>
  <c r="M232" i="3"/>
  <c r="L232" i="3"/>
  <c r="K232" i="3"/>
  <c r="J232" i="3"/>
  <c r="I232" i="3"/>
  <c r="H232" i="3"/>
  <c r="Q231" i="3"/>
  <c r="P231" i="3"/>
  <c r="O231" i="3"/>
  <c r="N231" i="3"/>
  <c r="M231" i="3"/>
  <c r="L231" i="3"/>
  <c r="K231" i="3"/>
  <c r="J231" i="3"/>
  <c r="I231" i="3"/>
  <c r="H231" i="3"/>
  <c r="Q228" i="3"/>
  <c r="P228" i="3"/>
  <c r="O228" i="3"/>
  <c r="N228" i="3"/>
  <c r="M228" i="3"/>
  <c r="L228" i="3"/>
  <c r="K228" i="3"/>
  <c r="J228" i="3"/>
  <c r="I228" i="3"/>
  <c r="H228" i="3"/>
  <c r="Q227" i="3"/>
  <c r="P227" i="3"/>
  <c r="O227" i="3"/>
  <c r="N227" i="3"/>
  <c r="M227" i="3"/>
  <c r="L227" i="3"/>
  <c r="K227" i="3"/>
  <c r="J227" i="3"/>
  <c r="I227" i="3"/>
  <c r="H227" i="3"/>
  <c r="Q226" i="3"/>
  <c r="P226" i="3"/>
  <c r="O226" i="3"/>
  <c r="N226" i="3"/>
  <c r="M226" i="3"/>
  <c r="L226" i="3"/>
  <c r="K226" i="3"/>
  <c r="J226" i="3"/>
  <c r="I226" i="3"/>
  <c r="H226" i="3"/>
  <c r="Q225" i="3"/>
  <c r="P225" i="3"/>
  <c r="O225" i="3"/>
  <c r="N225" i="3"/>
  <c r="M225" i="3"/>
  <c r="L225" i="3"/>
  <c r="K225" i="3"/>
  <c r="J225" i="3"/>
  <c r="I225" i="3"/>
  <c r="H225" i="3"/>
  <c r="Q224" i="3"/>
  <c r="P224" i="3"/>
  <c r="O224" i="3"/>
  <c r="N224" i="3"/>
  <c r="M224" i="3"/>
  <c r="L224" i="3"/>
  <c r="K224" i="3"/>
  <c r="J224" i="3"/>
  <c r="I224" i="3"/>
  <c r="H224" i="3"/>
  <c r="Q223" i="3"/>
  <c r="P223" i="3"/>
  <c r="O223" i="3"/>
  <c r="N223" i="3"/>
  <c r="M223" i="3"/>
  <c r="L223" i="3"/>
  <c r="K223" i="3"/>
  <c r="J223" i="3"/>
  <c r="I223" i="3"/>
  <c r="H223" i="3"/>
  <c r="Q222" i="3"/>
  <c r="P222" i="3"/>
  <c r="O222" i="3"/>
  <c r="N222" i="3"/>
  <c r="M222" i="3"/>
  <c r="L222" i="3"/>
  <c r="K222" i="3"/>
  <c r="J222" i="3"/>
  <c r="I222" i="3"/>
  <c r="H222" i="3"/>
  <c r="Q219" i="3"/>
  <c r="P219" i="3"/>
  <c r="O219" i="3"/>
  <c r="N219" i="3"/>
  <c r="M219" i="3"/>
  <c r="L219" i="3"/>
  <c r="K219" i="3"/>
  <c r="J219" i="3"/>
  <c r="I219" i="3"/>
  <c r="H219" i="3"/>
  <c r="Q218" i="3"/>
  <c r="P218" i="3"/>
  <c r="O218" i="3"/>
  <c r="N218" i="3"/>
  <c r="M218" i="3"/>
  <c r="L218" i="3"/>
  <c r="K218" i="3"/>
  <c r="J218" i="3"/>
  <c r="I218" i="3"/>
  <c r="H218" i="3"/>
  <c r="Q217" i="3"/>
  <c r="P217" i="3"/>
  <c r="O217" i="3"/>
  <c r="N217" i="3"/>
  <c r="M217" i="3"/>
  <c r="L217" i="3"/>
  <c r="K217" i="3"/>
  <c r="J217" i="3"/>
  <c r="I217" i="3"/>
  <c r="H217" i="3"/>
  <c r="Q216" i="3"/>
  <c r="P216" i="3"/>
  <c r="O216" i="3"/>
  <c r="N216" i="3"/>
  <c r="M216" i="3"/>
  <c r="L216" i="3"/>
  <c r="K216" i="3"/>
  <c r="J216" i="3"/>
  <c r="I216" i="3"/>
  <c r="H216" i="3"/>
  <c r="Q215" i="3"/>
  <c r="P215" i="3"/>
  <c r="O215" i="3"/>
  <c r="N215" i="3"/>
  <c r="M215" i="3"/>
  <c r="L215" i="3"/>
  <c r="K215" i="3"/>
  <c r="J215" i="3"/>
  <c r="I215" i="3"/>
  <c r="H215" i="3"/>
  <c r="Q214" i="3"/>
  <c r="P214" i="3"/>
  <c r="O214" i="3"/>
  <c r="N214" i="3"/>
  <c r="M214" i="3"/>
  <c r="L214" i="3"/>
  <c r="K214" i="3"/>
  <c r="J214" i="3"/>
  <c r="I214" i="3"/>
  <c r="H214" i="3"/>
  <c r="Q211" i="3"/>
  <c r="P211" i="3"/>
  <c r="O211" i="3"/>
  <c r="N211" i="3"/>
  <c r="M211" i="3"/>
  <c r="L211" i="3"/>
  <c r="K211" i="3"/>
  <c r="J211" i="3"/>
  <c r="I211" i="3"/>
  <c r="H211" i="3"/>
  <c r="Q208" i="3"/>
  <c r="P208" i="3"/>
  <c r="O208" i="3"/>
  <c r="N208" i="3"/>
  <c r="M208" i="3"/>
  <c r="L208" i="3"/>
  <c r="K208" i="3"/>
  <c r="J208" i="3"/>
  <c r="I208" i="3"/>
  <c r="H208" i="3"/>
  <c r="C205" i="3"/>
  <c r="C204" i="3"/>
  <c r="Q203" i="3"/>
  <c r="P203" i="3"/>
  <c r="O203" i="3"/>
  <c r="N203" i="3"/>
  <c r="M203" i="3"/>
  <c r="L203" i="3"/>
  <c r="K203" i="3"/>
  <c r="J203" i="3"/>
  <c r="I203" i="3"/>
  <c r="H203" i="3"/>
  <c r="Q202" i="3"/>
  <c r="P202" i="3"/>
  <c r="O202" i="3"/>
  <c r="N202" i="3"/>
  <c r="M202" i="3"/>
  <c r="L202" i="3"/>
  <c r="K202" i="3"/>
  <c r="J202" i="3"/>
  <c r="I202" i="3"/>
  <c r="H202" i="3"/>
  <c r="Q201" i="3"/>
  <c r="P201" i="3"/>
  <c r="O201" i="3"/>
  <c r="N201" i="3"/>
  <c r="M201" i="3"/>
  <c r="L201" i="3"/>
  <c r="K201" i="3"/>
  <c r="J201" i="3"/>
  <c r="I201" i="3"/>
  <c r="H201" i="3"/>
  <c r="Q198" i="3"/>
  <c r="P198" i="3"/>
  <c r="O198" i="3"/>
  <c r="N198" i="3"/>
  <c r="M198" i="3"/>
  <c r="L198" i="3"/>
  <c r="K198" i="3"/>
  <c r="J198" i="3"/>
  <c r="I198" i="3"/>
  <c r="H198" i="3"/>
  <c r="Q197" i="3"/>
  <c r="P197" i="3"/>
  <c r="O197" i="3"/>
  <c r="N197" i="3"/>
  <c r="M197" i="3"/>
  <c r="L197" i="3"/>
  <c r="K197" i="3"/>
  <c r="J197" i="3"/>
  <c r="I197" i="3"/>
  <c r="H197" i="3"/>
  <c r="Q196" i="3"/>
  <c r="P196" i="3"/>
  <c r="O196" i="3"/>
  <c r="N196" i="3"/>
  <c r="M196" i="3"/>
  <c r="L196" i="3"/>
  <c r="K196" i="3"/>
  <c r="J196" i="3"/>
  <c r="I196" i="3"/>
  <c r="H196" i="3"/>
  <c r="Q195" i="3"/>
  <c r="P195" i="3"/>
  <c r="O195" i="3"/>
  <c r="N195" i="3"/>
  <c r="M195" i="3"/>
  <c r="L195" i="3"/>
  <c r="K195" i="3"/>
  <c r="J195" i="3"/>
  <c r="I195" i="3"/>
  <c r="H195" i="3"/>
  <c r="Q194" i="3"/>
  <c r="P194" i="3"/>
  <c r="O194" i="3"/>
  <c r="N194" i="3"/>
  <c r="M194" i="3"/>
  <c r="L194" i="3"/>
  <c r="K194" i="3"/>
  <c r="J194" i="3"/>
  <c r="I194" i="3"/>
  <c r="H194" i="3"/>
  <c r="Q193" i="3"/>
  <c r="P193" i="3"/>
  <c r="O193" i="3"/>
  <c r="N193" i="3"/>
  <c r="M193" i="3"/>
  <c r="L193" i="3"/>
  <c r="K193" i="3"/>
  <c r="J193" i="3"/>
  <c r="I193" i="3"/>
  <c r="H193" i="3"/>
  <c r="Q192" i="3"/>
  <c r="P192" i="3"/>
  <c r="O192" i="3"/>
  <c r="N192" i="3"/>
  <c r="M192" i="3"/>
  <c r="L192" i="3"/>
  <c r="K192" i="3"/>
  <c r="J192" i="3"/>
  <c r="I192" i="3"/>
  <c r="H192" i="3"/>
  <c r="Q191" i="3"/>
  <c r="P191" i="3"/>
  <c r="O191" i="3"/>
  <c r="N191" i="3"/>
  <c r="M191" i="3"/>
  <c r="L191" i="3"/>
  <c r="K191" i="3"/>
  <c r="J191" i="3"/>
  <c r="I191" i="3"/>
  <c r="H191" i="3"/>
  <c r="Q190" i="3"/>
  <c r="P190" i="3"/>
  <c r="O190" i="3"/>
  <c r="N190" i="3"/>
  <c r="M190" i="3"/>
  <c r="L190" i="3"/>
  <c r="K190" i="3"/>
  <c r="J190" i="3"/>
  <c r="I190" i="3"/>
  <c r="H190" i="3"/>
  <c r="Q189" i="3"/>
  <c r="P189" i="3"/>
  <c r="O189" i="3"/>
  <c r="N189" i="3"/>
  <c r="M189" i="3"/>
  <c r="L189" i="3"/>
  <c r="K189" i="3"/>
  <c r="J189" i="3"/>
  <c r="I189" i="3"/>
  <c r="H189" i="3"/>
  <c r="Q186" i="3"/>
  <c r="P186" i="3"/>
  <c r="O186" i="3"/>
  <c r="N186" i="3"/>
  <c r="M186" i="3"/>
  <c r="L186" i="3"/>
  <c r="K186" i="3"/>
  <c r="J186" i="3"/>
  <c r="I186" i="3"/>
  <c r="H186" i="3"/>
  <c r="Q185" i="3"/>
  <c r="P185" i="3"/>
  <c r="O185" i="3"/>
  <c r="N185" i="3"/>
  <c r="M185" i="3"/>
  <c r="L185" i="3"/>
  <c r="K185" i="3"/>
  <c r="J185" i="3"/>
  <c r="I185" i="3"/>
  <c r="H185" i="3"/>
  <c r="Q182" i="3"/>
  <c r="P182" i="3"/>
  <c r="O182" i="3"/>
  <c r="N182" i="3"/>
  <c r="M182" i="3"/>
  <c r="L182" i="3"/>
  <c r="K182" i="3"/>
  <c r="J182" i="3"/>
  <c r="I182" i="3"/>
  <c r="H182" i="3"/>
  <c r="Q179" i="3"/>
  <c r="P179" i="3"/>
  <c r="O179" i="3"/>
  <c r="N179" i="3"/>
  <c r="M179" i="3"/>
  <c r="L179" i="3"/>
  <c r="K179" i="3"/>
  <c r="J179" i="3"/>
  <c r="I179" i="3"/>
  <c r="H179" i="3"/>
  <c r="Q178" i="3"/>
  <c r="P178" i="3"/>
  <c r="O178" i="3"/>
  <c r="N178" i="3"/>
  <c r="M178" i="3"/>
  <c r="L178" i="3"/>
  <c r="K178" i="3"/>
  <c r="J178" i="3"/>
  <c r="I178" i="3"/>
  <c r="H178" i="3"/>
  <c r="Q177" i="3"/>
  <c r="P177" i="3"/>
  <c r="O177" i="3"/>
  <c r="N177" i="3"/>
  <c r="M177" i="3"/>
  <c r="L177" i="3"/>
  <c r="K177" i="3"/>
  <c r="J177" i="3"/>
  <c r="I177" i="3"/>
  <c r="H177" i="3"/>
  <c r="Q176" i="3"/>
  <c r="P176" i="3"/>
  <c r="O176" i="3"/>
  <c r="N176" i="3"/>
  <c r="M176" i="3"/>
  <c r="L176" i="3"/>
  <c r="K176" i="3"/>
  <c r="J176" i="3"/>
  <c r="I176" i="3"/>
  <c r="H176" i="3"/>
  <c r="Q175" i="3"/>
  <c r="P175" i="3"/>
  <c r="O175" i="3"/>
  <c r="N175" i="3"/>
  <c r="M175" i="3"/>
  <c r="L175" i="3"/>
  <c r="K175" i="3"/>
  <c r="J175" i="3"/>
  <c r="I175" i="3"/>
  <c r="H175" i="3"/>
  <c r="Q174" i="3"/>
  <c r="P174" i="3"/>
  <c r="O174" i="3"/>
  <c r="N174" i="3"/>
  <c r="M174" i="3"/>
  <c r="L174" i="3"/>
  <c r="K174" i="3"/>
  <c r="J174" i="3"/>
  <c r="I174" i="3"/>
  <c r="H174" i="3"/>
  <c r="Q171" i="3"/>
  <c r="P171" i="3"/>
  <c r="O171" i="3"/>
  <c r="N171" i="3"/>
  <c r="M171" i="3"/>
  <c r="L171" i="3"/>
  <c r="K171" i="3"/>
  <c r="J171" i="3"/>
  <c r="I171" i="3"/>
  <c r="H171" i="3"/>
  <c r="Q170" i="3"/>
  <c r="P170" i="3"/>
  <c r="O170" i="3"/>
  <c r="N170" i="3"/>
  <c r="M170" i="3"/>
  <c r="L170" i="3"/>
  <c r="K170" i="3"/>
  <c r="J170" i="3"/>
  <c r="I170" i="3"/>
  <c r="H170" i="3"/>
  <c r="Q169" i="3"/>
  <c r="P169" i="3"/>
  <c r="O169" i="3"/>
  <c r="N169" i="3"/>
  <c r="M169" i="3"/>
  <c r="L169" i="3"/>
  <c r="K169" i="3"/>
  <c r="J169" i="3"/>
  <c r="I169" i="3"/>
  <c r="H169" i="3"/>
  <c r="Q168" i="3"/>
  <c r="P168" i="3"/>
  <c r="O168" i="3"/>
  <c r="N168" i="3"/>
  <c r="M168" i="3"/>
  <c r="L168" i="3"/>
  <c r="K168" i="3"/>
  <c r="J168" i="3"/>
  <c r="I168" i="3"/>
  <c r="H168" i="3"/>
  <c r="Q167" i="3"/>
  <c r="P167" i="3"/>
  <c r="O167" i="3"/>
  <c r="N167" i="3"/>
  <c r="M167" i="3"/>
  <c r="L167" i="3"/>
  <c r="K167" i="3"/>
  <c r="J167" i="3"/>
  <c r="I167" i="3"/>
  <c r="H167" i="3"/>
  <c r="Q166" i="3"/>
  <c r="P166" i="3"/>
  <c r="O166" i="3"/>
  <c r="N166" i="3"/>
  <c r="M166" i="3"/>
  <c r="L166" i="3"/>
  <c r="K166" i="3"/>
  <c r="J166" i="3"/>
  <c r="I166" i="3"/>
  <c r="H166" i="3"/>
  <c r="Q165" i="3"/>
  <c r="P165" i="3"/>
  <c r="O165" i="3"/>
  <c r="N165" i="3"/>
  <c r="M165" i="3"/>
  <c r="L165" i="3"/>
  <c r="K165" i="3"/>
  <c r="J165" i="3"/>
  <c r="I165" i="3"/>
  <c r="H165" i="3"/>
  <c r="Q162" i="3"/>
  <c r="P162" i="3"/>
  <c r="O162" i="3"/>
  <c r="N162" i="3"/>
  <c r="M162" i="3"/>
  <c r="L162" i="3"/>
  <c r="K162" i="3"/>
  <c r="J162" i="3"/>
  <c r="I162" i="3"/>
  <c r="H162" i="3"/>
  <c r="Q161" i="3"/>
  <c r="P161" i="3"/>
  <c r="O161" i="3"/>
  <c r="N161" i="3"/>
  <c r="M161" i="3"/>
  <c r="L161" i="3"/>
  <c r="K161" i="3"/>
  <c r="J161" i="3"/>
  <c r="I161" i="3"/>
  <c r="H161" i="3"/>
  <c r="Q160" i="3"/>
  <c r="P160" i="3"/>
  <c r="O160" i="3"/>
  <c r="N160" i="3"/>
  <c r="M160" i="3"/>
  <c r="L160" i="3"/>
  <c r="K160" i="3"/>
  <c r="J160" i="3"/>
  <c r="I160" i="3"/>
  <c r="H160" i="3"/>
  <c r="Q159" i="3"/>
  <c r="P159" i="3"/>
  <c r="O159" i="3"/>
  <c r="N159" i="3"/>
  <c r="M159" i="3"/>
  <c r="L159" i="3"/>
  <c r="K159" i="3"/>
  <c r="J159" i="3"/>
  <c r="I159" i="3"/>
  <c r="H159" i="3"/>
  <c r="Q158" i="3"/>
  <c r="P158" i="3"/>
  <c r="O158" i="3"/>
  <c r="N158" i="3"/>
  <c r="M158" i="3"/>
  <c r="L158" i="3"/>
  <c r="K158" i="3"/>
  <c r="J158" i="3"/>
  <c r="I158" i="3"/>
  <c r="H158" i="3"/>
  <c r="Q157" i="3"/>
  <c r="P157" i="3"/>
  <c r="O157" i="3"/>
  <c r="N157" i="3"/>
  <c r="M157" i="3"/>
  <c r="L157" i="3"/>
  <c r="K157" i="3"/>
  <c r="J157" i="3"/>
  <c r="I157" i="3"/>
  <c r="H157" i="3"/>
  <c r="Q156" i="3"/>
  <c r="P156" i="3"/>
  <c r="O156" i="3"/>
  <c r="N156" i="3"/>
  <c r="M156" i="3"/>
  <c r="L156" i="3"/>
  <c r="K156" i="3"/>
  <c r="J156" i="3"/>
  <c r="I156" i="3"/>
  <c r="H156" i="3"/>
  <c r="Q155" i="3"/>
  <c r="P155" i="3"/>
  <c r="O155" i="3"/>
  <c r="N155" i="3"/>
  <c r="M155" i="3"/>
  <c r="L155" i="3"/>
  <c r="K155" i="3"/>
  <c r="J155" i="3"/>
  <c r="I155" i="3"/>
  <c r="H155" i="3"/>
  <c r="Q152" i="3"/>
  <c r="P152" i="3"/>
  <c r="O152" i="3"/>
  <c r="N152" i="3"/>
  <c r="M152" i="3"/>
  <c r="L152" i="3"/>
  <c r="K152" i="3"/>
  <c r="J152" i="3"/>
  <c r="I152" i="3"/>
  <c r="H152" i="3"/>
  <c r="Q151" i="3"/>
  <c r="P151" i="3"/>
  <c r="O151" i="3"/>
  <c r="N151" i="3"/>
  <c r="M151" i="3"/>
  <c r="L151" i="3"/>
  <c r="K151" i="3"/>
  <c r="J151" i="3"/>
  <c r="I151" i="3"/>
  <c r="H151" i="3"/>
  <c r="Q150" i="3"/>
  <c r="P150" i="3"/>
  <c r="O150" i="3"/>
  <c r="N150" i="3"/>
  <c r="M150" i="3"/>
  <c r="L150" i="3"/>
  <c r="K150" i="3"/>
  <c r="J150" i="3"/>
  <c r="I150" i="3"/>
  <c r="H150" i="3"/>
  <c r="Q149" i="3"/>
  <c r="P149" i="3"/>
  <c r="O149" i="3"/>
  <c r="N149" i="3"/>
  <c r="M149" i="3"/>
  <c r="L149" i="3"/>
  <c r="K149" i="3"/>
  <c r="J149" i="3"/>
  <c r="I149" i="3"/>
  <c r="H149" i="3"/>
  <c r="Q148" i="3"/>
  <c r="P148" i="3"/>
  <c r="O148" i="3"/>
  <c r="N148" i="3"/>
  <c r="M148" i="3"/>
  <c r="L148" i="3"/>
  <c r="K148" i="3"/>
  <c r="J148" i="3"/>
  <c r="I148" i="3"/>
  <c r="H148" i="3"/>
  <c r="Q147" i="3"/>
  <c r="P147" i="3"/>
  <c r="O147" i="3"/>
  <c r="N147" i="3"/>
  <c r="M147" i="3"/>
  <c r="L147" i="3"/>
  <c r="K147" i="3"/>
  <c r="J147" i="3"/>
  <c r="I147" i="3"/>
  <c r="H147" i="3"/>
  <c r="Q146" i="3"/>
  <c r="P146" i="3"/>
  <c r="O146" i="3"/>
  <c r="N146" i="3"/>
  <c r="M146" i="3"/>
  <c r="L146" i="3"/>
  <c r="K146" i="3"/>
  <c r="J146" i="3"/>
  <c r="I146" i="3"/>
  <c r="H146" i="3"/>
  <c r="Q145" i="3"/>
  <c r="P145" i="3"/>
  <c r="O145" i="3"/>
  <c r="N145" i="3"/>
  <c r="M145" i="3"/>
  <c r="L145" i="3"/>
  <c r="K145" i="3"/>
  <c r="J145" i="3"/>
  <c r="I145" i="3"/>
  <c r="H145" i="3"/>
  <c r="Q144" i="3"/>
  <c r="P144" i="3"/>
  <c r="O144" i="3"/>
  <c r="N144" i="3"/>
  <c r="M144" i="3"/>
  <c r="L144" i="3"/>
  <c r="K144" i="3"/>
  <c r="J144" i="3"/>
  <c r="I144" i="3"/>
  <c r="H144" i="3"/>
  <c r="Q143" i="3"/>
  <c r="P143" i="3"/>
  <c r="O143" i="3"/>
  <c r="N143" i="3"/>
  <c r="M143" i="3"/>
  <c r="L143" i="3"/>
  <c r="K143" i="3"/>
  <c r="J143" i="3"/>
  <c r="I143" i="3"/>
  <c r="H143" i="3"/>
  <c r="Q142" i="3"/>
  <c r="P142" i="3"/>
  <c r="O142" i="3"/>
  <c r="N142" i="3"/>
  <c r="M142" i="3"/>
  <c r="L142" i="3"/>
  <c r="K142" i="3"/>
  <c r="J142" i="3"/>
  <c r="I142" i="3"/>
  <c r="H142" i="3"/>
  <c r="Q139" i="3"/>
  <c r="P139" i="3"/>
  <c r="O139" i="3"/>
  <c r="N139" i="3"/>
  <c r="M139" i="3"/>
  <c r="L139" i="3"/>
  <c r="K139" i="3"/>
  <c r="J139" i="3"/>
  <c r="I139" i="3"/>
  <c r="H139" i="3"/>
  <c r="Q138" i="3"/>
  <c r="P138" i="3"/>
  <c r="O138" i="3"/>
  <c r="N138" i="3"/>
  <c r="M138" i="3"/>
  <c r="L138" i="3"/>
  <c r="K138" i="3"/>
  <c r="J138" i="3"/>
  <c r="I138" i="3"/>
  <c r="H138" i="3"/>
  <c r="Q137" i="3"/>
  <c r="P137" i="3"/>
  <c r="O137" i="3"/>
  <c r="N137" i="3"/>
  <c r="M137" i="3"/>
  <c r="L137" i="3"/>
  <c r="K137" i="3"/>
  <c r="J137" i="3"/>
  <c r="I137" i="3"/>
  <c r="H137" i="3"/>
  <c r="Q136" i="3"/>
  <c r="P136" i="3"/>
  <c r="O136" i="3"/>
  <c r="N136" i="3"/>
  <c r="M136" i="3"/>
  <c r="L136" i="3"/>
  <c r="K136" i="3"/>
  <c r="J136" i="3"/>
  <c r="I136" i="3"/>
  <c r="H136" i="3"/>
  <c r="Q135" i="3"/>
  <c r="P135" i="3"/>
  <c r="O135" i="3"/>
  <c r="N135" i="3"/>
  <c r="M135" i="3"/>
  <c r="L135" i="3"/>
  <c r="K135" i="3"/>
  <c r="J135" i="3"/>
  <c r="I135" i="3"/>
  <c r="H135" i="3"/>
  <c r="Q134" i="3"/>
  <c r="P134" i="3"/>
  <c r="O134" i="3"/>
  <c r="N134" i="3"/>
  <c r="M134" i="3"/>
  <c r="L134" i="3"/>
  <c r="K134" i="3"/>
  <c r="J134" i="3"/>
  <c r="I134" i="3"/>
  <c r="H134" i="3"/>
  <c r="Q131" i="3"/>
  <c r="P131" i="3"/>
  <c r="O131" i="3"/>
  <c r="N131" i="3"/>
  <c r="M131" i="3"/>
  <c r="L131" i="3"/>
  <c r="K131" i="3"/>
  <c r="J131" i="3"/>
  <c r="I131" i="3"/>
  <c r="H131" i="3"/>
  <c r="Q130" i="3"/>
  <c r="P130" i="3"/>
  <c r="O130" i="3"/>
  <c r="N130" i="3"/>
  <c r="M130" i="3"/>
  <c r="L130" i="3"/>
  <c r="K130" i="3"/>
  <c r="J130" i="3"/>
  <c r="I130" i="3"/>
  <c r="H130" i="3"/>
  <c r="Q129" i="3"/>
  <c r="P129" i="3"/>
  <c r="O129" i="3"/>
  <c r="N129" i="3"/>
  <c r="M129" i="3"/>
  <c r="L129" i="3"/>
  <c r="K129" i="3"/>
  <c r="J129" i="3"/>
  <c r="I129" i="3"/>
  <c r="H129" i="3"/>
  <c r="Q128" i="3"/>
  <c r="P128" i="3"/>
  <c r="O128" i="3"/>
  <c r="N128" i="3"/>
  <c r="M128" i="3"/>
  <c r="L128" i="3"/>
  <c r="K128" i="3"/>
  <c r="J128" i="3"/>
  <c r="I128" i="3"/>
  <c r="H128" i="3"/>
  <c r="Q127" i="3"/>
  <c r="P127" i="3"/>
  <c r="O127" i="3"/>
  <c r="N127" i="3"/>
  <c r="M127" i="3"/>
  <c r="L127" i="3"/>
  <c r="K127" i="3"/>
  <c r="J127" i="3"/>
  <c r="I127" i="3"/>
  <c r="H127" i="3"/>
  <c r="Q126" i="3"/>
  <c r="P126" i="3"/>
  <c r="O126" i="3"/>
  <c r="N126" i="3"/>
  <c r="M126" i="3"/>
  <c r="L126" i="3"/>
  <c r="K126" i="3"/>
  <c r="J126" i="3"/>
  <c r="I126" i="3"/>
  <c r="H126" i="3"/>
  <c r="Q125" i="3"/>
  <c r="P125" i="3"/>
  <c r="O125" i="3"/>
  <c r="N125" i="3"/>
  <c r="M125" i="3"/>
  <c r="L125" i="3"/>
  <c r="K125" i="3"/>
  <c r="J125" i="3"/>
  <c r="I125" i="3"/>
  <c r="H125" i="3"/>
  <c r="Q124" i="3"/>
  <c r="P124" i="3"/>
  <c r="O124" i="3"/>
  <c r="N124" i="3"/>
  <c r="M124" i="3"/>
  <c r="L124" i="3"/>
  <c r="K124" i="3"/>
  <c r="J124" i="3"/>
  <c r="I124" i="3"/>
  <c r="H124" i="3"/>
  <c r="Q123" i="3"/>
  <c r="P123" i="3"/>
  <c r="O123" i="3"/>
  <c r="N123" i="3"/>
  <c r="M123" i="3"/>
  <c r="L123" i="3"/>
  <c r="K123" i="3"/>
  <c r="J123" i="3"/>
  <c r="I123" i="3"/>
  <c r="H123" i="3"/>
  <c r="Q122" i="3"/>
  <c r="P122" i="3"/>
  <c r="O122" i="3"/>
  <c r="N122" i="3"/>
  <c r="M122" i="3"/>
  <c r="L122" i="3"/>
  <c r="K122" i="3"/>
  <c r="J122" i="3"/>
  <c r="I122" i="3"/>
  <c r="H122" i="3"/>
  <c r="Q119" i="3"/>
  <c r="P119" i="3"/>
  <c r="O119" i="3"/>
  <c r="N119" i="3"/>
  <c r="M119" i="3"/>
  <c r="L119" i="3"/>
  <c r="K119" i="3"/>
  <c r="J119" i="3"/>
  <c r="I119" i="3"/>
  <c r="H119" i="3"/>
  <c r="Q116" i="3"/>
  <c r="P116" i="3"/>
  <c r="O116" i="3"/>
  <c r="N116" i="3"/>
  <c r="M116" i="3"/>
  <c r="L116" i="3"/>
  <c r="K116" i="3"/>
  <c r="J116" i="3"/>
  <c r="I116" i="3"/>
  <c r="H116" i="3"/>
  <c r="Q115" i="3"/>
  <c r="P115" i="3"/>
  <c r="O115" i="3"/>
  <c r="N115" i="3"/>
  <c r="M115" i="3"/>
  <c r="L115" i="3"/>
  <c r="K115" i="3"/>
  <c r="J115" i="3"/>
  <c r="I115" i="3"/>
  <c r="H115" i="3"/>
  <c r="Q112" i="3"/>
  <c r="P112" i="3"/>
  <c r="O112" i="3"/>
  <c r="N112" i="3"/>
  <c r="M112" i="3"/>
  <c r="L112" i="3"/>
  <c r="K112" i="3"/>
  <c r="J112" i="3"/>
  <c r="I112" i="3"/>
  <c r="H112" i="3"/>
  <c r="Q111" i="3"/>
  <c r="P111" i="3"/>
  <c r="O111" i="3"/>
  <c r="N111" i="3"/>
  <c r="M111" i="3"/>
  <c r="L111" i="3"/>
  <c r="K111" i="3"/>
  <c r="J111" i="3"/>
  <c r="I111" i="3"/>
  <c r="H111" i="3"/>
  <c r="Q110" i="3"/>
  <c r="P110" i="3"/>
  <c r="O110" i="3"/>
  <c r="N110" i="3"/>
  <c r="M110" i="3"/>
  <c r="L110" i="3"/>
  <c r="K110" i="3"/>
  <c r="J110" i="3"/>
  <c r="I110" i="3"/>
  <c r="H110" i="3"/>
  <c r="Q109" i="3"/>
  <c r="P109" i="3"/>
  <c r="O109" i="3"/>
  <c r="N109" i="3"/>
  <c r="M109" i="3"/>
  <c r="L109" i="3"/>
  <c r="K109" i="3"/>
  <c r="J109" i="3"/>
  <c r="I109" i="3"/>
  <c r="H109" i="3"/>
  <c r="Q108" i="3"/>
  <c r="P108" i="3"/>
  <c r="O108" i="3"/>
  <c r="N108" i="3"/>
  <c r="M108" i="3"/>
  <c r="L108" i="3"/>
  <c r="K108" i="3"/>
  <c r="J108" i="3"/>
  <c r="I108" i="3"/>
  <c r="H108" i="3"/>
  <c r="Q107" i="3"/>
  <c r="P107" i="3"/>
  <c r="O107" i="3"/>
  <c r="N107" i="3"/>
  <c r="M107" i="3"/>
  <c r="L107" i="3"/>
  <c r="K107" i="3"/>
  <c r="J107" i="3"/>
  <c r="I107" i="3"/>
  <c r="H107" i="3"/>
  <c r="Q104" i="3"/>
  <c r="P104" i="3"/>
  <c r="O104" i="3"/>
  <c r="N104" i="3"/>
  <c r="M104" i="3"/>
  <c r="L104" i="3"/>
  <c r="K104" i="3"/>
  <c r="J104" i="3"/>
  <c r="I104" i="3"/>
  <c r="H104" i="3"/>
  <c r="Q103" i="3"/>
  <c r="P103" i="3"/>
  <c r="O103" i="3"/>
  <c r="N103" i="3"/>
  <c r="M103" i="3"/>
  <c r="L103" i="3"/>
  <c r="K103" i="3"/>
  <c r="J103" i="3"/>
  <c r="I103" i="3"/>
  <c r="H103" i="3"/>
  <c r="Q102" i="3"/>
  <c r="P102" i="3"/>
  <c r="O102" i="3"/>
  <c r="N102" i="3"/>
  <c r="M102" i="3"/>
  <c r="L102" i="3"/>
  <c r="K102" i="3"/>
  <c r="J102" i="3"/>
  <c r="I102" i="3"/>
  <c r="H102" i="3"/>
  <c r="Q101" i="3"/>
  <c r="P101" i="3"/>
  <c r="O101" i="3"/>
  <c r="N101" i="3"/>
  <c r="M101" i="3"/>
  <c r="L101" i="3"/>
  <c r="K101" i="3"/>
  <c r="J101" i="3"/>
  <c r="I101" i="3"/>
  <c r="H101" i="3"/>
  <c r="Q100" i="3"/>
  <c r="P100" i="3"/>
  <c r="O100" i="3"/>
  <c r="N100" i="3"/>
  <c r="M100" i="3"/>
  <c r="L100" i="3"/>
  <c r="K100" i="3"/>
  <c r="J100" i="3"/>
  <c r="I100" i="3"/>
  <c r="H100" i="3"/>
  <c r="Q99" i="3"/>
  <c r="P99" i="3"/>
  <c r="O99" i="3"/>
  <c r="N99" i="3"/>
  <c r="M99" i="3"/>
  <c r="L99" i="3"/>
  <c r="K99" i="3"/>
  <c r="J99" i="3"/>
  <c r="I99" i="3"/>
  <c r="H99" i="3"/>
  <c r="Q98" i="3"/>
  <c r="P98" i="3"/>
  <c r="O98" i="3"/>
  <c r="N98" i="3"/>
  <c r="M98" i="3"/>
  <c r="L98" i="3"/>
  <c r="K98" i="3"/>
  <c r="J98" i="3"/>
  <c r="I98" i="3"/>
  <c r="H98" i="3"/>
  <c r="Q97" i="3"/>
  <c r="P97" i="3"/>
  <c r="O97" i="3"/>
  <c r="N97" i="3"/>
  <c r="M97" i="3"/>
  <c r="L97" i="3"/>
  <c r="K97" i="3"/>
  <c r="J97" i="3"/>
  <c r="I97" i="3"/>
  <c r="H97" i="3"/>
  <c r="Q96" i="3"/>
  <c r="P96" i="3"/>
  <c r="O96" i="3"/>
  <c r="N96" i="3"/>
  <c r="M96" i="3"/>
  <c r="L96" i="3"/>
  <c r="K96" i="3"/>
  <c r="J96" i="3"/>
  <c r="I96" i="3"/>
  <c r="H96" i="3"/>
  <c r="Q95" i="3"/>
  <c r="P95" i="3"/>
  <c r="O95" i="3"/>
  <c r="N95" i="3"/>
  <c r="M95" i="3"/>
  <c r="L95" i="3"/>
  <c r="K95" i="3"/>
  <c r="J95" i="3"/>
  <c r="I95" i="3"/>
  <c r="H95" i="3"/>
  <c r="Q94" i="3"/>
  <c r="P94" i="3"/>
  <c r="O94" i="3"/>
  <c r="N94" i="3"/>
  <c r="M94" i="3"/>
  <c r="L94" i="3"/>
  <c r="K94" i="3"/>
  <c r="J94" i="3"/>
  <c r="I94" i="3"/>
  <c r="H94" i="3"/>
  <c r="Q93" i="3"/>
  <c r="P93" i="3"/>
  <c r="O93" i="3"/>
  <c r="N93" i="3"/>
  <c r="M93" i="3"/>
  <c r="L93" i="3"/>
  <c r="K93" i="3"/>
  <c r="J93" i="3"/>
  <c r="I93" i="3"/>
  <c r="H93" i="3"/>
  <c r="Q92" i="3"/>
  <c r="P92" i="3"/>
  <c r="O92" i="3"/>
  <c r="N92" i="3"/>
  <c r="M92" i="3"/>
  <c r="L92" i="3"/>
  <c r="K92" i="3"/>
  <c r="J92" i="3"/>
  <c r="I92" i="3"/>
  <c r="H92" i="3"/>
  <c r="Q91" i="3"/>
  <c r="P91" i="3"/>
  <c r="O91" i="3"/>
  <c r="N91" i="3"/>
  <c r="M91" i="3"/>
  <c r="L91" i="3"/>
  <c r="K91" i="3"/>
  <c r="J91" i="3"/>
  <c r="I91" i="3"/>
  <c r="H91" i="3"/>
  <c r="Q88" i="3"/>
  <c r="P88" i="3"/>
  <c r="O88" i="3"/>
  <c r="N88" i="3"/>
  <c r="M88" i="3"/>
  <c r="L88" i="3"/>
  <c r="K88" i="3"/>
  <c r="J88" i="3"/>
  <c r="I88" i="3"/>
  <c r="H88" i="3"/>
  <c r="Q87" i="3"/>
  <c r="P87" i="3"/>
  <c r="O87" i="3"/>
  <c r="N87" i="3"/>
  <c r="M87" i="3"/>
  <c r="L87" i="3"/>
  <c r="K87" i="3"/>
  <c r="J87" i="3"/>
  <c r="I87" i="3"/>
  <c r="H87" i="3"/>
  <c r="Q86" i="3"/>
  <c r="P86" i="3"/>
  <c r="O86" i="3"/>
  <c r="N86" i="3"/>
  <c r="M86" i="3"/>
  <c r="L86" i="3"/>
  <c r="K86" i="3"/>
  <c r="J86" i="3"/>
  <c r="I86" i="3"/>
  <c r="H86" i="3"/>
  <c r="Q85" i="3"/>
  <c r="P85" i="3"/>
  <c r="O85" i="3"/>
  <c r="N85" i="3"/>
  <c r="M85" i="3"/>
  <c r="L85" i="3"/>
  <c r="K85" i="3"/>
  <c r="J85" i="3"/>
  <c r="I85" i="3"/>
  <c r="H85" i="3"/>
  <c r="Q84" i="3"/>
  <c r="P84" i="3"/>
  <c r="O84" i="3"/>
  <c r="N84" i="3"/>
  <c r="M84" i="3"/>
  <c r="L84" i="3"/>
  <c r="K84" i="3"/>
  <c r="J84" i="3"/>
  <c r="I84" i="3"/>
  <c r="H84" i="3"/>
  <c r="Q83" i="3"/>
  <c r="P83" i="3"/>
  <c r="O83" i="3"/>
  <c r="N83" i="3"/>
  <c r="M83" i="3"/>
  <c r="L83" i="3"/>
  <c r="K83" i="3"/>
  <c r="J83" i="3"/>
  <c r="I83" i="3"/>
  <c r="H83" i="3"/>
  <c r="Q80" i="3"/>
  <c r="P80" i="3"/>
  <c r="O80" i="3"/>
  <c r="N80" i="3"/>
  <c r="M80" i="3"/>
  <c r="L80" i="3"/>
  <c r="K80" i="3"/>
  <c r="J80" i="3"/>
  <c r="I80" i="3"/>
  <c r="H80" i="3"/>
  <c r="Q76" i="3"/>
  <c r="P76" i="3"/>
  <c r="O76" i="3"/>
  <c r="N76" i="3"/>
  <c r="M76" i="3"/>
  <c r="L76" i="3"/>
  <c r="K76" i="3"/>
  <c r="J76" i="3"/>
  <c r="I76" i="3"/>
  <c r="H76" i="3"/>
  <c r="Q75" i="3"/>
  <c r="P75" i="3"/>
  <c r="O75" i="3"/>
  <c r="N75" i="3"/>
  <c r="M75" i="3"/>
  <c r="L75" i="3"/>
  <c r="K75" i="3"/>
  <c r="J75" i="3"/>
  <c r="I75" i="3"/>
  <c r="H75" i="3"/>
  <c r="Q74" i="3"/>
  <c r="P74" i="3"/>
  <c r="O74" i="3"/>
  <c r="N74" i="3"/>
  <c r="M74" i="3"/>
  <c r="L74" i="3"/>
  <c r="K74" i="3"/>
  <c r="J74" i="3"/>
  <c r="I74" i="3"/>
  <c r="H74" i="3"/>
  <c r="Q73" i="3"/>
  <c r="P73" i="3"/>
  <c r="O73" i="3"/>
  <c r="N73" i="3"/>
  <c r="M73" i="3"/>
  <c r="L73" i="3"/>
  <c r="K73" i="3"/>
  <c r="J73" i="3"/>
  <c r="I73" i="3"/>
  <c r="H73" i="3"/>
  <c r="Q72" i="3"/>
  <c r="P72" i="3"/>
  <c r="O72" i="3"/>
  <c r="N72" i="3"/>
  <c r="M72" i="3"/>
  <c r="L72" i="3"/>
  <c r="K72" i="3"/>
  <c r="J72" i="3"/>
  <c r="I72" i="3"/>
  <c r="H72" i="3"/>
  <c r="Q69" i="3"/>
  <c r="P69" i="3"/>
  <c r="O69" i="3"/>
  <c r="N69" i="3"/>
  <c r="M69" i="3"/>
  <c r="L69" i="3"/>
  <c r="K69" i="3"/>
  <c r="J69" i="3"/>
  <c r="I69" i="3"/>
  <c r="H69" i="3"/>
  <c r="Q68" i="3"/>
  <c r="P68" i="3"/>
  <c r="O68" i="3"/>
  <c r="N68" i="3"/>
  <c r="M68" i="3"/>
  <c r="L68" i="3"/>
  <c r="K68" i="3"/>
  <c r="J68" i="3"/>
  <c r="I68" i="3"/>
  <c r="H68" i="3"/>
  <c r="Q65" i="3"/>
  <c r="P65" i="3"/>
  <c r="O65" i="3"/>
  <c r="N65" i="3"/>
  <c r="M65" i="3"/>
  <c r="L65" i="3"/>
  <c r="K65" i="3"/>
  <c r="J65" i="3"/>
  <c r="I65" i="3"/>
  <c r="H65" i="3"/>
  <c r="Q64" i="3"/>
  <c r="P64" i="3"/>
  <c r="O64" i="3"/>
  <c r="N64" i="3"/>
  <c r="M64" i="3"/>
  <c r="L64" i="3"/>
  <c r="K64" i="3"/>
  <c r="J64" i="3"/>
  <c r="I64" i="3"/>
  <c r="H64" i="3"/>
  <c r="Q63" i="3"/>
  <c r="P63" i="3"/>
  <c r="O63" i="3"/>
  <c r="N63" i="3"/>
  <c r="M63" i="3"/>
  <c r="L63" i="3"/>
  <c r="K63" i="3"/>
  <c r="J63" i="3"/>
  <c r="I63" i="3"/>
  <c r="H63" i="3"/>
  <c r="Q62" i="3"/>
  <c r="P62" i="3"/>
  <c r="O62" i="3"/>
  <c r="N62" i="3"/>
  <c r="M62" i="3"/>
  <c r="L62" i="3"/>
  <c r="K62" i="3"/>
  <c r="J62" i="3"/>
  <c r="I62" i="3"/>
  <c r="H62" i="3"/>
  <c r="Q61" i="3"/>
  <c r="P61" i="3"/>
  <c r="O61" i="3"/>
  <c r="N61" i="3"/>
  <c r="M61" i="3"/>
  <c r="L61" i="3"/>
  <c r="K61" i="3"/>
  <c r="J61" i="3"/>
  <c r="I61" i="3"/>
  <c r="H61" i="3"/>
  <c r="Q60" i="3"/>
  <c r="P60" i="3"/>
  <c r="O60" i="3"/>
  <c r="N60" i="3"/>
  <c r="M60" i="3"/>
  <c r="L60" i="3"/>
  <c r="K60" i="3"/>
  <c r="J60" i="3"/>
  <c r="I60" i="3"/>
  <c r="H60" i="3"/>
  <c r="Q59" i="3"/>
  <c r="P59" i="3"/>
  <c r="O59" i="3"/>
  <c r="N59" i="3"/>
  <c r="M59" i="3"/>
  <c r="L59" i="3"/>
  <c r="K59" i="3"/>
  <c r="J59" i="3"/>
  <c r="I59" i="3"/>
  <c r="H59" i="3"/>
  <c r="Q56" i="3"/>
  <c r="P56" i="3"/>
  <c r="O56" i="3"/>
  <c r="N56" i="3"/>
  <c r="M56" i="3"/>
  <c r="L56" i="3"/>
  <c r="K56" i="3"/>
  <c r="J56" i="3"/>
  <c r="I56" i="3"/>
  <c r="H56" i="3"/>
  <c r="Q55" i="3"/>
  <c r="P55" i="3"/>
  <c r="O55" i="3"/>
  <c r="N55" i="3"/>
  <c r="M55" i="3"/>
  <c r="L55" i="3"/>
  <c r="K55" i="3"/>
  <c r="J55" i="3"/>
  <c r="I55" i="3"/>
  <c r="H55" i="3"/>
  <c r="Q54" i="3"/>
  <c r="P54" i="3"/>
  <c r="O54" i="3"/>
  <c r="N54" i="3"/>
  <c r="M54" i="3"/>
  <c r="L54" i="3"/>
  <c r="K54" i="3"/>
  <c r="J54" i="3"/>
  <c r="I54" i="3"/>
  <c r="H54" i="3"/>
  <c r="Q53" i="3"/>
  <c r="P53" i="3"/>
  <c r="O53" i="3"/>
  <c r="N53" i="3"/>
  <c r="M53" i="3"/>
  <c r="L53" i="3"/>
  <c r="K53" i="3"/>
  <c r="J53" i="3"/>
  <c r="I53" i="3"/>
  <c r="H53" i="3"/>
  <c r="Q52" i="3"/>
  <c r="P52" i="3"/>
  <c r="O52" i="3"/>
  <c r="N52" i="3"/>
  <c r="M52" i="3"/>
  <c r="L52" i="3"/>
  <c r="K52" i="3"/>
  <c r="J52" i="3"/>
  <c r="I52" i="3"/>
  <c r="H52" i="3"/>
  <c r="Q49" i="3"/>
  <c r="P49" i="3"/>
  <c r="O49" i="3"/>
  <c r="N49" i="3"/>
  <c r="M49" i="3"/>
  <c r="L49" i="3"/>
  <c r="K49" i="3"/>
  <c r="J49" i="3"/>
  <c r="I49" i="3"/>
  <c r="H49" i="3"/>
  <c r="Q48" i="3"/>
  <c r="P48" i="3"/>
  <c r="O48" i="3"/>
  <c r="N48" i="3"/>
  <c r="M48" i="3"/>
  <c r="L48" i="3"/>
  <c r="K48" i="3"/>
  <c r="J48" i="3"/>
  <c r="I48" i="3"/>
  <c r="H48" i="3"/>
  <c r="Q47" i="3"/>
  <c r="P47" i="3"/>
  <c r="O47" i="3"/>
  <c r="N47" i="3"/>
  <c r="M47" i="3"/>
  <c r="L47" i="3"/>
  <c r="K47" i="3"/>
  <c r="J47" i="3"/>
  <c r="I47" i="3"/>
  <c r="H47" i="3"/>
  <c r="Q46" i="3"/>
  <c r="P46" i="3"/>
  <c r="O46" i="3"/>
  <c r="N46" i="3"/>
  <c r="M46" i="3"/>
  <c r="L46" i="3"/>
  <c r="K46" i="3"/>
  <c r="J46" i="3"/>
  <c r="I46" i="3"/>
  <c r="H46" i="3"/>
  <c r="Q45" i="3"/>
  <c r="P45" i="3"/>
  <c r="O45" i="3"/>
  <c r="N45" i="3"/>
  <c r="M45" i="3"/>
  <c r="L45" i="3"/>
  <c r="K45" i="3"/>
  <c r="J45" i="3"/>
  <c r="I45" i="3"/>
  <c r="H45" i="3"/>
  <c r="Q44" i="3"/>
  <c r="P44" i="3"/>
  <c r="O44" i="3"/>
  <c r="N44" i="3"/>
  <c r="M44" i="3"/>
  <c r="L44" i="3"/>
  <c r="K44" i="3"/>
  <c r="J44" i="3"/>
  <c r="I44" i="3"/>
  <c r="H44" i="3"/>
  <c r="Q43" i="3"/>
  <c r="P43" i="3"/>
  <c r="O43" i="3"/>
  <c r="N43" i="3"/>
  <c r="M43" i="3"/>
  <c r="L43" i="3"/>
  <c r="K43" i="3"/>
  <c r="J43" i="3"/>
  <c r="I43" i="3"/>
  <c r="H43" i="3"/>
  <c r="Q42" i="3"/>
  <c r="P42" i="3"/>
  <c r="O42" i="3"/>
  <c r="N42" i="3"/>
  <c r="M42" i="3"/>
  <c r="L42" i="3"/>
  <c r="K42" i="3"/>
  <c r="J42" i="3"/>
  <c r="I42" i="3"/>
  <c r="H42" i="3"/>
  <c r="Q39" i="3"/>
  <c r="P39" i="3"/>
  <c r="O39" i="3"/>
  <c r="N39" i="3"/>
  <c r="M39" i="3"/>
  <c r="L39" i="3"/>
  <c r="K39" i="3"/>
  <c r="J39" i="3"/>
  <c r="I39" i="3"/>
  <c r="H39" i="3"/>
  <c r="Q38" i="3"/>
  <c r="P38" i="3"/>
  <c r="O38" i="3"/>
  <c r="N38" i="3"/>
  <c r="M38" i="3"/>
  <c r="L38" i="3"/>
  <c r="K38" i="3"/>
  <c r="J38" i="3"/>
  <c r="I38" i="3"/>
  <c r="H38" i="3"/>
  <c r="Q37" i="3"/>
  <c r="P37" i="3"/>
  <c r="O37" i="3"/>
  <c r="N37" i="3"/>
  <c r="M37" i="3"/>
  <c r="L37" i="3"/>
  <c r="K37" i="3"/>
  <c r="J37" i="3"/>
  <c r="I37" i="3"/>
  <c r="H37" i="3"/>
  <c r="Q36" i="3"/>
  <c r="P36" i="3"/>
  <c r="O36" i="3"/>
  <c r="N36" i="3"/>
  <c r="M36" i="3"/>
  <c r="L36" i="3"/>
  <c r="K36" i="3"/>
  <c r="J36" i="3"/>
  <c r="I36" i="3"/>
  <c r="H36" i="3"/>
  <c r="Q35" i="3"/>
  <c r="P35" i="3"/>
  <c r="O35" i="3"/>
  <c r="N35" i="3"/>
  <c r="M35" i="3"/>
  <c r="L35" i="3"/>
  <c r="K35" i="3"/>
  <c r="J35" i="3"/>
  <c r="I35" i="3"/>
  <c r="H35" i="3"/>
  <c r="Q34" i="3"/>
  <c r="P34" i="3"/>
  <c r="O34" i="3"/>
  <c r="N34" i="3"/>
  <c r="M34" i="3"/>
  <c r="L34" i="3"/>
  <c r="K34" i="3"/>
  <c r="J34" i="3"/>
  <c r="I34" i="3"/>
  <c r="H34" i="3"/>
  <c r="Q33" i="3"/>
  <c r="P33" i="3"/>
  <c r="O33" i="3"/>
  <c r="N33" i="3"/>
  <c r="M33" i="3"/>
  <c r="L33" i="3"/>
  <c r="K33" i="3"/>
  <c r="J33" i="3"/>
  <c r="I33" i="3"/>
  <c r="H33" i="3"/>
  <c r="Q32" i="3"/>
  <c r="P32" i="3"/>
  <c r="O32" i="3"/>
  <c r="N32" i="3"/>
  <c r="M32" i="3"/>
  <c r="L32" i="3"/>
  <c r="K32" i="3"/>
  <c r="J32" i="3"/>
  <c r="I32" i="3"/>
  <c r="H32" i="3"/>
  <c r="Q29" i="3"/>
  <c r="P29" i="3"/>
  <c r="O29" i="3"/>
  <c r="N29" i="3"/>
  <c r="M29" i="3"/>
  <c r="L29" i="3"/>
  <c r="K29" i="3"/>
  <c r="J29" i="3"/>
  <c r="I29" i="3"/>
  <c r="H29" i="3"/>
  <c r="Q28" i="3"/>
  <c r="P28" i="3"/>
  <c r="O28" i="3"/>
  <c r="N28" i="3"/>
  <c r="M28" i="3"/>
  <c r="L28" i="3"/>
  <c r="K28" i="3"/>
  <c r="J28" i="3"/>
  <c r="I28" i="3"/>
  <c r="H28" i="3"/>
  <c r="Q27" i="3"/>
  <c r="P27" i="3"/>
  <c r="O27" i="3"/>
  <c r="N27" i="3"/>
  <c r="M27" i="3"/>
  <c r="L27" i="3"/>
  <c r="K27" i="3"/>
  <c r="J27" i="3"/>
  <c r="I27" i="3"/>
  <c r="H27" i="3"/>
  <c r="Q26" i="3"/>
  <c r="P26" i="3"/>
  <c r="O26" i="3"/>
  <c r="N26" i="3"/>
  <c r="M26" i="3"/>
  <c r="L26" i="3"/>
  <c r="K26" i="3"/>
  <c r="J26" i="3"/>
  <c r="I26" i="3"/>
  <c r="H26" i="3"/>
  <c r="Q25" i="3"/>
  <c r="P25" i="3"/>
  <c r="O25" i="3"/>
  <c r="N25" i="3"/>
  <c r="M25" i="3"/>
  <c r="L25" i="3"/>
  <c r="K25" i="3"/>
  <c r="J25" i="3"/>
  <c r="I25" i="3"/>
  <c r="H25" i="3"/>
  <c r="Q24" i="3"/>
  <c r="P24" i="3"/>
  <c r="O24" i="3"/>
  <c r="N24" i="3"/>
  <c r="M24" i="3"/>
  <c r="L24" i="3"/>
  <c r="K24" i="3"/>
  <c r="J24" i="3"/>
  <c r="I24" i="3"/>
  <c r="H24" i="3"/>
  <c r="Q21" i="3"/>
  <c r="P21" i="3"/>
  <c r="O21" i="3"/>
  <c r="N21" i="3"/>
  <c r="M21" i="3"/>
  <c r="L21" i="3"/>
  <c r="K21" i="3"/>
  <c r="J21" i="3"/>
  <c r="I21" i="3"/>
  <c r="H21" i="3"/>
  <c r="Q20" i="3"/>
  <c r="P20" i="3"/>
  <c r="O20" i="3"/>
  <c r="N20" i="3"/>
  <c r="M20" i="3"/>
  <c r="L20" i="3"/>
  <c r="K20" i="3"/>
  <c r="J20" i="3"/>
  <c r="I20" i="3"/>
  <c r="H20" i="3"/>
  <c r="Q19" i="3"/>
  <c r="P19" i="3"/>
  <c r="O19" i="3"/>
  <c r="N19" i="3"/>
  <c r="M19" i="3"/>
  <c r="L19" i="3"/>
  <c r="K19" i="3"/>
  <c r="J19" i="3"/>
  <c r="I19" i="3"/>
  <c r="H19" i="3"/>
  <c r="Q18" i="3"/>
  <c r="P18" i="3"/>
  <c r="O18" i="3"/>
  <c r="N18" i="3"/>
  <c r="M18" i="3"/>
  <c r="L18" i="3"/>
  <c r="K18" i="3"/>
  <c r="J18" i="3"/>
  <c r="I18" i="3"/>
  <c r="H18" i="3"/>
  <c r="Q17" i="3"/>
  <c r="P17" i="3"/>
  <c r="O17" i="3"/>
  <c r="N17" i="3"/>
  <c r="M17" i="3"/>
  <c r="L17" i="3"/>
  <c r="K17" i="3"/>
  <c r="J17" i="3"/>
  <c r="I17" i="3"/>
  <c r="H17" i="3"/>
  <c r="Q16" i="3"/>
  <c r="P16" i="3"/>
  <c r="O16" i="3"/>
  <c r="N16" i="3"/>
  <c r="M16" i="3"/>
  <c r="L16" i="3"/>
  <c r="K16" i="3"/>
  <c r="J16" i="3"/>
  <c r="I16" i="3"/>
  <c r="H16" i="3"/>
  <c r="Q766" i="2"/>
  <c r="P766" i="2"/>
  <c r="O766" i="2"/>
  <c r="N766" i="2"/>
  <c r="M766" i="2"/>
  <c r="L766" i="2"/>
  <c r="K766" i="2"/>
  <c r="J766" i="2"/>
  <c r="I766" i="2"/>
  <c r="H766" i="2"/>
  <c r="Q765" i="2"/>
  <c r="P765" i="2"/>
  <c r="O765" i="2"/>
  <c r="N765" i="2"/>
  <c r="M765" i="2"/>
  <c r="L765" i="2"/>
  <c r="K765" i="2"/>
  <c r="J765" i="2"/>
  <c r="I765" i="2"/>
  <c r="H765" i="2"/>
  <c r="Q764" i="2"/>
  <c r="P764" i="2"/>
  <c r="O764" i="2"/>
  <c r="N764" i="2"/>
  <c r="M764" i="2"/>
  <c r="L764" i="2"/>
  <c r="K764" i="2"/>
  <c r="J764" i="2"/>
  <c r="I764" i="2"/>
  <c r="H764" i="2"/>
  <c r="Q763" i="2"/>
  <c r="P763" i="2"/>
  <c r="O763" i="2"/>
  <c r="N763" i="2"/>
  <c r="M763" i="2"/>
  <c r="L763" i="2"/>
  <c r="K763" i="2"/>
  <c r="J763" i="2"/>
  <c r="I763" i="2"/>
  <c r="H763" i="2"/>
  <c r="Q762" i="2"/>
  <c r="P762" i="2"/>
  <c r="O762" i="2"/>
  <c r="N762" i="2"/>
  <c r="M762" i="2"/>
  <c r="L762" i="2"/>
  <c r="K762" i="2"/>
  <c r="J762" i="2"/>
  <c r="I762" i="2"/>
  <c r="H762" i="2"/>
  <c r="Q761" i="2"/>
  <c r="P761" i="2"/>
  <c r="O761" i="2"/>
  <c r="N761" i="2"/>
  <c r="M761" i="2"/>
  <c r="L761" i="2"/>
  <c r="K761" i="2"/>
  <c r="J761" i="2"/>
  <c r="I761" i="2"/>
  <c r="H761" i="2"/>
  <c r="Q760" i="2"/>
  <c r="P760" i="2"/>
  <c r="O760" i="2"/>
  <c r="N760" i="2"/>
  <c r="M760" i="2"/>
  <c r="L760" i="2"/>
  <c r="K760" i="2"/>
  <c r="J760" i="2"/>
  <c r="I760" i="2"/>
  <c r="H760" i="2"/>
  <c r="Q759" i="2"/>
  <c r="P759" i="2"/>
  <c r="O759" i="2"/>
  <c r="N759" i="2"/>
  <c r="M759" i="2"/>
  <c r="L759" i="2"/>
  <c r="K759" i="2"/>
  <c r="J759" i="2"/>
  <c r="I759" i="2"/>
  <c r="H759" i="2"/>
  <c r="Q758" i="2"/>
  <c r="P758" i="2"/>
  <c r="O758" i="2"/>
  <c r="N758" i="2"/>
  <c r="M758" i="2"/>
  <c r="L758" i="2"/>
  <c r="K758" i="2"/>
  <c r="J758" i="2"/>
  <c r="I758" i="2"/>
  <c r="H758" i="2"/>
  <c r="Q757" i="2"/>
  <c r="P757" i="2"/>
  <c r="O757" i="2"/>
  <c r="N757" i="2"/>
  <c r="M757" i="2"/>
  <c r="L757" i="2"/>
  <c r="K757" i="2"/>
  <c r="J757" i="2"/>
  <c r="I757" i="2"/>
  <c r="H757" i="2"/>
  <c r="Q756" i="2"/>
  <c r="P756" i="2"/>
  <c r="O756" i="2"/>
  <c r="N756" i="2"/>
  <c r="M756" i="2"/>
  <c r="L756" i="2"/>
  <c r="K756" i="2"/>
  <c r="J756" i="2"/>
  <c r="I756" i="2"/>
  <c r="H756" i="2"/>
  <c r="Q755" i="2"/>
  <c r="P755" i="2"/>
  <c r="O755" i="2"/>
  <c r="N755" i="2"/>
  <c r="M755" i="2"/>
  <c r="L755" i="2"/>
  <c r="K755" i="2"/>
  <c r="J755" i="2"/>
  <c r="I755" i="2"/>
  <c r="H755" i="2"/>
  <c r="Q754" i="2"/>
  <c r="P754" i="2"/>
  <c r="O754" i="2"/>
  <c r="N754" i="2"/>
  <c r="M754" i="2"/>
  <c r="L754" i="2"/>
  <c r="K754" i="2"/>
  <c r="J754" i="2"/>
  <c r="I754" i="2"/>
  <c r="H754" i="2"/>
  <c r="Q751" i="2"/>
  <c r="P751" i="2"/>
  <c r="O751" i="2"/>
  <c r="N751" i="2"/>
  <c r="M751" i="2"/>
  <c r="L751" i="2"/>
  <c r="K751" i="2"/>
  <c r="J751" i="2"/>
  <c r="I751" i="2"/>
  <c r="H751" i="2"/>
  <c r="Q750" i="2"/>
  <c r="P750" i="2"/>
  <c r="O750" i="2"/>
  <c r="N750" i="2"/>
  <c r="M750" i="2"/>
  <c r="L750" i="2"/>
  <c r="K750" i="2"/>
  <c r="J750" i="2"/>
  <c r="I750" i="2"/>
  <c r="H750" i="2"/>
  <c r="Q749" i="2"/>
  <c r="P749" i="2"/>
  <c r="O749" i="2"/>
  <c r="N749" i="2"/>
  <c r="M749" i="2"/>
  <c r="L749" i="2"/>
  <c r="K749" i="2"/>
  <c r="J749" i="2"/>
  <c r="I749" i="2"/>
  <c r="H749" i="2"/>
  <c r="Q748" i="2"/>
  <c r="P748" i="2"/>
  <c r="O748" i="2"/>
  <c r="N748" i="2"/>
  <c r="M748" i="2"/>
  <c r="L748" i="2"/>
  <c r="K748" i="2"/>
  <c r="J748" i="2"/>
  <c r="I748" i="2"/>
  <c r="H748" i="2"/>
  <c r="Q747" i="2"/>
  <c r="P747" i="2"/>
  <c r="O747" i="2"/>
  <c r="N747" i="2"/>
  <c r="M747" i="2"/>
  <c r="L747" i="2"/>
  <c r="K747" i="2"/>
  <c r="J747" i="2"/>
  <c r="I747" i="2"/>
  <c r="H747" i="2"/>
  <c r="Q746" i="2"/>
  <c r="P746" i="2"/>
  <c r="O746" i="2"/>
  <c r="N746" i="2"/>
  <c r="M746" i="2"/>
  <c r="L746" i="2"/>
  <c r="K746" i="2"/>
  <c r="J746" i="2"/>
  <c r="I746" i="2"/>
  <c r="H746" i="2"/>
  <c r="Q745" i="2"/>
  <c r="P745" i="2"/>
  <c r="O745" i="2"/>
  <c r="N745" i="2"/>
  <c r="M745" i="2"/>
  <c r="L745" i="2"/>
  <c r="K745" i="2"/>
  <c r="J745" i="2"/>
  <c r="I745" i="2"/>
  <c r="H745" i="2"/>
  <c r="Q744" i="2"/>
  <c r="P744" i="2"/>
  <c r="O744" i="2"/>
  <c r="N744" i="2"/>
  <c r="M744" i="2"/>
  <c r="L744" i="2"/>
  <c r="K744" i="2"/>
  <c r="J744" i="2"/>
  <c r="I744" i="2"/>
  <c r="H744" i="2"/>
  <c r="Q741" i="2"/>
  <c r="P741" i="2"/>
  <c r="O741" i="2"/>
  <c r="N741" i="2"/>
  <c r="M741" i="2"/>
  <c r="L741" i="2"/>
  <c r="K741" i="2"/>
  <c r="J741" i="2"/>
  <c r="I741" i="2"/>
  <c r="H741" i="2"/>
  <c r="Q740" i="2"/>
  <c r="P740" i="2"/>
  <c r="O740" i="2"/>
  <c r="N740" i="2"/>
  <c r="M740" i="2"/>
  <c r="L740" i="2"/>
  <c r="K740" i="2"/>
  <c r="J740" i="2"/>
  <c r="I740" i="2"/>
  <c r="H740" i="2"/>
  <c r="Q739" i="2"/>
  <c r="P739" i="2"/>
  <c r="O739" i="2"/>
  <c r="N739" i="2"/>
  <c r="M739" i="2"/>
  <c r="L739" i="2"/>
  <c r="K739" i="2"/>
  <c r="J739" i="2"/>
  <c r="I739" i="2"/>
  <c r="H739" i="2"/>
  <c r="Q738" i="2"/>
  <c r="P738" i="2"/>
  <c r="O738" i="2"/>
  <c r="N738" i="2"/>
  <c r="M738" i="2"/>
  <c r="L738" i="2"/>
  <c r="K738" i="2"/>
  <c r="J738" i="2"/>
  <c r="I738" i="2"/>
  <c r="H738" i="2"/>
  <c r="Q737" i="2"/>
  <c r="P737" i="2"/>
  <c r="O737" i="2"/>
  <c r="N737" i="2"/>
  <c r="M737" i="2"/>
  <c r="L737" i="2"/>
  <c r="K737" i="2"/>
  <c r="J737" i="2"/>
  <c r="I737" i="2"/>
  <c r="H737" i="2"/>
  <c r="Q736" i="2"/>
  <c r="P736" i="2"/>
  <c r="O736" i="2"/>
  <c r="N736" i="2"/>
  <c r="M736" i="2"/>
  <c r="L736" i="2"/>
  <c r="K736" i="2"/>
  <c r="J736" i="2"/>
  <c r="I736" i="2"/>
  <c r="H736" i="2"/>
  <c r="Q735" i="2"/>
  <c r="P735" i="2"/>
  <c r="O735" i="2"/>
  <c r="N735" i="2"/>
  <c r="M735" i="2"/>
  <c r="L735" i="2"/>
  <c r="K735" i="2"/>
  <c r="J735" i="2"/>
  <c r="I735" i="2"/>
  <c r="H735" i="2"/>
  <c r="Q734" i="2"/>
  <c r="P734" i="2"/>
  <c r="O734" i="2"/>
  <c r="N734" i="2"/>
  <c r="M734" i="2"/>
  <c r="L734" i="2"/>
  <c r="K734" i="2"/>
  <c r="J734" i="2"/>
  <c r="I734" i="2"/>
  <c r="H734" i="2"/>
  <c r="Q733" i="2"/>
  <c r="P733" i="2"/>
  <c r="O733" i="2"/>
  <c r="N733" i="2"/>
  <c r="M733" i="2"/>
  <c r="L733" i="2"/>
  <c r="K733" i="2"/>
  <c r="J733" i="2"/>
  <c r="I733" i="2"/>
  <c r="H733" i="2"/>
  <c r="Q730" i="2"/>
  <c r="P730" i="2"/>
  <c r="O730" i="2"/>
  <c r="N730" i="2"/>
  <c r="M730" i="2"/>
  <c r="L730" i="2"/>
  <c r="K730" i="2"/>
  <c r="J730" i="2"/>
  <c r="I730" i="2"/>
  <c r="H730" i="2"/>
  <c r="Q729" i="2"/>
  <c r="P729" i="2"/>
  <c r="O729" i="2"/>
  <c r="N729" i="2"/>
  <c r="M729" i="2"/>
  <c r="L729" i="2"/>
  <c r="K729" i="2"/>
  <c r="J729" i="2"/>
  <c r="I729" i="2"/>
  <c r="H729" i="2"/>
  <c r="Q728" i="2"/>
  <c r="P728" i="2"/>
  <c r="O728" i="2"/>
  <c r="N728" i="2"/>
  <c r="M728" i="2"/>
  <c r="L728" i="2"/>
  <c r="K728" i="2"/>
  <c r="J728" i="2"/>
  <c r="I728" i="2"/>
  <c r="H728" i="2"/>
  <c r="Q727" i="2"/>
  <c r="P727" i="2"/>
  <c r="O727" i="2"/>
  <c r="N727" i="2"/>
  <c r="M727" i="2"/>
  <c r="L727" i="2"/>
  <c r="K727" i="2"/>
  <c r="J727" i="2"/>
  <c r="I727" i="2"/>
  <c r="H727" i="2"/>
  <c r="Q726" i="2"/>
  <c r="P726" i="2"/>
  <c r="O726" i="2"/>
  <c r="N726" i="2"/>
  <c r="M726" i="2"/>
  <c r="L726" i="2"/>
  <c r="K726" i="2"/>
  <c r="J726" i="2"/>
  <c r="I726" i="2"/>
  <c r="H726" i="2"/>
  <c r="Q725" i="2"/>
  <c r="P725" i="2"/>
  <c r="O725" i="2"/>
  <c r="N725" i="2"/>
  <c r="M725" i="2"/>
  <c r="L725" i="2"/>
  <c r="K725" i="2"/>
  <c r="J725" i="2"/>
  <c r="I725" i="2"/>
  <c r="H725" i="2"/>
  <c r="Q722" i="2"/>
  <c r="P722" i="2"/>
  <c r="O722" i="2"/>
  <c r="N722" i="2"/>
  <c r="M722" i="2"/>
  <c r="L722" i="2"/>
  <c r="K722" i="2"/>
  <c r="J722" i="2"/>
  <c r="I722" i="2"/>
  <c r="H722" i="2"/>
  <c r="Q721" i="2"/>
  <c r="P721" i="2"/>
  <c r="O721" i="2"/>
  <c r="N721" i="2"/>
  <c r="M721" i="2"/>
  <c r="L721" i="2"/>
  <c r="K721" i="2"/>
  <c r="J721" i="2"/>
  <c r="I721" i="2"/>
  <c r="H721" i="2"/>
  <c r="Q720" i="2"/>
  <c r="P720" i="2"/>
  <c r="O720" i="2"/>
  <c r="N720" i="2"/>
  <c r="M720" i="2"/>
  <c r="L720" i="2"/>
  <c r="K720" i="2"/>
  <c r="J720" i="2"/>
  <c r="I720" i="2"/>
  <c r="H720" i="2"/>
  <c r="Q719" i="2"/>
  <c r="P719" i="2"/>
  <c r="O719" i="2"/>
  <c r="N719" i="2"/>
  <c r="M719" i="2"/>
  <c r="L719" i="2"/>
  <c r="K719" i="2"/>
  <c r="J719" i="2"/>
  <c r="I719" i="2"/>
  <c r="H719" i="2"/>
  <c r="Q718" i="2"/>
  <c r="P718" i="2"/>
  <c r="O718" i="2"/>
  <c r="N718" i="2"/>
  <c r="M718" i="2"/>
  <c r="L718" i="2"/>
  <c r="K718" i="2"/>
  <c r="J718" i="2"/>
  <c r="I718" i="2"/>
  <c r="H718" i="2"/>
  <c r="Q717" i="2"/>
  <c r="P717" i="2"/>
  <c r="O717" i="2"/>
  <c r="N717" i="2"/>
  <c r="M717" i="2"/>
  <c r="L717" i="2"/>
  <c r="K717" i="2"/>
  <c r="J717" i="2"/>
  <c r="I717" i="2"/>
  <c r="H717" i="2"/>
  <c r="Q716" i="2"/>
  <c r="P716" i="2"/>
  <c r="O716" i="2"/>
  <c r="N716" i="2"/>
  <c r="M716" i="2"/>
  <c r="L716" i="2"/>
  <c r="K716" i="2"/>
  <c r="J716" i="2"/>
  <c r="I716" i="2"/>
  <c r="H716" i="2"/>
  <c r="Q713" i="2"/>
  <c r="P713" i="2"/>
  <c r="O713" i="2"/>
  <c r="N713" i="2"/>
  <c r="M713" i="2"/>
  <c r="L713" i="2"/>
  <c r="K713" i="2"/>
  <c r="J713" i="2"/>
  <c r="I713" i="2"/>
  <c r="H713" i="2"/>
  <c r="Q712" i="2"/>
  <c r="P712" i="2"/>
  <c r="O712" i="2"/>
  <c r="N712" i="2"/>
  <c r="M712" i="2"/>
  <c r="L712" i="2"/>
  <c r="K712" i="2"/>
  <c r="J712" i="2"/>
  <c r="I712" i="2"/>
  <c r="H712" i="2"/>
  <c r="Q711" i="2"/>
  <c r="P711" i="2"/>
  <c r="O711" i="2"/>
  <c r="N711" i="2"/>
  <c r="M711" i="2"/>
  <c r="L711" i="2"/>
  <c r="K711" i="2"/>
  <c r="J711" i="2"/>
  <c r="I711" i="2"/>
  <c r="H711" i="2"/>
  <c r="Q710" i="2"/>
  <c r="P710" i="2"/>
  <c r="O710" i="2"/>
  <c r="N710" i="2"/>
  <c r="M710" i="2"/>
  <c r="L710" i="2"/>
  <c r="K710" i="2"/>
  <c r="J710" i="2"/>
  <c r="I710" i="2"/>
  <c r="H710" i="2"/>
  <c r="Q709" i="2"/>
  <c r="P709" i="2"/>
  <c r="O709" i="2"/>
  <c r="N709" i="2"/>
  <c r="M709" i="2"/>
  <c r="L709" i="2"/>
  <c r="K709" i="2"/>
  <c r="J709" i="2"/>
  <c r="I709" i="2"/>
  <c r="H709" i="2"/>
  <c r="Q708" i="2"/>
  <c r="P708" i="2"/>
  <c r="O708" i="2"/>
  <c r="N708" i="2"/>
  <c r="M708" i="2"/>
  <c r="L708" i="2"/>
  <c r="K708" i="2"/>
  <c r="J708" i="2"/>
  <c r="I708" i="2"/>
  <c r="H708" i="2"/>
  <c r="Q707" i="2"/>
  <c r="P707" i="2"/>
  <c r="O707" i="2"/>
  <c r="N707" i="2"/>
  <c r="M707" i="2"/>
  <c r="L707" i="2"/>
  <c r="K707" i="2"/>
  <c r="J707" i="2"/>
  <c r="I707" i="2"/>
  <c r="H707" i="2"/>
  <c r="Q704" i="2"/>
  <c r="P704" i="2"/>
  <c r="O704" i="2"/>
  <c r="N704" i="2"/>
  <c r="M704" i="2"/>
  <c r="L704" i="2"/>
  <c r="K704" i="2"/>
  <c r="J704" i="2"/>
  <c r="I704" i="2"/>
  <c r="H704" i="2"/>
  <c r="Q703" i="2"/>
  <c r="P703" i="2"/>
  <c r="O703" i="2"/>
  <c r="N703" i="2"/>
  <c r="M703" i="2"/>
  <c r="L703" i="2"/>
  <c r="K703" i="2"/>
  <c r="J703" i="2"/>
  <c r="I703" i="2"/>
  <c r="H703" i="2"/>
  <c r="Q702" i="2"/>
  <c r="P702" i="2"/>
  <c r="O702" i="2"/>
  <c r="N702" i="2"/>
  <c r="M702" i="2"/>
  <c r="L702" i="2"/>
  <c r="K702" i="2"/>
  <c r="J702" i="2"/>
  <c r="I702" i="2"/>
  <c r="H702" i="2"/>
  <c r="Q701" i="2"/>
  <c r="P701" i="2"/>
  <c r="O701" i="2"/>
  <c r="N701" i="2"/>
  <c r="M701" i="2"/>
  <c r="L701" i="2"/>
  <c r="K701" i="2"/>
  <c r="J701" i="2"/>
  <c r="I701" i="2"/>
  <c r="H701" i="2"/>
  <c r="Q698" i="2"/>
  <c r="P698" i="2"/>
  <c r="O698" i="2"/>
  <c r="N698" i="2"/>
  <c r="M698" i="2"/>
  <c r="L698" i="2"/>
  <c r="K698" i="2"/>
  <c r="J698" i="2"/>
  <c r="I698" i="2"/>
  <c r="H698" i="2"/>
  <c r="Q697" i="2"/>
  <c r="P697" i="2"/>
  <c r="O697" i="2"/>
  <c r="N697" i="2"/>
  <c r="M697" i="2"/>
  <c r="L697" i="2"/>
  <c r="K697" i="2"/>
  <c r="J697" i="2"/>
  <c r="I697" i="2"/>
  <c r="H697" i="2"/>
  <c r="Q696" i="2"/>
  <c r="P696" i="2"/>
  <c r="O696" i="2"/>
  <c r="N696" i="2"/>
  <c r="M696" i="2"/>
  <c r="L696" i="2"/>
  <c r="K696" i="2"/>
  <c r="J696" i="2"/>
  <c r="I696" i="2"/>
  <c r="H696" i="2"/>
  <c r="Q695" i="2"/>
  <c r="P695" i="2"/>
  <c r="O695" i="2"/>
  <c r="N695" i="2"/>
  <c r="M695" i="2"/>
  <c r="L695" i="2"/>
  <c r="K695" i="2"/>
  <c r="J695" i="2"/>
  <c r="I695" i="2"/>
  <c r="H695" i="2"/>
  <c r="Q694" i="2"/>
  <c r="P694" i="2"/>
  <c r="O694" i="2"/>
  <c r="N694" i="2"/>
  <c r="M694" i="2"/>
  <c r="L694" i="2"/>
  <c r="K694" i="2"/>
  <c r="J694" i="2"/>
  <c r="I694" i="2"/>
  <c r="H694" i="2"/>
  <c r="Q693" i="2"/>
  <c r="P693" i="2"/>
  <c r="O693" i="2"/>
  <c r="N693" i="2"/>
  <c r="M693" i="2"/>
  <c r="L693" i="2"/>
  <c r="K693" i="2"/>
  <c r="J693" i="2"/>
  <c r="I693" i="2"/>
  <c r="H693" i="2"/>
  <c r="Q690" i="2"/>
  <c r="P690" i="2"/>
  <c r="O690" i="2"/>
  <c r="N690" i="2"/>
  <c r="M690" i="2"/>
  <c r="L690" i="2"/>
  <c r="K690" i="2"/>
  <c r="J690" i="2"/>
  <c r="I690" i="2"/>
  <c r="H690" i="2"/>
  <c r="Q689" i="2"/>
  <c r="P689" i="2"/>
  <c r="O689" i="2"/>
  <c r="N689" i="2"/>
  <c r="M689" i="2"/>
  <c r="L689" i="2"/>
  <c r="K689" i="2"/>
  <c r="J689" i="2"/>
  <c r="I689" i="2"/>
  <c r="H689" i="2"/>
  <c r="Q688" i="2"/>
  <c r="P688" i="2"/>
  <c r="O688" i="2"/>
  <c r="N688" i="2"/>
  <c r="M688" i="2"/>
  <c r="L688" i="2"/>
  <c r="K688" i="2"/>
  <c r="J688" i="2"/>
  <c r="I688" i="2"/>
  <c r="H688" i="2"/>
  <c r="Q685" i="2"/>
  <c r="P685" i="2"/>
  <c r="O685" i="2"/>
  <c r="N685" i="2"/>
  <c r="M685" i="2"/>
  <c r="L685" i="2"/>
  <c r="K685" i="2"/>
  <c r="J685" i="2"/>
  <c r="I685" i="2"/>
  <c r="H685" i="2"/>
  <c r="Q684" i="2"/>
  <c r="P684" i="2"/>
  <c r="O684" i="2"/>
  <c r="N684" i="2"/>
  <c r="M684" i="2"/>
  <c r="L684" i="2"/>
  <c r="K684" i="2"/>
  <c r="J684" i="2"/>
  <c r="I684" i="2"/>
  <c r="H684" i="2"/>
  <c r="Q683" i="2"/>
  <c r="P683" i="2"/>
  <c r="O683" i="2"/>
  <c r="N683" i="2"/>
  <c r="M683" i="2"/>
  <c r="L683" i="2"/>
  <c r="K683" i="2"/>
  <c r="J683" i="2"/>
  <c r="I683" i="2"/>
  <c r="H683" i="2"/>
  <c r="Q682" i="2"/>
  <c r="P682" i="2"/>
  <c r="O682" i="2"/>
  <c r="N682" i="2"/>
  <c r="M682" i="2"/>
  <c r="L682" i="2"/>
  <c r="K682" i="2"/>
  <c r="J682" i="2"/>
  <c r="I682" i="2"/>
  <c r="H682" i="2"/>
  <c r="Q681" i="2"/>
  <c r="P681" i="2"/>
  <c r="O681" i="2"/>
  <c r="N681" i="2"/>
  <c r="M681" i="2"/>
  <c r="L681" i="2"/>
  <c r="K681" i="2"/>
  <c r="J681" i="2"/>
  <c r="I681" i="2"/>
  <c r="H681" i="2"/>
  <c r="Q680" i="2"/>
  <c r="P680" i="2"/>
  <c r="O680" i="2"/>
  <c r="N680" i="2"/>
  <c r="M680" i="2"/>
  <c r="L680" i="2"/>
  <c r="K680" i="2"/>
  <c r="J680" i="2"/>
  <c r="I680" i="2"/>
  <c r="H680" i="2"/>
  <c r="H677" i="2"/>
  <c r="H676" i="2"/>
  <c r="H675" i="2"/>
  <c r="H674" i="2"/>
  <c r="H673" i="2"/>
  <c r="H672" i="2"/>
  <c r="H671" i="2"/>
  <c r="Q670" i="2"/>
  <c r="P670" i="2"/>
  <c r="O670" i="2"/>
  <c r="N670" i="2"/>
  <c r="M670" i="2"/>
  <c r="L670" i="2"/>
  <c r="K670" i="2"/>
  <c r="J670" i="2"/>
  <c r="I670" i="2"/>
  <c r="H670" i="2"/>
  <c r="Q669" i="2"/>
  <c r="P669" i="2"/>
  <c r="O669" i="2"/>
  <c r="N669" i="2"/>
  <c r="M669" i="2"/>
  <c r="L669" i="2"/>
  <c r="K669" i="2"/>
  <c r="J669" i="2"/>
  <c r="I669" i="2"/>
  <c r="H669" i="2"/>
  <c r="Q668" i="2"/>
  <c r="P668" i="2"/>
  <c r="O668" i="2"/>
  <c r="N668" i="2"/>
  <c r="M668" i="2"/>
  <c r="L668" i="2"/>
  <c r="K668" i="2"/>
  <c r="J668" i="2"/>
  <c r="I668" i="2"/>
  <c r="H668" i="2"/>
  <c r="Q667" i="2"/>
  <c r="P667" i="2"/>
  <c r="O667" i="2"/>
  <c r="N667" i="2"/>
  <c r="M667" i="2"/>
  <c r="L667" i="2"/>
  <c r="K667" i="2"/>
  <c r="J667" i="2"/>
  <c r="I667" i="2"/>
  <c r="H667" i="2"/>
  <c r="Q666" i="2"/>
  <c r="P666" i="2"/>
  <c r="O666" i="2"/>
  <c r="N666" i="2"/>
  <c r="M666" i="2"/>
  <c r="L666" i="2"/>
  <c r="K666" i="2"/>
  <c r="J666" i="2"/>
  <c r="I666" i="2"/>
  <c r="H666" i="2"/>
  <c r="Q665" i="2"/>
  <c r="P665" i="2"/>
  <c r="O665" i="2"/>
  <c r="N665" i="2"/>
  <c r="M665" i="2"/>
  <c r="L665" i="2"/>
  <c r="K665" i="2"/>
  <c r="J665" i="2"/>
  <c r="I665" i="2"/>
  <c r="H665" i="2"/>
  <c r="Q664" i="2"/>
  <c r="P664" i="2"/>
  <c r="O664" i="2"/>
  <c r="N664" i="2"/>
  <c r="M664" i="2"/>
  <c r="L664" i="2"/>
  <c r="K664" i="2"/>
  <c r="J664" i="2"/>
  <c r="I664" i="2"/>
  <c r="H664" i="2"/>
  <c r="Q661" i="2"/>
  <c r="P661" i="2"/>
  <c r="O661" i="2"/>
  <c r="N661" i="2"/>
  <c r="M661" i="2"/>
  <c r="L661" i="2"/>
  <c r="K661" i="2"/>
  <c r="J661" i="2"/>
  <c r="I661" i="2"/>
  <c r="H661" i="2"/>
  <c r="Q660" i="2"/>
  <c r="P660" i="2"/>
  <c r="O660" i="2"/>
  <c r="N660" i="2"/>
  <c r="M660" i="2"/>
  <c r="L660" i="2"/>
  <c r="K660" i="2"/>
  <c r="J660" i="2"/>
  <c r="I660" i="2"/>
  <c r="H660" i="2"/>
  <c r="Q659" i="2"/>
  <c r="P659" i="2"/>
  <c r="O659" i="2"/>
  <c r="N659" i="2"/>
  <c r="M659" i="2"/>
  <c r="L659" i="2"/>
  <c r="K659" i="2"/>
  <c r="J659" i="2"/>
  <c r="I659" i="2"/>
  <c r="H659" i="2"/>
  <c r="Q658" i="2"/>
  <c r="P658" i="2"/>
  <c r="O658" i="2"/>
  <c r="N658" i="2"/>
  <c r="M658" i="2"/>
  <c r="L658" i="2"/>
  <c r="K658" i="2"/>
  <c r="J658" i="2"/>
  <c r="I658" i="2"/>
  <c r="H658" i="2"/>
  <c r="Q657" i="2"/>
  <c r="P657" i="2"/>
  <c r="O657" i="2"/>
  <c r="N657" i="2"/>
  <c r="M657" i="2"/>
  <c r="L657" i="2"/>
  <c r="K657" i="2"/>
  <c r="J657" i="2"/>
  <c r="I657" i="2"/>
  <c r="H657" i="2"/>
  <c r="Q656" i="2"/>
  <c r="P656" i="2"/>
  <c r="O656" i="2"/>
  <c r="N656" i="2"/>
  <c r="M656" i="2"/>
  <c r="L656" i="2"/>
  <c r="K656" i="2"/>
  <c r="J656" i="2"/>
  <c r="I656" i="2"/>
  <c r="H656" i="2"/>
  <c r="Q655" i="2"/>
  <c r="P655" i="2"/>
  <c r="O655" i="2"/>
  <c r="N655" i="2"/>
  <c r="M655" i="2"/>
  <c r="L655" i="2"/>
  <c r="K655" i="2"/>
  <c r="J655" i="2"/>
  <c r="I655" i="2"/>
  <c r="H655" i="2"/>
  <c r="Q654" i="2"/>
  <c r="P654" i="2"/>
  <c r="O654" i="2"/>
  <c r="N654" i="2"/>
  <c r="M654" i="2"/>
  <c r="L654" i="2"/>
  <c r="K654" i="2"/>
  <c r="J654" i="2"/>
  <c r="I654" i="2"/>
  <c r="H654" i="2"/>
  <c r="Q653" i="2"/>
  <c r="P653" i="2"/>
  <c r="O653" i="2"/>
  <c r="N653" i="2"/>
  <c r="M653" i="2"/>
  <c r="L653" i="2"/>
  <c r="K653" i="2"/>
  <c r="J653" i="2"/>
  <c r="I653" i="2"/>
  <c r="H653" i="2"/>
  <c r="Q652" i="2"/>
  <c r="P652" i="2"/>
  <c r="O652" i="2"/>
  <c r="N652" i="2"/>
  <c r="M652" i="2"/>
  <c r="L652" i="2"/>
  <c r="K652" i="2"/>
  <c r="J652" i="2"/>
  <c r="I652" i="2"/>
  <c r="H652" i="2"/>
  <c r="Q651" i="2"/>
  <c r="P651" i="2"/>
  <c r="O651" i="2"/>
  <c r="N651" i="2"/>
  <c r="M651" i="2"/>
  <c r="L651" i="2"/>
  <c r="K651" i="2"/>
  <c r="J651" i="2"/>
  <c r="I651" i="2"/>
  <c r="H651" i="2"/>
  <c r="Q650" i="2"/>
  <c r="P650" i="2"/>
  <c r="O650" i="2"/>
  <c r="N650" i="2"/>
  <c r="M650" i="2"/>
  <c r="L650" i="2"/>
  <c r="K650" i="2"/>
  <c r="J650" i="2"/>
  <c r="I650" i="2"/>
  <c r="H650" i="2"/>
  <c r="Q649" i="2"/>
  <c r="P649" i="2"/>
  <c r="O649" i="2"/>
  <c r="N649" i="2"/>
  <c r="M649" i="2"/>
  <c r="L649" i="2"/>
  <c r="K649" i="2"/>
  <c r="J649" i="2"/>
  <c r="I649" i="2"/>
  <c r="H649" i="2"/>
  <c r="Q648" i="2"/>
  <c r="P648" i="2"/>
  <c r="O648" i="2"/>
  <c r="N648" i="2"/>
  <c r="M648" i="2"/>
  <c r="L648" i="2"/>
  <c r="K648" i="2"/>
  <c r="J648" i="2"/>
  <c r="I648" i="2"/>
  <c r="H648" i="2"/>
  <c r="Q647" i="2"/>
  <c r="P647" i="2"/>
  <c r="O647" i="2"/>
  <c r="N647" i="2"/>
  <c r="M647" i="2"/>
  <c r="L647" i="2"/>
  <c r="K647" i="2"/>
  <c r="J647" i="2"/>
  <c r="I647" i="2"/>
  <c r="H647" i="2"/>
  <c r="Q646" i="2"/>
  <c r="P646" i="2"/>
  <c r="O646" i="2"/>
  <c r="N646" i="2"/>
  <c r="M646" i="2"/>
  <c r="L646" i="2"/>
  <c r="K646" i="2"/>
  <c r="J646" i="2"/>
  <c r="I646" i="2"/>
  <c r="H646" i="2"/>
  <c r="Q645" i="2"/>
  <c r="P645" i="2"/>
  <c r="O645" i="2"/>
  <c r="N645" i="2"/>
  <c r="M645" i="2"/>
  <c r="L645" i="2"/>
  <c r="K645" i="2"/>
  <c r="J645" i="2"/>
  <c r="I645" i="2"/>
  <c r="H645" i="2"/>
  <c r="Q644" i="2"/>
  <c r="P644" i="2"/>
  <c r="O644" i="2"/>
  <c r="N644" i="2"/>
  <c r="M644" i="2"/>
  <c r="L644" i="2"/>
  <c r="K644" i="2"/>
  <c r="J644" i="2"/>
  <c r="I644" i="2"/>
  <c r="H644" i="2"/>
  <c r="Q643" i="2"/>
  <c r="P643" i="2"/>
  <c r="O643" i="2"/>
  <c r="N643" i="2"/>
  <c r="M643" i="2"/>
  <c r="L643" i="2"/>
  <c r="K643" i="2"/>
  <c r="J643" i="2"/>
  <c r="I643" i="2"/>
  <c r="H643" i="2"/>
  <c r="Q642" i="2"/>
  <c r="P642" i="2"/>
  <c r="O642" i="2"/>
  <c r="N642" i="2"/>
  <c r="M642" i="2"/>
  <c r="L642" i="2"/>
  <c r="K642" i="2"/>
  <c r="J642" i="2"/>
  <c r="I642" i="2"/>
  <c r="H642" i="2"/>
  <c r="Q641" i="2"/>
  <c r="P641" i="2"/>
  <c r="O641" i="2"/>
  <c r="N641" i="2"/>
  <c r="M641" i="2"/>
  <c r="L641" i="2"/>
  <c r="K641" i="2"/>
  <c r="J641" i="2"/>
  <c r="I641" i="2"/>
  <c r="H641" i="2"/>
  <c r="Q640" i="2"/>
  <c r="P640" i="2"/>
  <c r="O640" i="2"/>
  <c r="N640" i="2"/>
  <c r="M640" i="2"/>
  <c r="L640" i="2"/>
  <c r="K640" i="2"/>
  <c r="J640" i="2"/>
  <c r="I640" i="2"/>
  <c r="H640" i="2"/>
  <c r="Q639" i="2"/>
  <c r="P639" i="2"/>
  <c r="O639" i="2"/>
  <c r="N639" i="2"/>
  <c r="M639" i="2"/>
  <c r="L639" i="2"/>
  <c r="K639" i="2"/>
  <c r="J639" i="2"/>
  <c r="I639" i="2"/>
  <c r="H639" i="2"/>
  <c r="Q638" i="2"/>
  <c r="P638" i="2"/>
  <c r="O638" i="2"/>
  <c r="N638" i="2"/>
  <c r="M638" i="2"/>
  <c r="L638" i="2"/>
  <c r="K638" i="2"/>
  <c r="J638" i="2"/>
  <c r="I638" i="2"/>
  <c r="H638" i="2"/>
  <c r="Q637" i="2"/>
  <c r="P637" i="2"/>
  <c r="O637" i="2"/>
  <c r="N637" i="2"/>
  <c r="M637" i="2"/>
  <c r="L637" i="2"/>
  <c r="K637" i="2"/>
  <c r="J637" i="2"/>
  <c r="I637" i="2"/>
  <c r="H637" i="2"/>
  <c r="Q636" i="2"/>
  <c r="P636" i="2"/>
  <c r="O636" i="2"/>
  <c r="N636" i="2"/>
  <c r="M636" i="2"/>
  <c r="L636" i="2"/>
  <c r="K636" i="2"/>
  <c r="J636" i="2"/>
  <c r="I636" i="2"/>
  <c r="H636" i="2"/>
  <c r="Q635" i="2"/>
  <c r="P635" i="2"/>
  <c r="O635" i="2"/>
  <c r="N635" i="2"/>
  <c r="M635" i="2"/>
  <c r="L635" i="2"/>
  <c r="K635" i="2"/>
  <c r="J635" i="2"/>
  <c r="I635" i="2"/>
  <c r="H635" i="2"/>
  <c r="Q634" i="2"/>
  <c r="P634" i="2"/>
  <c r="O634" i="2"/>
  <c r="N634" i="2"/>
  <c r="M634" i="2"/>
  <c r="L634" i="2"/>
  <c r="K634" i="2"/>
  <c r="J634" i="2"/>
  <c r="I634" i="2"/>
  <c r="H634" i="2"/>
  <c r="Q633" i="2"/>
  <c r="P633" i="2"/>
  <c r="O633" i="2"/>
  <c r="N633" i="2"/>
  <c r="M633" i="2"/>
  <c r="L633" i="2"/>
  <c r="K633" i="2"/>
  <c r="J633" i="2"/>
  <c r="I633" i="2"/>
  <c r="H633" i="2"/>
  <c r="Q632" i="2"/>
  <c r="P632" i="2"/>
  <c r="O632" i="2"/>
  <c r="N632" i="2"/>
  <c r="M632" i="2"/>
  <c r="L632" i="2"/>
  <c r="K632" i="2"/>
  <c r="J632" i="2"/>
  <c r="I632" i="2"/>
  <c r="H632" i="2"/>
  <c r="Q631" i="2"/>
  <c r="P631" i="2"/>
  <c r="O631" i="2"/>
  <c r="N631" i="2"/>
  <c r="M631" i="2"/>
  <c r="L631" i="2"/>
  <c r="K631" i="2"/>
  <c r="J631" i="2"/>
  <c r="I631" i="2"/>
  <c r="H631" i="2"/>
  <c r="Q630" i="2"/>
  <c r="P630" i="2"/>
  <c r="O630" i="2"/>
  <c r="N630" i="2"/>
  <c r="M630" i="2"/>
  <c r="L630" i="2"/>
  <c r="K630" i="2"/>
  <c r="J630" i="2"/>
  <c r="I630" i="2"/>
  <c r="H630" i="2"/>
  <c r="Q629" i="2"/>
  <c r="P629" i="2"/>
  <c r="O629" i="2"/>
  <c r="N629" i="2"/>
  <c r="M629" i="2"/>
  <c r="L629" i="2"/>
  <c r="K629" i="2"/>
  <c r="J629" i="2"/>
  <c r="I629" i="2"/>
  <c r="H629" i="2"/>
  <c r="Q628" i="2"/>
  <c r="P628" i="2"/>
  <c r="O628" i="2"/>
  <c r="N628" i="2"/>
  <c r="M628" i="2"/>
  <c r="L628" i="2"/>
  <c r="K628" i="2"/>
  <c r="J628" i="2"/>
  <c r="I628" i="2"/>
  <c r="H628" i="2"/>
  <c r="Q627" i="2"/>
  <c r="P627" i="2"/>
  <c r="O627" i="2"/>
  <c r="N627" i="2"/>
  <c r="M627" i="2"/>
  <c r="L627" i="2"/>
  <c r="K627" i="2"/>
  <c r="J627" i="2"/>
  <c r="I627" i="2"/>
  <c r="H627" i="2"/>
  <c r="Q624" i="2"/>
  <c r="P624" i="2"/>
  <c r="O624" i="2"/>
  <c r="N624" i="2"/>
  <c r="M624" i="2"/>
  <c r="L624" i="2"/>
  <c r="K624" i="2"/>
  <c r="J624" i="2"/>
  <c r="I624" i="2"/>
  <c r="H624" i="2"/>
  <c r="Q623" i="2"/>
  <c r="P623" i="2"/>
  <c r="O623" i="2"/>
  <c r="N623" i="2"/>
  <c r="M623" i="2"/>
  <c r="L623" i="2"/>
  <c r="K623" i="2"/>
  <c r="J623" i="2"/>
  <c r="I623" i="2"/>
  <c r="H623" i="2"/>
  <c r="Q622" i="2"/>
  <c r="P622" i="2"/>
  <c r="O622" i="2"/>
  <c r="N622" i="2"/>
  <c r="M622" i="2"/>
  <c r="L622" i="2"/>
  <c r="K622" i="2"/>
  <c r="J622" i="2"/>
  <c r="I622" i="2"/>
  <c r="H622" i="2"/>
  <c r="Q621" i="2"/>
  <c r="P621" i="2"/>
  <c r="O621" i="2"/>
  <c r="N621" i="2"/>
  <c r="M621" i="2"/>
  <c r="L621" i="2"/>
  <c r="K621" i="2"/>
  <c r="J621" i="2"/>
  <c r="I621" i="2"/>
  <c r="H621" i="2"/>
  <c r="Q620" i="2"/>
  <c r="P620" i="2"/>
  <c r="O620" i="2"/>
  <c r="N620" i="2"/>
  <c r="M620" i="2"/>
  <c r="L620" i="2"/>
  <c r="K620" i="2"/>
  <c r="J620" i="2"/>
  <c r="I620" i="2"/>
  <c r="H620" i="2"/>
  <c r="Q619" i="2"/>
  <c r="P619" i="2"/>
  <c r="O619" i="2"/>
  <c r="N619" i="2"/>
  <c r="M619" i="2"/>
  <c r="L619" i="2"/>
  <c r="K619" i="2"/>
  <c r="J619" i="2"/>
  <c r="I619" i="2"/>
  <c r="H619" i="2"/>
  <c r="Q616" i="2"/>
  <c r="P616" i="2"/>
  <c r="O616" i="2"/>
  <c r="N616" i="2"/>
  <c r="M616" i="2"/>
  <c r="L616" i="2"/>
  <c r="K616" i="2"/>
  <c r="J616" i="2"/>
  <c r="I616" i="2"/>
  <c r="H616" i="2"/>
  <c r="Q613" i="2"/>
  <c r="P613" i="2"/>
  <c r="O613" i="2"/>
  <c r="N613" i="2"/>
  <c r="M613" i="2"/>
  <c r="L613" i="2"/>
  <c r="K613" i="2"/>
  <c r="J613" i="2"/>
  <c r="I613" i="2"/>
  <c r="H613" i="2"/>
  <c r="Q612" i="2"/>
  <c r="P612" i="2"/>
  <c r="O612" i="2"/>
  <c r="N612" i="2"/>
  <c r="M612" i="2"/>
  <c r="L612" i="2"/>
  <c r="K612" i="2"/>
  <c r="J612" i="2"/>
  <c r="I612" i="2"/>
  <c r="H612" i="2"/>
  <c r="Q611" i="2"/>
  <c r="P611" i="2"/>
  <c r="O611" i="2"/>
  <c r="N611" i="2"/>
  <c r="M611" i="2"/>
  <c r="L611" i="2"/>
  <c r="K611" i="2"/>
  <c r="J611" i="2"/>
  <c r="I611" i="2"/>
  <c r="H611" i="2"/>
  <c r="Q610" i="2"/>
  <c r="P610" i="2"/>
  <c r="O610" i="2"/>
  <c r="N610" i="2"/>
  <c r="M610" i="2"/>
  <c r="L610" i="2"/>
  <c r="K610" i="2"/>
  <c r="J610" i="2"/>
  <c r="I610" i="2"/>
  <c r="H610" i="2"/>
  <c r="Q609" i="2"/>
  <c r="P609" i="2"/>
  <c r="O609" i="2"/>
  <c r="N609" i="2"/>
  <c r="M609" i="2"/>
  <c r="L609" i="2"/>
  <c r="K609" i="2"/>
  <c r="J609" i="2"/>
  <c r="I609" i="2"/>
  <c r="H609" i="2"/>
  <c r="Q608" i="2"/>
  <c r="P608" i="2"/>
  <c r="O608" i="2"/>
  <c r="N608" i="2"/>
  <c r="M608" i="2"/>
  <c r="L608" i="2"/>
  <c r="K608" i="2"/>
  <c r="J608" i="2"/>
  <c r="I608" i="2"/>
  <c r="H608" i="2"/>
  <c r="Q605" i="2"/>
  <c r="P605" i="2"/>
  <c r="O605" i="2"/>
  <c r="N605" i="2"/>
  <c r="M605" i="2"/>
  <c r="L605" i="2"/>
  <c r="K605" i="2"/>
  <c r="J605" i="2"/>
  <c r="I605" i="2"/>
  <c r="H605" i="2"/>
  <c r="Q604" i="2"/>
  <c r="P604" i="2"/>
  <c r="O604" i="2"/>
  <c r="N604" i="2"/>
  <c r="M604" i="2"/>
  <c r="L604" i="2"/>
  <c r="K604" i="2"/>
  <c r="J604" i="2"/>
  <c r="I604" i="2"/>
  <c r="H604" i="2"/>
  <c r="Q603" i="2"/>
  <c r="P603" i="2"/>
  <c r="O603" i="2"/>
  <c r="N603" i="2"/>
  <c r="M603" i="2"/>
  <c r="L603" i="2"/>
  <c r="K603" i="2"/>
  <c r="J603" i="2"/>
  <c r="I603" i="2"/>
  <c r="H603" i="2"/>
  <c r="Q602" i="2"/>
  <c r="P602" i="2"/>
  <c r="O602" i="2"/>
  <c r="N602" i="2"/>
  <c r="M602" i="2"/>
  <c r="L602" i="2"/>
  <c r="K602" i="2"/>
  <c r="J602" i="2"/>
  <c r="I602" i="2"/>
  <c r="H602" i="2"/>
  <c r="Q599" i="2"/>
  <c r="P599" i="2"/>
  <c r="O599" i="2"/>
  <c r="N599" i="2"/>
  <c r="M599" i="2"/>
  <c r="L599" i="2"/>
  <c r="K599" i="2"/>
  <c r="J599" i="2"/>
  <c r="I599" i="2"/>
  <c r="H599" i="2"/>
  <c r="Q598" i="2"/>
  <c r="P598" i="2"/>
  <c r="O598" i="2"/>
  <c r="N598" i="2"/>
  <c r="M598" i="2"/>
  <c r="L598" i="2"/>
  <c r="K598" i="2"/>
  <c r="J598" i="2"/>
  <c r="I598" i="2"/>
  <c r="H598" i="2"/>
  <c r="Q597" i="2"/>
  <c r="P597" i="2"/>
  <c r="O597" i="2"/>
  <c r="N597" i="2"/>
  <c r="M597" i="2"/>
  <c r="L597" i="2"/>
  <c r="K597" i="2"/>
  <c r="J597" i="2"/>
  <c r="I597" i="2"/>
  <c r="H597" i="2"/>
  <c r="Q596" i="2"/>
  <c r="P596" i="2"/>
  <c r="O596" i="2"/>
  <c r="N596" i="2"/>
  <c r="M596" i="2"/>
  <c r="L596" i="2"/>
  <c r="K596" i="2"/>
  <c r="J596" i="2"/>
  <c r="I596" i="2"/>
  <c r="H596" i="2"/>
  <c r="Q595" i="2"/>
  <c r="P595" i="2"/>
  <c r="O595" i="2"/>
  <c r="N595" i="2"/>
  <c r="M595" i="2"/>
  <c r="L595" i="2"/>
  <c r="K595" i="2"/>
  <c r="J595" i="2"/>
  <c r="I595" i="2"/>
  <c r="H595" i="2"/>
  <c r="Q594" i="2"/>
  <c r="P594" i="2"/>
  <c r="O594" i="2"/>
  <c r="N594" i="2"/>
  <c r="M594" i="2"/>
  <c r="L594" i="2"/>
  <c r="K594" i="2"/>
  <c r="J594" i="2"/>
  <c r="I594" i="2"/>
  <c r="H594" i="2"/>
  <c r="Q593" i="2"/>
  <c r="P593" i="2"/>
  <c r="O593" i="2"/>
  <c r="N593" i="2"/>
  <c r="M593" i="2"/>
  <c r="L593" i="2"/>
  <c r="K593" i="2"/>
  <c r="J593" i="2"/>
  <c r="I593" i="2"/>
  <c r="H593" i="2"/>
  <c r="Q590" i="2"/>
  <c r="P590" i="2"/>
  <c r="O590" i="2"/>
  <c r="N590" i="2"/>
  <c r="M590" i="2"/>
  <c r="L590" i="2"/>
  <c r="K590" i="2"/>
  <c r="J590" i="2"/>
  <c r="I590" i="2"/>
  <c r="H590" i="2"/>
  <c r="Q587" i="2"/>
  <c r="P587" i="2"/>
  <c r="O587" i="2"/>
  <c r="N587" i="2"/>
  <c r="M587" i="2"/>
  <c r="L587" i="2"/>
  <c r="K587" i="2"/>
  <c r="J587" i="2"/>
  <c r="I587" i="2"/>
  <c r="H587" i="2"/>
  <c r="Q586" i="2"/>
  <c r="P586" i="2"/>
  <c r="O586" i="2"/>
  <c r="N586" i="2"/>
  <c r="M586" i="2"/>
  <c r="L586" i="2"/>
  <c r="K586" i="2"/>
  <c r="J586" i="2"/>
  <c r="I586" i="2"/>
  <c r="H586" i="2"/>
  <c r="Q585" i="2"/>
  <c r="P585" i="2"/>
  <c r="O585" i="2"/>
  <c r="N585" i="2"/>
  <c r="M585" i="2"/>
  <c r="L585" i="2"/>
  <c r="K585" i="2"/>
  <c r="J585" i="2"/>
  <c r="I585" i="2"/>
  <c r="H585" i="2"/>
  <c r="Q584" i="2"/>
  <c r="P584" i="2"/>
  <c r="O584" i="2"/>
  <c r="N584" i="2"/>
  <c r="M584" i="2"/>
  <c r="L584" i="2"/>
  <c r="K584" i="2"/>
  <c r="J584" i="2"/>
  <c r="I584" i="2"/>
  <c r="H584" i="2"/>
  <c r="Q583" i="2"/>
  <c r="P583" i="2"/>
  <c r="O583" i="2"/>
  <c r="N583" i="2"/>
  <c r="M583" i="2"/>
  <c r="L583" i="2"/>
  <c r="K583" i="2"/>
  <c r="J583" i="2"/>
  <c r="I583" i="2"/>
  <c r="H583" i="2"/>
  <c r="Q582" i="2"/>
  <c r="P582" i="2"/>
  <c r="O582" i="2"/>
  <c r="N582" i="2"/>
  <c r="M582" i="2"/>
  <c r="L582" i="2"/>
  <c r="K582" i="2"/>
  <c r="J582" i="2"/>
  <c r="I582" i="2"/>
  <c r="H582" i="2"/>
  <c r="Q581" i="2"/>
  <c r="P581" i="2"/>
  <c r="O581" i="2"/>
  <c r="N581" i="2"/>
  <c r="M581" i="2"/>
  <c r="L581" i="2"/>
  <c r="K581" i="2"/>
  <c r="J581" i="2"/>
  <c r="I581" i="2"/>
  <c r="H581" i="2"/>
  <c r="Q580" i="2"/>
  <c r="P580" i="2"/>
  <c r="O580" i="2"/>
  <c r="N580" i="2"/>
  <c r="M580" i="2"/>
  <c r="L580" i="2"/>
  <c r="K580" i="2"/>
  <c r="J580" i="2"/>
  <c r="I580" i="2"/>
  <c r="H580" i="2"/>
  <c r="Q579" i="2"/>
  <c r="P579" i="2"/>
  <c r="O579" i="2"/>
  <c r="N579" i="2"/>
  <c r="M579" i="2"/>
  <c r="L579" i="2"/>
  <c r="K579" i="2"/>
  <c r="J579" i="2"/>
  <c r="I579" i="2"/>
  <c r="H579" i="2"/>
  <c r="Q578" i="2"/>
  <c r="P578" i="2"/>
  <c r="O578" i="2"/>
  <c r="N578" i="2"/>
  <c r="M578" i="2"/>
  <c r="L578" i="2"/>
  <c r="K578" i="2"/>
  <c r="J578" i="2"/>
  <c r="I578" i="2"/>
  <c r="H578" i="2"/>
  <c r="Q575" i="2"/>
  <c r="P575" i="2"/>
  <c r="O575" i="2"/>
  <c r="N575" i="2"/>
  <c r="M575" i="2"/>
  <c r="L575" i="2"/>
  <c r="K575" i="2"/>
  <c r="J575" i="2"/>
  <c r="I575" i="2"/>
  <c r="H575" i="2"/>
  <c r="Q574" i="2"/>
  <c r="P574" i="2"/>
  <c r="O574" i="2"/>
  <c r="N574" i="2"/>
  <c r="M574" i="2"/>
  <c r="L574" i="2"/>
  <c r="K574" i="2"/>
  <c r="J574" i="2"/>
  <c r="I574" i="2"/>
  <c r="H574" i="2"/>
  <c r="Q573" i="2"/>
  <c r="P573" i="2"/>
  <c r="O573" i="2"/>
  <c r="N573" i="2"/>
  <c r="M573" i="2"/>
  <c r="L573" i="2"/>
  <c r="K573" i="2"/>
  <c r="J573" i="2"/>
  <c r="I573" i="2"/>
  <c r="H573" i="2"/>
  <c r="Q572" i="2"/>
  <c r="P572" i="2"/>
  <c r="O572" i="2"/>
  <c r="N572" i="2"/>
  <c r="M572" i="2"/>
  <c r="L572" i="2"/>
  <c r="K572" i="2"/>
  <c r="J572" i="2"/>
  <c r="I572" i="2"/>
  <c r="H572" i="2"/>
  <c r="Q571" i="2"/>
  <c r="P571" i="2"/>
  <c r="O571" i="2"/>
  <c r="N571" i="2"/>
  <c r="M571" i="2"/>
  <c r="L571" i="2"/>
  <c r="K571" i="2"/>
  <c r="J571" i="2"/>
  <c r="I571" i="2"/>
  <c r="H571" i="2"/>
  <c r="H568" i="2"/>
  <c r="H567" i="2"/>
  <c r="H566" i="2"/>
  <c r="H565" i="2"/>
  <c r="H564" i="2"/>
  <c r="H563" i="2"/>
  <c r="H562" i="2"/>
  <c r="Q561" i="2"/>
  <c r="P561" i="2"/>
  <c r="O561" i="2"/>
  <c r="N561" i="2"/>
  <c r="M561" i="2"/>
  <c r="L561" i="2"/>
  <c r="K561" i="2"/>
  <c r="J561" i="2"/>
  <c r="I561" i="2"/>
  <c r="H561" i="2"/>
  <c r="Q560" i="2"/>
  <c r="P560" i="2"/>
  <c r="O560" i="2"/>
  <c r="N560" i="2"/>
  <c r="M560" i="2"/>
  <c r="L560" i="2"/>
  <c r="K560" i="2"/>
  <c r="J560" i="2"/>
  <c r="I560" i="2"/>
  <c r="H560" i="2"/>
  <c r="Q559" i="2"/>
  <c r="P559" i="2"/>
  <c r="O559" i="2"/>
  <c r="N559" i="2"/>
  <c r="M559" i="2"/>
  <c r="L559" i="2"/>
  <c r="K559" i="2"/>
  <c r="J559" i="2"/>
  <c r="I559" i="2"/>
  <c r="H559" i="2"/>
  <c r="Q558" i="2"/>
  <c r="P558" i="2"/>
  <c r="O558" i="2"/>
  <c r="N558" i="2"/>
  <c r="M558" i="2"/>
  <c r="L558" i="2"/>
  <c r="K558" i="2"/>
  <c r="J558" i="2"/>
  <c r="I558" i="2"/>
  <c r="H558" i="2"/>
  <c r="Q557" i="2"/>
  <c r="P557" i="2"/>
  <c r="O557" i="2"/>
  <c r="N557" i="2"/>
  <c r="M557" i="2"/>
  <c r="L557" i="2"/>
  <c r="K557" i="2"/>
  <c r="J557" i="2"/>
  <c r="I557" i="2"/>
  <c r="H557" i="2"/>
  <c r="Q556" i="2"/>
  <c r="P556" i="2"/>
  <c r="O556" i="2"/>
  <c r="N556" i="2"/>
  <c r="M556" i="2"/>
  <c r="L556" i="2"/>
  <c r="K556" i="2"/>
  <c r="J556" i="2"/>
  <c r="I556" i="2"/>
  <c r="H556" i="2"/>
  <c r="Q555" i="2"/>
  <c r="P555" i="2"/>
  <c r="O555" i="2"/>
  <c r="N555" i="2"/>
  <c r="M555" i="2"/>
  <c r="L555" i="2"/>
  <c r="K555" i="2"/>
  <c r="J555" i="2"/>
  <c r="I555" i="2"/>
  <c r="H555" i="2"/>
  <c r="Q554" i="2"/>
  <c r="P554" i="2"/>
  <c r="O554" i="2"/>
  <c r="N554" i="2"/>
  <c r="M554" i="2"/>
  <c r="L554" i="2"/>
  <c r="K554" i="2"/>
  <c r="J554" i="2"/>
  <c r="I554" i="2"/>
  <c r="H554" i="2"/>
  <c r="Q553" i="2"/>
  <c r="P553" i="2"/>
  <c r="O553" i="2"/>
  <c r="N553" i="2"/>
  <c r="M553" i="2"/>
  <c r="L553" i="2"/>
  <c r="K553" i="2"/>
  <c r="J553" i="2"/>
  <c r="I553" i="2"/>
  <c r="H553" i="2"/>
  <c r="Q552" i="2"/>
  <c r="P552" i="2"/>
  <c r="O552" i="2"/>
  <c r="N552" i="2"/>
  <c r="M552" i="2"/>
  <c r="L552" i="2"/>
  <c r="K552" i="2"/>
  <c r="J552" i="2"/>
  <c r="I552" i="2"/>
  <c r="H552" i="2"/>
  <c r="Q551" i="2"/>
  <c r="P551" i="2"/>
  <c r="O551" i="2"/>
  <c r="N551" i="2"/>
  <c r="M551" i="2"/>
  <c r="L551" i="2"/>
  <c r="K551" i="2"/>
  <c r="J551" i="2"/>
  <c r="I551" i="2"/>
  <c r="H551" i="2"/>
  <c r="Q550" i="2"/>
  <c r="P550" i="2"/>
  <c r="O550" i="2"/>
  <c r="N550" i="2"/>
  <c r="M550" i="2"/>
  <c r="L550" i="2"/>
  <c r="K550" i="2"/>
  <c r="J550" i="2"/>
  <c r="I550" i="2"/>
  <c r="H550" i="2"/>
  <c r="Q547" i="2"/>
  <c r="P547" i="2"/>
  <c r="O547" i="2"/>
  <c r="N547" i="2"/>
  <c r="M547" i="2"/>
  <c r="L547" i="2"/>
  <c r="K547" i="2"/>
  <c r="J547" i="2"/>
  <c r="I547" i="2"/>
  <c r="H547" i="2"/>
  <c r="Q546" i="2"/>
  <c r="P546" i="2"/>
  <c r="O546" i="2"/>
  <c r="N546" i="2"/>
  <c r="M546" i="2"/>
  <c r="L546" i="2"/>
  <c r="K546" i="2"/>
  <c r="J546" i="2"/>
  <c r="I546" i="2"/>
  <c r="H546" i="2"/>
  <c r="Q545" i="2"/>
  <c r="P545" i="2"/>
  <c r="O545" i="2"/>
  <c r="N545" i="2"/>
  <c r="M545" i="2"/>
  <c r="L545" i="2"/>
  <c r="K545" i="2"/>
  <c r="J545" i="2"/>
  <c r="I545" i="2"/>
  <c r="H545" i="2"/>
  <c r="Q544" i="2"/>
  <c r="P544" i="2"/>
  <c r="O544" i="2"/>
  <c r="N544" i="2"/>
  <c r="M544" i="2"/>
  <c r="L544" i="2"/>
  <c r="K544" i="2"/>
  <c r="J544" i="2"/>
  <c r="I544" i="2"/>
  <c r="H544" i="2"/>
  <c r="Q543" i="2"/>
  <c r="P543" i="2"/>
  <c r="O543" i="2"/>
  <c r="N543" i="2"/>
  <c r="M543" i="2"/>
  <c r="L543" i="2"/>
  <c r="K543" i="2"/>
  <c r="J543" i="2"/>
  <c r="I543" i="2"/>
  <c r="H543" i="2"/>
  <c r="Q542" i="2"/>
  <c r="P542" i="2"/>
  <c r="O542" i="2"/>
  <c r="N542" i="2"/>
  <c r="M542" i="2"/>
  <c r="L542" i="2"/>
  <c r="K542" i="2"/>
  <c r="J542" i="2"/>
  <c r="I542" i="2"/>
  <c r="H542" i="2"/>
  <c r="Q541" i="2"/>
  <c r="P541" i="2"/>
  <c r="O541" i="2"/>
  <c r="N541" i="2"/>
  <c r="M541" i="2"/>
  <c r="L541" i="2"/>
  <c r="K541" i="2"/>
  <c r="J541" i="2"/>
  <c r="I541" i="2"/>
  <c r="H541" i="2"/>
  <c r="Q540" i="2"/>
  <c r="P540" i="2"/>
  <c r="O540" i="2"/>
  <c r="N540" i="2"/>
  <c r="M540" i="2"/>
  <c r="L540" i="2"/>
  <c r="K540" i="2"/>
  <c r="J540" i="2"/>
  <c r="I540" i="2"/>
  <c r="H540" i="2"/>
  <c r="Q539" i="2"/>
  <c r="P539" i="2"/>
  <c r="O539" i="2"/>
  <c r="N539" i="2"/>
  <c r="M539" i="2"/>
  <c r="L539" i="2"/>
  <c r="K539" i="2"/>
  <c r="J539" i="2"/>
  <c r="I539" i="2"/>
  <c r="H539" i="2"/>
  <c r="Q538" i="2"/>
  <c r="P538" i="2"/>
  <c r="O538" i="2"/>
  <c r="N538" i="2"/>
  <c r="M538" i="2"/>
  <c r="L538" i="2"/>
  <c r="K538" i="2"/>
  <c r="J538" i="2"/>
  <c r="I538" i="2"/>
  <c r="H538" i="2"/>
  <c r="Q537" i="2"/>
  <c r="P537" i="2"/>
  <c r="O537" i="2"/>
  <c r="N537" i="2"/>
  <c r="M537" i="2"/>
  <c r="L537" i="2"/>
  <c r="K537" i="2"/>
  <c r="J537" i="2"/>
  <c r="I537" i="2"/>
  <c r="H537" i="2"/>
  <c r="Q536" i="2"/>
  <c r="P536" i="2"/>
  <c r="O536" i="2"/>
  <c r="N536" i="2"/>
  <c r="M536" i="2"/>
  <c r="L536" i="2"/>
  <c r="K536" i="2"/>
  <c r="J536" i="2"/>
  <c r="I536" i="2"/>
  <c r="H536" i="2"/>
  <c r="Q535" i="2"/>
  <c r="P535" i="2"/>
  <c r="O535" i="2"/>
  <c r="N535" i="2"/>
  <c r="M535" i="2"/>
  <c r="L535" i="2"/>
  <c r="K535" i="2"/>
  <c r="J535" i="2"/>
  <c r="I535" i="2"/>
  <c r="H535" i="2"/>
  <c r="Q534" i="2"/>
  <c r="P534" i="2"/>
  <c r="O534" i="2"/>
  <c r="N534" i="2"/>
  <c r="M534" i="2"/>
  <c r="L534" i="2"/>
  <c r="K534" i="2"/>
  <c r="J534" i="2"/>
  <c r="I534" i="2"/>
  <c r="H534" i="2"/>
  <c r="Q533" i="2"/>
  <c r="P533" i="2"/>
  <c r="O533" i="2"/>
  <c r="N533" i="2"/>
  <c r="M533" i="2"/>
  <c r="L533" i="2"/>
  <c r="K533" i="2"/>
  <c r="J533" i="2"/>
  <c r="I533" i="2"/>
  <c r="H533" i="2"/>
  <c r="Q532" i="2"/>
  <c r="P532" i="2"/>
  <c r="O532" i="2"/>
  <c r="N532" i="2"/>
  <c r="M532" i="2"/>
  <c r="L532" i="2"/>
  <c r="K532" i="2"/>
  <c r="J532" i="2"/>
  <c r="I532" i="2"/>
  <c r="H532" i="2"/>
  <c r="Q531" i="2"/>
  <c r="P531" i="2"/>
  <c r="O531" i="2"/>
  <c r="N531" i="2"/>
  <c r="M531" i="2"/>
  <c r="L531" i="2"/>
  <c r="K531" i="2"/>
  <c r="J531" i="2"/>
  <c r="I531" i="2"/>
  <c r="H531" i="2"/>
  <c r="Q530" i="2"/>
  <c r="P530" i="2"/>
  <c r="O530" i="2"/>
  <c r="N530" i="2"/>
  <c r="M530" i="2"/>
  <c r="L530" i="2"/>
  <c r="K530" i="2"/>
  <c r="J530" i="2"/>
  <c r="I530" i="2"/>
  <c r="H530" i="2"/>
  <c r="Q529" i="2"/>
  <c r="P529" i="2"/>
  <c r="O529" i="2"/>
  <c r="N529" i="2"/>
  <c r="M529" i="2"/>
  <c r="L529" i="2"/>
  <c r="K529" i="2"/>
  <c r="J529" i="2"/>
  <c r="I529" i="2"/>
  <c r="H529" i="2"/>
  <c r="Q528" i="2"/>
  <c r="P528" i="2"/>
  <c r="O528" i="2"/>
  <c r="N528" i="2"/>
  <c r="M528" i="2"/>
  <c r="L528" i="2"/>
  <c r="K528" i="2"/>
  <c r="J528" i="2"/>
  <c r="I528" i="2"/>
  <c r="H528" i="2"/>
  <c r="Q527" i="2"/>
  <c r="P527" i="2"/>
  <c r="O527" i="2"/>
  <c r="N527" i="2"/>
  <c r="M527" i="2"/>
  <c r="L527" i="2"/>
  <c r="K527" i="2"/>
  <c r="J527" i="2"/>
  <c r="I527" i="2"/>
  <c r="H527" i="2"/>
  <c r="Q526" i="2"/>
  <c r="P526" i="2"/>
  <c r="O526" i="2"/>
  <c r="N526" i="2"/>
  <c r="M526" i="2"/>
  <c r="L526" i="2"/>
  <c r="K526" i="2"/>
  <c r="J526" i="2"/>
  <c r="I526" i="2"/>
  <c r="H526" i="2"/>
  <c r="Q525" i="2"/>
  <c r="P525" i="2"/>
  <c r="O525" i="2"/>
  <c r="N525" i="2"/>
  <c r="M525" i="2"/>
  <c r="L525" i="2"/>
  <c r="K525" i="2"/>
  <c r="J525" i="2"/>
  <c r="I525" i="2"/>
  <c r="H525" i="2"/>
  <c r="Q524" i="2"/>
  <c r="P524" i="2"/>
  <c r="O524" i="2"/>
  <c r="N524" i="2"/>
  <c r="M524" i="2"/>
  <c r="L524" i="2"/>
  <c r="K524" i="2"/>
  <c r="J524" i="2"/>
  <c r="I524" i="2"/>
  <c r="H524" i="2"/>
  <c r="Q523" i="2"/>
  <c r="P523" i="2"/>
  <c r="O523" i="2"/>
  <c r="N523" i="2"/>
  <c r="M523" i="2"/>
  <c r="L523" i="2"/>
  <c r="K523" i="2"/>
  <c r="J523" i="2"/>
  <c r="I523" i="2"/>
  <c r="H523" i="2"/>
  <c r="Q522" i="2"/>
  <c r="P522" i="2"/>
  <c r="O522" i="2"/>
  <c r="N522" i="2"/>
  <c r="M522" i="2"/>
  <c r="L522" i="2"/>
  <c r="K522" i="2"/>
  <c r="J522" i="2"/>
  <c r="I522" i="2"/>
  <c r="H522" i="2"/>
  <c r="Q519" i="2"/>
  <c r="P519" i="2"/>
  <c r="O519" i="2"/>
  <c r="N519" i="2"/>
  <c r="M519" i="2"/>
  <c r="L519" i="2"/>
  <c r="K519" i="2"/>
  <c r="J519" i="2"/>
  <c r="I519" i="2"/>
  <c r="H519" i="2"/>
  <c r="Q518" i="2"/>
  <c r="P518" i="2"/>
  <c r="O518" i="2"/>
  <c r="N518" i="2"/>
  <c r="M518" i="2"/>
  <c r="L518" i="2"/>
  <c r="K518" i="2"/>
  <c r="J518" i="2"/>
  <c r="I518" i="2"/>
  <c r="H518" i="2"/>
  <c r="Q517" i="2"/>
  <c r="P517" i="2"/>
  <c r="O517" i="2"/>
  <c r="N517" i="2"/>
  <c r="M517" i="2"/>
  <c r="L517" i="2"/>
  <c r="K517" i="2"/>
  <c r="J517" i="2"/>
  <c r="I517" i="2"/>
  <c r="H517" i="2"/>
  <c r="Q516" i="2"/>
  <c r="P516" i="2"/>
  <c r="O516" i="2"/>
  <c r="N516" i="2"/>
  <c r="M516" i="2"/>
  <c r="L516" i="2"/>
  <c r="K516" i="2"/>
  <c r="J516" i="2"/>
  <c r="I516" i="2"/>
  <c r="H516" i="2"/>
  <c r="Q515" i="2"/>
  <c r="P515" i="2"/>
  <c r="O515" i="2"/>
  <c r="N515" i="2"/>
  <c r="M515" i="2"/>
  <c r="L515" i="2"/>
  <c r="K515" i="2"/>
  <c r="J515" i="2"/>
  <c r="I515" i="2"/>
  <c r="H515" i="2"/>
  <c r="Q514" i="2"/>
  <c r="P514" i="2"/>
  <c r="O514" i="2"/>
  <c r="N514" i="2"/>
  <c r="M514" i="2"/>
  <c r="L514" i="2"/>
  <c r="K514" i="2"/>
  <c r="J514" i="2"/>
  <c r="I514" i="2"/>
  <c r="H514" i="2"/>
  <c r="Q513" i="2"/>
  <c r="P513" i="2"/>
  <c r="O513" i="2"/>
  <c r="N513" i="2"/>
  <c r="M513" i="2"/>
  <c r="L513" i="2"/>
  <c r="K513" i="2"/>
  <c r="J513" i="2"/>
  <c r="I513" i="2"/>
  <c r="H513" i="2"/>
  <c r="Q512" i="2"/>
  <c r="P512" i="2"/>
  <c r="O512" i="2"/>
  <c r="N512" i="2"/>
  <c r="M512" i="2"/>
  <c r="L512" i="2"/>
  <c r="K512" i="2"/>
  <c r="J512" i="2"/>
  <c r="I512" i="2"/>
  <c r="H512" i="2"/>
  <c r="Q511" i="2"/>
  <c r="P511" i="2"/>
  <c r="O511" i="2"/>
  <c r="N511" i="2"/>
  <c r="M511" i="2"/>
  <c r="L511" i="2"/>
  <c r="K511" i="2"/>
  <c r="J511" i="2"/>
  <c r="I511" i="2"/>
  <c r="H511" i="2"/>
  <c r="Q510" i="2"/>
  <c r="P510" i="2"/>
  <c r="O510" i="2"/>
  <c r="N510" i="2"/>
  <c r="M510" i="2"/>
  <c r="L510" i="2"/>
  <c r="K510" i="2"/>
  <c r="J510" i="2"/>
  <c r="I510" i="2"/>
  <c r="H510" i="2"/>
  <c r="Q509" i="2"/>
  <c r="P509" i="2"/>
  <c r="O509" i="2"/>
  <c r="N509" i="2"/>
  <c r="M509" i="2"/>
  <c r="L509" i="2"/>
  <c r="K509" i="2"/>
  <c r="J509" i="2"/>
  <c r="I509" i="2"/>
  <c r="H509" i="2"/>
  <c r="Q508" i="2"/>
  <c r="P508" i="2"/>
  <c r="O508" i="2"/>
  <c r="N508" i="2"/>
  <c r="M508" i="2"/>
  <c r="L508" i="2"/>
  <c r="K508" i="2"/>
  <c r="J508" i="2"/>
  <c r="I508" i="2"/>
  <c r="H508" i="2"/>
  <c r="Q507" i="2"/>
  <c r="P507" i="2"/>
  <c r="O507" i="2"/>
  <c r="N507" i="2"/>
  <c r="M507" i="2"/>
  <c r="L507" i="2"/>
  <c r="K507" i="2"/>
  <c r="J507" i="2"/>
  <c r="I507" i="2"/>
  <c r="H507" i="2"/>
  <c r="Q506" i="2"/>
  <c r="P506" i="2"/>
  <c r="O506" i="2"/>
  <c r="N506" i="2"/>
  <c r="M506" i="2"/>
  <c r="L506" i="2"/>
  <c r="K506" i="2"/>
  <c r="J506" i="2"/>
  <c r="I506" i="2"/>
  <c r="H506" i="2"/>
  <c r="Q505" i="2"/>
  <c r="P505" i="2"/>
  <c r="O505" i="2"/>
  <c r="N505" i="2"/>
  <c r="M505" i="2"/>
  <c r="L505" i="2"/>
  <c r="K505" i="2"/>
  <c r="J505" i="2"/>
  <c r="I505" i="2"/>
  <c r="H505" i="2"/>
  <c r="Q504" i="2"/>
  <c r="P504" i="2"/>
  <c r="O504" i="2"/>
  <c r="N504" i="2"/>
  <c r="M504" i="2"/>
  <c r="L504" i="2"/>
  <c r="K504" i="2"/>
  <c r="J504" i="2"/>
  <c r="I504" i="2"/>
  <c r="H504" i="2"/>
  <c r="Q501" i="2"/>
  <c r="P501" i="2"/>
  <c r="O501" i="2"/>
  <c r="N501" i="2"/>
  <c r="M501" i="2"/>
  <c r="L501" i="2"/>
  <c r="K501" i="2"/>
  <c r="J501" i="2"/>
  <c r="I501" i="2"/>
  <c r="H501" i="2"/>
  <c r="Q500" i="2"/>
  <c r="P500" i="2"/>
  <c r="O500" i="2"/>
  <c r="N500" i="2"/>
  <c r="M500" i="2"/>
  <c r="L500" i="2"/>
  <c r="K500" i="2"/>
  <c r="J500" i="2"/>
  <c r="I500" i="2"/>
  <c r="H500" i="2"/>
  <c r="Q499" i="2"/>
  <c r="P499" i="2"/>
  <c r="O499" i="2"/>
  <c r="N499" i="2"/>
  <c r="M499" i="2"/>
  <c r="L499" i="2"/>
  <c r="K499" i="2"/>
  <c r="J499" i="2"/>
  <c r="I499" i="2"/>
  <c r="H499" i="2"/>
  <c r="Q498" i="2"/>
  <c r="P498" i="2"/>
  <c r="O498" i="2"/>
  <c r="N498" i="2"/>
  <c r="M498" i="2"/>
  <c r="L498" i="2"/>
  <c r="K498" i="2"/>
  <c r="J498" i="2"/>
  <c r="I498" i="2"/>
  <c r="H498" i="2"/>
  <c r="Q497" i="2"/>
  <c r="P497" i="2"/>
  <c r="O497" i="2"/>
  <c r="N497" i="2"/>
  <c r="M497" i="2"/>
  <c r="L497" i="2"/>
  <c r="K497" i="2"/>
  <c r="J497" i="2"/>
  <c r="I497" i="2"/>
  <c r="H497" i="2"/>
  <c r="Q496" i="2"/>
  <c r="P496" i="2"/>
  <c r="O496" i="2"/>
  <c r="N496" i="2"/>
  <c r="M496" i="2"/>
  <c r="L496" i="2"/>
  <c r="K496" i="2"/>
  <c r="J496" i="2"/>
  <c r="I496" i="2"/>
  <c r="H496" i="2"/>
  <c r="Q495" i="2"/>
  <c r="P495" i="2"/>
  <c r="O495" i="2"/>
  <c r="N495" i="2"/>
  <c r="M495" i="2"/>
  <c r="L495" i="2"/>
  <c r="K495" i="2"/>
  <c r="J495" i="2"/>
  <c r="I495" i="2"/>
  <c r="H495" i="2"/>
  <c r="Q494" i="2"/>
  <c r="P494" i="2"/>
  <c r="O494" i="2"/>
  <c r="N494" i="2"/>
  <c r="M494" i="2"/>
  <c r="L494" i="2"/>
  <c r="K494" i="2"/>
  <c r="J494" i="2"/>
  <c r="I494" i="2"/>
  <c r="H494" i="2"/>
  <c r="Q493" i="2"/>
  <c r="P493" i="2"/>
  <c r="O493" i="2"/>
  <c r="N493" i="2"/>
  <c r="M493" i="2"/>
  <c r="L493" i="2"/>
  <c r="K493" i="2"/>
  <c r="J493" i="2"/>
  <c r="I493" i="2"/>
  <c r="H493" i="2"/>
  <c r="Q492" i="2"/>
  <c r="P492" i="2"/>
  <c r="O492" i="2"/>
  <c r="N492" i="2"/>
  <c r="M492" i="2"/>
  <c r="L492" i="2"/>
  <c r="K492" i="2"/>
  <c r="J492" i="2"/>
  <c r="I492" i="2"/>
  <c r="H492" i="2"/>
  <c r="Q489" i="2"/>
  <c r="P489" i="2"/>
  <c r="O489" i="2"/>
  <c r="N489" i="2"/>
  <c r="M489" i="2"/>
  <c r="L489" i="2"/>
  <c r="K489" i="2"/>
  <c r="J489" i="2"/>
  <c r="I489" i="2"/>
  <c r="H489" i="2"/>
  <c r="Q488" i="2"/>
  <c r="P488" i="2"/>
  <c r="O488" i="2"/>
  <c r="N488" i="2"/>
  <c r="M488" i="2"/>
  <c r="L488" i="2"/>
  <c r="K488" i="2"/>
  <c r="J488" i="2"/>
  <c r="I488" i="2"/>
  <c r="H488" i="2"/>
  <c r="Q487" i="2"/>
  <c r="P487" i="2"/>
  <c r="O487" i="2"/>
  <c r="N487" i="2"/>
  <c r="M487" i="2"/>
  <c r="L487" i="2"/>
  <c r="K487" i="2"/>
  <c r="J487" i="2"/>
  <c r="I487" i="2"/>
  <c r="H487" i="2"/>
  <c r="Q486" i="2"/>
  <c r="P486" i="2"/>
  <c r="O486" i="2"/>
  <c r="N486" i="2"/>
  <c r="M486" i="2"/>
  <c r="L486" i="2"/>
  <c r="K486" i="2"/>
  <c r="J486" i="2"/>
  <c r="I486" i="2"/>
  <c r="H486" i="2"/>
  <c r="Q485" i="2"/>
  <c r="P485" i="2"/>
  <c r="O485" i="2"/>
  <c r="N485" i="2"/>
  <c r="M485" i="2"/>
  <c r="L485" i="2"/>
  <c r="K485" i="2"/>
  <c r="J485" i="2"/>
  <c r="I485" i="2"/>
  <c r="H485" i="2"/>
  <c r="Q484" i="2"/>
  <c r="P484" i="2"/>
  <c r="O484" i="2"/>
  <c r="N484" i="2"/>
  <c r="M484" i="2"/>
  <c r="L484" i="2"/>
  <c r="K484" i="2"/>
  <c r="J484" i="2"/>
  <c r="I484" i="2"/>
  <c r="H484" i="2"/>
  <c r="Q483" i="2"/>
  <c r="P483" i="2"/>
  <c r="O483" i="2"/>
  <c r="N483" i="2"/>
  <c r="M483" i="2"/>
  <c r="L483" i="2"/>
  <c r="K483" i="2"/>
  <c r="J483" i="2"/>
  <c r="I483" i="2"/>
  <c r="H483" i="2"/>
  <c r="Q482" i="2"/>
  <c r="P482" i="2"/>
  <c r="O482" i="2"/>
  <c r="N482" i="2"/>
  <c r="M482" i="2"/>
  <c r="L482" i="2"/>
  <c r="K482" i="2"/>
  <c r="J482" i="2"/>
  <c r="I482" i="2"/>
  <c r="H482" i="2"/>
  <c r="Q479" i="2"/>
  <c r="P479" i="2"/>
  <c r="O479" i="2"/>
  <c r="N479" i="2"/>
  <c r="M479" i="2"/>
  <c r="L479" i="2"/>
  <c r="K479" i="2"/>
  <c r="J479" i="2"/>
  <c r="I479" i="2"/>
  <c r="H479" i="2"/>
  <c r="Q478" i="2"/>
  <c r="P478" i="2"/>
  <c r="O478" i="2"/>
  <c r="N478" i="2"/>
  <c r="M478" i="2"/>
  <c r="L478" i="2"/>
  <c r="K478" i="2"/>
  <c r="J478" i="2"/>
  <c r="I478" i="2"/>
  <c r="H478" i="2"/>
  <c r="Q477" i="2"/>
  <c r="P477" i="2"/>
  <c r="O477" i="2"/>
  <c r="N477" i="2"/>
  <c r="M477" i="2"/>
  <c r="L477" i="2"/>
  <c r="K477" i="2"/>
  <c r="J477" i="2"/>
  <c r="I477" i="2"/>
  <c r="H477" i="2"/>
  <c r="Q476" i="2"/>
  <c r="P476" i="2"/>
  <c r="O476" i="2"/>
  <c r="N476" i="2"/>
  <c r="M476" i="2"/>
  <c r="L476" i="2"/>
  <c r="K476" i="2"/>
  <c r="J476" i="2"/>
  <c r="I476" i="2"/>
  <c r="H476" i="2"/>
  <c r="Q475" i="2"/>
  <c r="P475" i="2"/>
  <c r="O475" i="2"/>
  <c r="N475" i="2"/>
  <c r="M475" i="2"/>
  <c r="L475" i="2"/>
  <c r="K475" i="2"/>
  <c r="J475" i="2"/>
  <c r="I475" i="2"/>
  <c r="H475" i="2"/>
  <c r="Q474" i="2"/>
  <c r="P474" i="2"/>
  <c r="O474" i="2"/>
  <c r="N474" i="2"/>
  <c r="M474" i="2"/>
  <c r="L474" i="2"/>
  <c r="K474" i="2"/>
  <c r="J474" i="2"/>
  <c r="I474" i="2"/>
  <c r="H474" i="2"/>
  <c r="Q473" i="2"/>
  <c r="P473" i="2"/>
  <c r="O473" i="2"/>
  <c r="N473" i="2"/>
  <c r="M473" i="2"/>
  <c r="L473" i="2"/>
  <c r="K473" i="2"/>
  <c r="J473" i="2"/>
  <c r="I473" i="2"/>
  <c r="H473" i="2"/>
  <c r="Q472" i="2"/>
  <c r="P472" i="2"/>
  <c r="O472" i="2"/>
  <c r="N472" i="2"/>
  <c r="M472" i="2"/>
  <c r="L472" i="2"/>
  <c r="K472" i="2"/>
  <c r="J472" i="2"/>
  <c r="I472" i="2"/>
  <c r="H472" i="2"/>
  <c r="Q471" i="2"/>
  <c r="P471" i="2"/>
  <c r="O471" i="2"/>
  <c r="N471" i="2"/>
  <c r="M471" i="2"/>
  <c r="L471" i="2"/>
  <c r="K471" i="2"/>
  <c r="J471" i="2"/>
  <c r="I471" i="2"/>
  <c r="H471" i="2"/>
  <c r="Q470" i="2"/>
  <c r="P470" i="2"/>
  <c r="O470" i="2"/>
  <c r="N470" i="2"/>
  <c r="M470" i="2"/>
  <c r="L470" i="2"/>
  <c r="K470" i="2"/>
  <c r="J470" i="2"/>
  <c r="I470" i="2"/>
  <c r="H470" i="2"/>
  <c r="Q469" i="2"/>
  <c r="P469" i="2"/>
  <c r="O469" i="2"/>
  <c r="N469" i="2"/>
  <c r="M469" i="2"/>
  <c r="L469" i="2"/>
  <c r="K469" i="2"/>
  <c r="J469" i="2"/>
  <c r="I469" i="2"/>
  <c r="H469" i="2"/>
  <c r="Q468" i="2"/>
  <c r="P468" i="2"/>
  <c r="O468" i="2"/>
  <c r="N468" i="2"/>
  <c r="M468" i="2"/>
  <c r="L468" i="2"/>
  <c r="K468" i="2"/>
  <c r="J468" i="2"/>
  <c r="I468" i="2"/>
  <c r="H468" i="2"/>
  <c r="Q467" i="2"/>
  <c r="P467" i="2"/>
  <c r="O467" i="2"/>
  <c r="N467" i="2"/>
  <c r="M467" i="2"/>
  <c r="L467" i="2"/>
  <c r="K467" i="2"/>
  <c r="J467" i="2"/>
  <c r="I467" i="2"/>
  <c r="H467" i="2"/>
  <c r="Q466" i="2"/>
  <c r="P466" i="2"/>
  <c r="O466" i="2"/>
  <c r="N466" i="2"/>
  <c r="M466" i="2"/>
  <c r="L466" i="2"/>
  <c r="K466" i="2"/>
  <c r="J466" i="2"/>
  <c r="I466" i="2"/>
  <c r="H466" i="2"/>
  <c r="Q463" i="2"/>
  <c r="P463" i="2"/>
  <c r="O463" i="2"/>
  <c r="N463" i="2"/>
  <c r="M463" i="2"/>
  <c r="L463" i="2"/>
  <c r="K463" i="2"/>
  <c r="J463" i="2"/>
  <c r="I463" i="2"/>
  <c r="H463" i="2"/>
  <c r="Q462" i="2"/>
  <c r="P462" i="2"/>
  <c r="O462" i="2"/>
  <c r="N462" i="2"/>
  <c r="M462" i="2"/>
  <c r="L462" i="2"/>
  <c r="K462" i="2"/>
  <c r="J462" i="2"/>
  <c r="I462" i="2"/>
  <c r="H462" i="2"/>
  <c r="Q461" i="2"/>
  <c r="P461" i="2"/>
  <c r="O461" i="2"/>
  <c r="N461" i="2"/>
  <c r="M461" i="2"/>
  <c r="L461" i="2"/>
  <c r="K461" i="2"/>
  <c r="J461" i="2"/>
  <c r="I461" i="2"/>
  <c r="H461" i="2"/>
  <c r="Q460" i="2"/>
  <c r="P460" i="2"/>
  <c r="O460" i="2"/>
  <c r="N460" i="2"/>
  <c r="M460" i="2"/>
  <c r="L460" i="2"/>
  <c r="K460" i="2"/>
  <c r="J460" i="2"/>
  <c r="I460" i="2"/>
  <c r="H460" i="2"/>
  <c r="Q459" i="2"/>
  <c r="P459" i="2"/>
  <c r="O459" i="2"/>
  <c r="N459" i="2"/>
  <c r="M459" i="2"/>
  <c r="L459" i="2"/>
  <c r="K459" i="2"/>
  <c r="J459" i="2"/>
  <c r="I459" i="2"/>
  <c r="H459" i="2"/>
  <c r="Q458" i="2"/>
  <c r="P458" i="2"/>
  <c r="O458" i="2"/>
  <c r="N458" i="2"/>
  <c r="M458" i="2"/>
  <c r="L458" i="2"/>
  <c r="K458" i="2"/>
  <c r="J458" i="2"/>
  <c r="I458" i="2"/>
  <c r="H458" i="2"/>
  <c r="Q457" i="2"/>
  <c r="P457" i="2"/>
  <c r="O457" i="2"/>
  <c r="N457" i="2"/>
  <c r="M457" i="2"/>
  <c r="L457" i="2"/>
  <c r="K457" i="2"/>
  <c r="J457" i="2"/>
  <c r="I457" i="2"/>
  <c r="H457" i="2"/>
  <c r="Q451" i="2"/>
  <c r="P451" i="2"/>
  <c r="O451" i="2"/>
  <c r="N451" i="2"/>
  <c r="M451" i="2"/>
  <c r="L451" i="2"/>
  <c r="K451" i="2"/>
  <c r="J451" i="2"/>
  <c r="I451" i="2"/>
  <c r="H451" i="2"/>
  <c r="Q450" i="2"/>
  <c r="P450" i="2"/>
  <c r="O450" i="2"/>
  <c r="N450" i="2"/>
  <c r="M450" i="2"/>
  <c r="L450" i="2"/>
  <c r="K450" i="2"/>
  <c r="J450" i="2"/>
  <c r="I450" i="2"/>
  <c r="H450" i="2"/>
  <c r="Q449" i="2"/>
  <c r="P449" i="2"/>
  <c r="O449" i="2"/>
  <c r="N449" i="2"/>
  <c r="M449" i="2"/>
  <c r="L449" i="2"/>
  <c r="K449" i="2"/>
  <c r="J449" i="2"/>
  <c r="I449" i="2"/>
  <c r="H449" i="2"/>
  <c r="Q448" i="2"/>
  <c r="P448" i="2"/>
  <c r="O448" i="2"/>
  <c r="N448" i="2"/>
  <c r="M448" i="2"/>
  <c r="L448" i="2"/>
  <c r="K448" i="2"/>
  <c r="J448" i="2"/>
  <c r="I448" i="2"/>
  <c r="H448" i="2"/>
  <c r="Q447" i="2"/>
  <c r="P447" i="2"/>
  <c r="O447" i="2"/>
  <c r="N447" i="2"/>
  <c r="M447" i="2"/>
  <c r="L447" i="2"/>
  <c r="K447" i="2"/>
  <c r="J447" i="2"/>
  <c r="I447" i="2"/>
  <c r="H447" i="2"/>
  <c r="Q446" i="2"/>
  <c r="P446" i="2"/>
  <c r="O446" i="2"/>
  <c r="N446" i="2"/>
  <c r="M446" i="2"/>
  <c r="L446" i="2"/>
  <c r="K446" i="2"/>
  <c r="J446" i="2"/>
  <c r="I446" i="2"/>
  <c r="H446" i="2"/>
  <c r="Q445" i="2"/>
  <c r="P445" i="2"/>
  <c r="O445" i="2"/>
  <c r="N445" i="2"/>
  <c r="M445" i="2"/>
  <c r="L445" i="2"/>
  <c r="K445" i="2"/>
  <c r="J445" i="2"/>
  <c r="I445" i="2"/>
  <c r="H445" i="2"/>
  <c r="Q444" i="2"/>
  <c r="P444" i="2"/>
  <c r="O444" i="2"/>
  <c r="N444" i="2"/>
  <c r="M444" i="2"/>
  <c r="L444" i="2"/>
  <c r="K444" i="2"/>
  <c r="J444" i="2"/>
  <c r="I444" i="2"/>
  <c r="H444" i="2"/>
  <c r="Q443" i="2"/>
  <c r="P443" i="2"/>
  <c r="O443" i="2"/>
  <c r="N443" i="2"/>
  <c r="M443" i="2"/>
  <c r="L443" i="2"/>
  <c r="K443" i="2"/>
  <c r="J443" i="2"/>
  <c r="I443" i="2"/>
  <c r="H443" i="2"/>
  <c r="Q442" i="2"/>
  <c r="P442" i="2"/>
  <c r="O442" i="2"/>
  <c r="N442" i="2"/>
  <c r="M442" i="2"/>
  <c r="L442" i="2"/>
  <c r="K442" i="2"/>
  <c r="J442" i="2"/>
  <c r="I442" i="2"/>
  <c r="H442" i="2"/>
  <c r="Q441" i="2"/>
  <c r="P441" i="2"/>
  <c r="O441" i="2"/>
  <c r="N441" i="2"/>
  <c r="M441" i="2"/>
  <c r="L441" i="2"/>
  <c r="K441" i="2"/>
  <c r="J441" i="2"/>
  <c r="I441" i="2"/>
  <c r="H441" i="2"/>
  <c r="Q440" i="2"/>
  <c r="P440" i="2"/>
  <c r="O440" i="2"/>
  <c r="N440" i="2"/>
  <c r="M440" i="2"/>
  <c r="L440" i="2"/>
  <c r="K440" i="2"/>
  <c r="J440" i="2"/>
  <c r="I440" i="2"/>
  <c r="H440" i="2"/>
  <c r="Q439" i="2"/>
  <c r="P439" i="2"/>
  <c r="O439" i="2"/>
  <c r="N439" i="2"/>
  <c r="M439" i="2"/>
  <c r="L439" i="2"/>
  <c r="K439" i="2"/>
  <c r="J439" i="2"/>
  <c r="I439" i="2"/>
  <c r="H439" i="2"/>
  <c r="Q438" i="2"/>
  <c r="P438" i="2"/>
  <c r="O438" i="2"/>
  <c r="N438" i="2"/>
  <c r="M438" i="2"/>
  <c r="L438" i="2"/>
  <c r="K438" i="2"/>
  <c r="J438" i="2"/>
  <c r="I438" i="2"/>
  <c r="H438" i="2"/>
  <c r="Q437" i="2"/>
  <c r="P437" i="2"/>
  <c r="O437" i="2"/>
  <c r="N437" i="2"/>
  <c r="M437" i="2"/>
  <c r="L437" i="2"/>
  <c r="K437" i="2"/>
  <c r="J437" i="2"/>
  <c r="I437" i="2"/>
  <c r="H437" i="2"/>
  <c r="Q436" i="2"/>
  <c r="P436" i="2"/>
  <c r="O436" i="2"/>
  <c r="N436" i="2"/>
  <c r="M436" i="2"/>
  <c r="L436" i="2"/>
  <c r="K436" i="2"/>
  <c r="J436" i="2"/>
  <c r="I436" i="2"/>
  <c r="H436" i="2"/>
  <c r="Q435" i="2"/>
  <c r="P435" i="2"/>
  <c r="O435" i="2"/>
  <c r="N435" i="2"/>
  <c r="M435" i="2"/>
  <c r="L435" i="2"/>
  <c r="K435" i="2"/>
  <c r="J435" i="2"/>
  <c r="H435" i="2"/>
  <c r="Q432" i="2"/>
  <c r="P432" i="2"/>
  <c r="O432" i="2"/>
  <c r="N432" i="2"/>
  <c r="M432" i="2"/>
  <c r="L432" i="2"/>
  <c r="K432" i="2"/>
  <c r="J432" i="2"/>
  <c r="I432" i="2"/>
  <c r="H432" i="2"/>
  <c r="Q431" i="2"/>
  <c r="P431" i="2"/>
  <c r="O431" i="2"/>
  <c r="N431" i="2"/>
  <c r="M431" i="2"/>
  <c r="L431" i="2"/>
  <c r="K431" i="2"/>
  <c r="J431" i="2"/>
  <c r="I431" i="2"/>
  <c r="H431" i="2"/>
  <c r="Q430" i="2"/>
  <c r="P430" i="2"/>
  <c r="O430" i="2"/>
  <c r="N430" i="2"/>
  <c r="M430" i="2"/>
  <c r="L430" i="2"/>
  <c r="K430" i="2"/>
  <c r="J430" i="2"/>
  <c r="I430" i="2"/>
  <c r="H430" i="2"/>
  <c r="Q429" i="2"/>
  <c r="P429" i="2"/>
  <c r="O429" i="2"/>
  <c r="N429" i="2"/>
  <c r="M429" i="2"/>
  <c r="L429" i="2"/>
  <c r="K429" i="2"/>
  <c r="J429" i="2"/>
  <c r="I429" i="2"/>
  <c r="H429" i="2"/>
  <c r="Q428" i="2"/>
  <c r="P428" i="2"/>
  <c r="O428" i="2"/>
  <c r="N428" i="2"/>
  <c r="M428" i="2"/>
  <c r="L428" i="2"/>
  <c r="K428" i="2"/>
  <c r="J428" i="2"/>
  <c r="I428" i="2"/>
  <c r="H428" i="2"/>
  <c r="Q427" i="2"/>
  <c r="P427" i="2"/>
  <c r="O427" i="2"/>
  <c r="N427" i="2"/>
  <c r="M427" i="2"/>
  <c r="L427" i="2"/>
  <c r="K427" i="2"/>
  <c r="J427" i="2"/>
  <c r="I427" i="2"/>
  <c r="H427" i="2"/>
  <c r="Q426" i="2"/>
  <c r="P426" i="2"/>
  <c r="O426" i="2"/>
  <c r="N426" i="2"/>
  <c r="M426" i="2"/>
  <c r="L426" i="2"/>
  <c r="K426" i="2"/>
  <c r="J426" i="2"/>
  <c r="I426" i="2"/>
  <c r="H426" i="2"/>
  <c r="Q425" i="2"/>
  <c r="P425" i="2"/>
  <c r="O425" i="2"/>
  <c r="N425" i="2"/>
  <c r="M425" i="2"/>
  <c r="L425" i="2"/>
  <c r="K425" i="2"/>
  <c r="J425" i="2"/>
  <c r="I425" i="2"/>
  <c r="H425" i="2"/>
  <c r="Q424" i="2"/>
  <c r="P424" i="2"/>
  <c r="O424" i="2"/>
  <c r="N424" i="2"/>
  <c r="M424" i="2"/>
  <c r="L424" i="2"/>
  <c r="K424" i="2"/>
  <c r="J424" i="2"/>
  <c r="I424" i="2"/>
  <c r="H424" i="2"/>
  <c r="Q423" i="2"/>
  <c r="P423" i="2"/>
  <c r="O423" i="2"/>
  <c r="N423" i="2"/>
  <c r="M423" i="2"/>
  <c r="L423" i="2"/>
  <c r="K423" i="2"/>
  <c r="J423" i="2"/>
  <c r="I423" i="2"/>
  <c r="H423" i="2"/>
  <c r="Q422" i="2"/>
  <c r="P422" i="2"/>
  <c r="O422" i="2"/>
  <c r="N422" i="2"/>
  <c r="M422" i="2"/>
  <c r="L422" i="2"/>
  <c r="K422" i="2"/>
  <c r="J422" i="2"/>
  <c r="I422" i="2"/>
  <c r="H422" i="2"/>
  <c r="Q421" i="2"/>
  <c r="P421" i="2"/>
  <c r="O421" i="2"/>
  <c r="N421" i="2"/>
  <c r="M421" i="2"/>
  <c r="L421" i="2"/>
  <c r="K421" i="2"/>
  <c r="J421" i="2"/>
  <c r="I421" i="2"/>
  <c r="H421" i="2"/>
  <c r="Q420" i="2"/>
  <c r="P420" i="2"/>
  <c r="O420" i="2"/>
  <c r="N420" i="2"/>
  <c r="M420" i="2"/>
  <c r="L420" i="2"/>
  <c r="K420" i="2"/>
  <c r="J420" i="2"/>
  <c r="I420" i="2"/>
  <c r="H420" i="2"/>
  <c r="Q419" i="2"/>
  <c r="P419" i="2"/>
  <c r="O419" i="2"/>
  <c r="N419" i="2"/>
  <c r="M419" i="2"/>
  <c r="L419" i="2"/>
  <c r="K419" i="2"/>
  <c r="J419" i="2"/>
  <c r="I419" i="2"/>
  <c r="H419" i="2"/>
  <c r="Q418" i="2"/>
  <c r="P418" i="2"/>
  <c r="O418" i="2"/>
  <c r="N418" i="2"/>
  <c r="M418" i="2"/>
  <c r="L418" i="2"/>
  <c r="K418" i="2"/>
  <c r="J418" i="2"/>
  <c r="I418" i="2"/>
  <c r="H418" i="2"/>
  <c r="Q417" i="2"/>
  <c r="P417" i="2"/>
  <c r="O417" i="2"/>
  <c r="N417" i="2"/>
  <c r="M417" i="2"/>
  <c r="L417" i="2"/>
  <c r="K417" i="2"/>
  <c r="J417" i="2"/>
  <c r="I417" i="2"/>
  <c r="H417" i="2"/>
  <c r="Q413" i="2"/>
  <c r="P413" i="2"/>
  <c r="O413" i="2"/>
  <c r="N413" i="2"/>
  <c r="M413" i="2"/>
  <c r="L413" i="2"/>
  <c r="K413" i="2"/>
  <c r="J413" i="2"/>
  <c r="I413" i="2"/>
  <c r="H413" i="2"/>
  <c r="Q412" i="2"/>
  <c r="P412" i="2"/>
  <c r="O412" i="2"/>
  <c r="N412" i="2"/>
  <c r="M412" i="2"/>
  <c r="L412" i="2"/>
  <c r="K412" i="2"/>
  <c r="J412" i="2"/>
  <c r="I412" i="2"/>
  <c r="H412" i="2"/>
  <c r="Q411" i="2"/>
  <c r="P411" i="2"/>
  <c r="O411" i="2"/>
  <c r="N411" i="2"/>
  <c r="M411" i="2"/>
  <c r="L411" i="2"/>
  <c r="K411" i="2"/>
  <c r="J411" i="2"/>
  <c r="I411" i="2"/>
  <c r="H411" i="2"/>
  <c r="Q410" i="2"/>
  <c r="P410" i="2"/>
  <c r="O410" i="2"/>
  <c r="N410" i="2"/>
  <c r="M410" i="2"/>
  <c r="L410" i="2"/>
  <c r="K410" i="2"/>
  <c r="J410" i="2"/>
  <c r="I410" i="2"/>
  <c r="H410" i="2"/>
  <c r="Q409" i="2"/>
  <c r="P409" i="2"/>
  <c r="O409" i="2"/>
  <c r="N409" i="2"/>
  <c r="M409" i="2"/>
  <c r="L409" i="2"/>
  <c r="K409" i="2"/>
  <c r="J409" i="2"/>
  <c r="I409" i="2"/>
  <c r="H409" i="2"/>
  <c r="Q408" i="2"/>
  <c r="P408" i="2"/>
  <c r="O408" i="2"/>
  <c r="N408" i="2"/>
  <c r="M408" i="2"/>
  <c r="L408" i="2"/>
  <c r="K408" i="2"/>
  <c r="J408" i="2"/>
  <c r="I408" i="2"/>
  <c r="H408" i="2"/>
  <c r="Q407" i="2"/>
  <c r="P407" i="2"/>
  <c r="O407" i="2"/>
  <c r="N407" i="2"/>
  <c r="M407" i="2"/>
  <c r="L407" i="2"/>
  <c r="K407" i="2"/>
  <c r="J407" i="2"/>
  <c r="I407" i="2"/>
  <c r="H407" i="2"/>
  <c r="Q406" i="2"/>
  <c r="P406" i="2"/>
  <c r="O406" i="2"/>
  <c r="N406" i="2"/>
  <c r="M406" i="2"/>
  <c r="L406" i="2"/>
  <c r="K406" i="2"/>
  <c r="J406" i="2"/>
  <c r="I406" i="2"/>
  <c r="H406" i="2"/>
  <c r="Q405" i="2"/>
  <c r="P405" i="2"/>
  <c r="O405" i="2"/>
  <c r="N405" i="2"/>
  <c r="M405" i="2"/>
  <c r="L405" i="2"/>
  <c r="K405" i="2"/>
  <c r="J405" i="2"/>
  <c r="I405" i="2"/>
  <c r="H405" i="2"/>
  <c r="Q404" i="2"/>
  <c r="P404" i="2"/>
  <c r="O404" i="2"/>
  <c r="N404" i="2"/>
  <c r="M404" i="2"/>
  <c r="L404" i="2"/>
  <c r="K404" i="2"/>
  <c r="J404" i="2"/>
  <c r="I404" i="2"/>
  <c r="H404" i="2"/>
  <c r="Q403" i="2"/>
  <c r="P403" i="2"/>
  <c r="O403" i="2"/>
  <c r="N403" i="2"/>
  <c r="M403" i="2"/>
  <c r="L403" i="2"/>
  <c r="K403" i="2"/>
  <c r="J403" i="2"/>
  <c r="I403" i="2"/>
  <c r="H403" i="2"/>
  <c r="Q402" i="2"/>
  <c r="P402" i="2"/>
  <c r="O402" i="2"/>
  <c r="N402" i="2"/>
  <c r="M402" i="2"/>
  <c r="L402" i="2"/>
  <c r="K402" i="2"/>
  <c r="J402" i="2"/>
  <c r="I402" i="2"/>
  <c r="H402" i="2"/>
  <c r="Q401" i="2"/>
  <c r="P401" i="2"/>
  <c r="O401" i="2"/>
  <c r="N401" i="2"/>
  <c r="M401" i="2"/>
  <c r="L401" i="2"/>
  <c r="K401" i="2"/>
  <c r="J401" i="2"/>
  <c r="I401" i="2"/>
  <c r="H401" i="2"/>
  <c r="Q400" i="2"/>
  <c r="P400" i="2"/>
  <c r="O400" i="2"/>
  <c r="N400" i="2"/>
  <c r="M400" i="2"/>
  <c r="L400" i="2"/>
  <c r="K400" i="2"/>
  <c r="J400" i="2"/>
  <c r="I400" i="2"/>
  <c r="H400" i="2"/>
  <c r="Q399" i="2"/>
  <c r="P399" i="2"/>
  <c r="O399" i="2"/>
  <c r="N399" i="2"/>
  <c r="M399" i="2"/>
  <c r="L399" i="2"/>
  <c r="K399" i="2"/>
  <c r="J399" i="2"/>
  <c r="I399" i="2"/>
  <c r="H399" i="2"/>
  <c r="Q398" i="2"/>
  <c r="P398" i="2"/>
  <c r="O398" i="2"/>
  <c r="N398" i="2"/>
  <c r="M398" i="2"/>
  <c r="L398" i="2"/>
  <c r="K398" i="2"/>
  <c r="J398" i="2"/>
  <c r="I398" i="2"/>
  <c r="H398" i="2"/>
  <c r="Q397" i="2"/>
  <c r="P397" i="2"/>
  <c r="O397" i="2"/>
  <c r="N397" i="2"/>
  <c r="M397" i="2"/>
  <c r="L397" i="2"/>
  <c r="K397" i="2"/>
  <c r="J397" i="2"/>
  <c r="I397" i="2"/>
  <c r="H397" i="2"/>
  <c r="Q396" i="2"/>
  <c r="P396" i="2"/>
  <c r="O396" i="2"/>
  <c r="N396" i="2"/>
  <c r="M396" i="2"/>
  <c r="L396" i="2"/>
  <c r="K396" i="2"/>
  <c r="J396" i="2"/>
  <c r="I396" i="2"/>
  <c r="H396" i="2"/>
  <c r="Q393" i="2"/>
  <c r="P393" i="2"/>
  <c r="O393" i="2"/>
  <c r="N393" i="2"/>
  <c r="M393" i="2"/>
  <c r="L393" i="2"/>
  <c r="K393" i="2"/>
  <c r="J393" i="2"/>
  <c r="I393" i="2"/>
  <c r="H393" i="2"/>
  <c r="Q392" i="2"/>
  <c r="P392" i="2"/>
  <c r="O392" i="2"/>
  <c r="N392" i="2"/>
  <c r="M392" i="2"/>
  <c r="L392" i="2"/>
  <c r="K392" i="2"/>
  <c r="J392" i="2"/>
  <c r="I392" i="2"/>
  <c r="H392" i="2"/>
  <c r="Q391" i="2"/>
  <c r="P391" i="2"/>
  <c r="O391" i="2"/>
  <c r="N391" i="2"/>
  <c r="M391" i="2"/>
  <c r="L391" i="2"/>
  <c r="K391" i="2"/>
  <c r="J391" i="2"/>
  <c r="I391" i="2"/>
  <c r="H391" i="2"/>
  <c r="Q390" i="2"/>
  <c r="P390" i="2"/>
  <c r="O390" i="2"/>
  <c r="N390" i="2"/>
  <c r="M390" i="2"/>
  <c r="L390" i="2"/>
  <c r="K390" i="2"/>
  <c r="J390" i="2"/>
  <c r="I390" i="2"/>
  <c r="H390" i="2"/>
  <c r="Q388" i="2"/>
  <c r="P388" i="2"/>
  <c r="O388" i="2"/>
  <c r="N388" i="2"/>
  <c r="M388" i="2"/>
  <c r="L388" i="2"/>
  <c r="K388" i="2"/>
  <c r="J388" i="2"/>
  <c r="I388" i="2"/>
  <c r="H388" i="2"/>
  <c r="Q385" i="2"/>
  <c r="P385" i="2"/>
  <c r="O385" i="2"/>
  <c r="N385" i="2"/>
  <c r="M385" i="2"/>
  <c r="L385" i="2"/>
  <c r="K385" i="2"/>
  <c r="J385" i="2"/>
  <c r="I385" i="2"/>
  <c r="H385" i="2"/>
  <c r="Q384" i="2"/>
  <c r="P384" i="2"/>
  <c r="O384" i="2"/>
  <c r="N384" i="2"/>
  <c r="M384" i="2"/>
  <c r="L384" i="2"/>
  <c r="K384" i="2"/>
  <c r="J384" i="2"/>
  <c r="I384" i="2"/>
  <c r="H384" i="2"/>
  <c r="Q383" i="2"/>
  <c r="P383" i="2"/>
  <c r="O383" i="2"/>
  <c r="N383" i="2"/>
  <c r="M383" i="2"/>
  <c r="L383" i="2"/>
  <c r="K383" i="2"/>
  <c r="J383" i="2"/>
  <c r="I383" i="2"/>
  <c r="H383" i="2"/>
  <c r="Q382" i="2"/>
  <c r="P382" i="2"/>
  <c r="O382" i="2"/>
  <c r="N382" i="2"/>
  <c r="M382" i="2"/>
  <c r="L382" i="2"/>
  <c r="K382" i="2"/>
  <c r="J382" i="2"/>
  <c r="I382" i="2"/>
  <c r="H382" i="2"/>
  <c r="Q379" i="2"/>
  <c r="P379" i="2"/>
  <c r="O379" i="2"/>
  <c r="N379" i="2"/>
  <c r="M379" i="2"/>
  <c r="L379" i="2"/>
  <c r="K379" i="2"/>
  <c r="J379" i="2"/>
  <c r="I379" i="2"/>
  <c r="H379" i="2"/>
  <c r="Q378" i="2"/>
  <c r="P378" i="2"/>
  <c r="O378" i="2"/>
  <c r="N378" i="2"/>
  <c r="M378" i="2"/>
  <c r="L378" i="2"/>
  <c r="K378" i="2"/>
  <c r="J378" i="2"/>
  <c r="I378" i="2"/>
  <c r="H378" i="2"/>
  <c r="Q377" i="2"/>
  <c r="P377" i="2"/>
  <c r="O377" i="2"/>
  <c r="N377" i="2"/>
  <c r="M377" i="2"/>
  <c r="L377" i="2"/>
  <c r="K377" i="2"/>
  <c r="J377" i="2"/>
  <c r="I377" i="2"/>
  <c r="H377" i="2"/>
  <c r="Q376" i="2"/>
  <c r="P376" i="2"/>
  <c r="O376" i="2"/>
  <c r="N376" i="2"/>
  <c r="M376" i="2"/>
  <c r="L376" i="2"/>
  <c r="K376" i="2"/>
  <c r="J376" i="2"/>
  <c r="I376" i="2"/>
  <c r="H376" i="2"/>
  <c r="Q375" i="2"/>
  <c r="P375" i="2"/>
  <c r="O375" i="2"/>
  <c r="N375" i="2"/>
  <c r="M375" i="2"/>
  <c r="L375" i="2"/>
  <c r="K375" i="2"/>
  <c r="J375" i="2"/>
  <c r="I375" i="2"/>
  <c r="H375" i="2"/>
  <c r="Q374" i="2"/>
  <c r="P374" i="2"/>
  <c r="O374" i="2"/>
  <c r="N374" i="2"/>
  <c r="M374" i="2"/>
  <c r="L374" i="2"/>
  <c r="K374" i="2"/>
  <c r="J374" i="2"/>
  <c r="I374" i="2"/>
  <c r="H374" i="2"/>
  <c r="H371" i="2"/>
  <c r="Q370" i="2"/>
  <c r="P370" i="2"/>
  <c r="O370" i="2"/>
  <c r="N370" i="2"/>
  <c r="M370" i="2"/>
  <c r="L370" i="2"/>
  <c r="K370" i="2"/>
  <c r="J370" i="2"/>
  <c r="I370" i="2"/>
  <c r="H370" i="2"/>
  <c r="Q369" i="2"/>
  <c r="P369" i="2"/>
  <c r="O369" i="2"/>
  <c r="N369" i="2"/>
  <c r="M369" i="2"/>
  <c r="L369" i="2"/>
  <c r="K369" i="2"/>
  <c r="J369" i="2"/>
  <c r="I369" i="2"/>
  <c r="H369" i="2"/>
  <c r="Q368" i="2"/>
  <c r="P368" i="2"/>
  <c r="O368" i="2"/>
  <c r="N368" i="2"/>
  <c r="M368" i="2"/>
  <c r="L368" i="2"/>
  <c r="K368" i="2"/>
  <c r="J368" i="2"/>
  <c r="I368" i="2"/>
  <c r="H368" i="2"/>
  <c r="Q367" i="2"/>
  <c r="P367" i="2"/>
  <c r="O367" i="2"/>
  <c r="N367" i="2"/>
  <c r="M367" i="2"/>
  <c r="L367" i="2"/>
  <c r="K367" i="2"/>
  <c r="J367" i="2"/>
  <c r="I367" i="2"/>
  <c r="H367" i="2"/>
  <c r="Q366" i="2"/>
  <c r="P366" i="2"/>
  <c r="O366" i="2"/>
  <c r="N366" i="2"/>
  <c r="M366" i="2"/>
  <c r="L366" i="2"/>
  <c r="K366" i="2"/>
  <c r="J366" i="2"/>
  <c r="I366" i="2"/>
  <c r="H366" i="2"/>
  <c r="Q365" i="2"/>
  <c r="P365" i="2"/>
  <c r="O365" i="2"/>
  <c r="N365" i="2"/>
  <c r="M365" i="2"/>
  <c r="L365" i="2"/>
  <c r="K365" i="2"/>
  <c r="J365" i="2"/>
  <c r="I365" i="2"/>
  <c r="H365" i="2"/>
  <c r="Q364" i="2"/>
  <c r="P364" i="2"/>
  <c r="O364" i="2"/>
  <c r="N364" i="2"/>
  <c r="M364" i="2"/>
  <c r="L364" i="2"/>
  <c r="K364" i="2"/>
  <c r="J364" i="2"/>
  <c r="I364" i="2"/>
  <c r="H364" i="2"/>
  <c r="Q363" i="2"/>
  <c r="P363" i="2"/>
  <c r="O363" i="2"/>
  <c r="N363" i="2"/>
  <c r="M363" i="2"/>
  <c r="L363" i="2"/>
  <c r="K363" i="2"/>
  <c r="J363" i="2"/>
  <c r="I363" i="2"/>
  <c r="H363" i="2"/>
  <c r="Q362" i="2"/>
  <c r="P362" i="2"/>
  <c r="O362" i="2"/>
  <c r="N362" i="2"/>
  <c r="M362" i="2"/>
  <c r="L362" i="2"/>
  <c r="K362" i="2"/>
  <c r="J362" i="2"/>
  <c r="I362" i="2"/>
  <c r="H362" i="2"/>
  <c r="Q361" i="2"/>
  <c r="P361" i="2"/>
  <c r="O361" i="2"/>
  <c r="N361" i="2"/>
  <c r="M361" i="2"/>
  <c r="L361" i="2"/>
  <c r="K361" i="2"/>
  <c r="J361" i="2"/>
  <c r="I361" i="2"/>
  <c r="H361" i="2"/>
  <c r="Q360" i="2"/>
  <c r="P360" i="2"/>
  <c r="O360" i="2"/>
  <c r="N360" i="2"/>
  <c r="M360" i="2"/>
  <c r="L360" i="2"/>
  <c r="K360" i="2"/>
  <c r="J360" i="2"/>
  <c r="I360" i="2"/>
  <c r="H360" i="2"/>
  <c r="Q359" i="2"/>
  <c r="P359" i="2"/>
  <c r="O359" i="2"/>
  <c r="N359" i="2"/>
  <c r="M359" i="2"/>
  <c r="L359" i="2"/>
  <c r="K359" i="2"/>
  <c r="J359" i="2"/>
  <c r="I359" i="2"/>
  <c r="H359" i="2"/>
  <c r="Q358" i="2"/>
  <c r="P358" i="2"/>
  <c r="O358" i="2"/>
  <c r="N358" i="2"/>
  <c r="M358" i="2"/>
  <c r="L358" i="2"/>
  <c r="K358" i="2"/>
  <c r="J358" i="2"/>
  <c r="I358" i="2"/>
  <c r="H358" i="2"/>
  <c r="Q357" i="2"/>
  <c r="P357" i="2"/>
  <c r="O357" i="2"/>
  <c r="N357" i="2"/>
  <c r="M357" i="2"/>
  <c r="L357" i="2"/>
  <c r="K357" i="2"/>
  <c r="J357" i="2"/>
  <c r="I357" i="2"/>
  <c r="H357" i="2"/>
  <c r="Q356" i="2"/>
  <c r="P356" i="2"/>
  <c r="O356" i="2"/>
  <c r="N356" i="2"/>
  <c r="M356" i="2"/>
  <c r="L356" i="2"/>
  <c r="K356" i="2"/>
  <c r="J356" i="2"/>
  <c r="I356" i="2"/>
  <c r="H356" i="2"/>
  <c r="Q355" i="2"/>
  <c r="P355" i="2"/>
  <c r="O355" i="2"/>
  <c r="N355" i="2"/>
  <c r="M355" i="2"/>
  <c r="L355" i="2"/>
  <c r="K355" i="2"/>
  <c r="J355" i="2"/>
  <c r="I355" i="2"/>
  <c r="H355" i="2"/>
  <c r="Q354" i="2"/>
  <c r="P354" i="2"/>
  <c r="O354" i="2"/>
  <c r="N354" i="2"/>
  <c r="M354" i="2"/>
  <c r="L354" i="2"/>
  <c r="K354" i="2"/>
  <c r="J354" i="2"/>
  <c r="I354" i="2"/>
  <c r="H354" i="2"/>
  <c r="Q353" i="2"/>
  <c r="P353" i="2"/>
  <c r="O353" i="2"/>
  <c r="N353" i="2"/>
  <c r="M353" i="2"/>
  <c r="L353" i="2"/>
  <c r="K353" i="2"/>
  <c r="J353" i="2"/>
  <c r="I353" i="2"/>
  <c r="H353" i="2"/>
  <c r="Q352" i="2"/>
  <c r="P352" i="2"/>
  <c r="O352" i="2"/>
  <c r="N352" i="2"/>
  <c r="M352" i="2"/>
  <c r="L352" i="2"/>
  <c r="K352" i="2"/>
  <c r="J352" i="2"/>
  <c r="I352" i="2"/>
  <c r="H352" i="2"/>
  <c r="Q351" i="2"/>
  <c r="P351" i="2"/>
  <c r="O351" i="2"/>
  <c r="N351" i="2"/>
  <c r="M351" i="2"/>
  <c r="L351" i="2"/>
  <c r="K351" i="2"/>
  <c r="J351" i="2"/>
  <c r="I351" i="2"/>
  <c r="H351" i="2"/>
  <c r="Q350" i="2"/>
  <c r="P350" i="2"/>
  <c r="O350" i="2"/>
  <c r="N350" i="2"/>
  <c r="M350" i="2"/>
  <c r="L350" i="2"/>
  <c r="K350" i="2"/>
  <c r="J350" i="2"/>
  <c r="I350" i="2"/>
  <c r="H350" i="2"/>
  <c r="Q349" i="2"/>
  <c r="P349" i="2"/>
  <c r="O349" i="2"/>
  <c r="N349" i="2"/>
  <c r="M349" i="2"/>
  <c r="L349" i="2"/>
  <c r="K349" i="2"/>
  <c r="J349" i="2"/>
  <c r="I349" i="2"/>
  <c r="H349" i="2"/>
  <c r="Q348" i="2"/>
  <c r="P348" i="2"/>
  <c r="O348" i="2"/>
  <c r="N348" i="2"/>
  <c r="M348" i="2"/>
  <c r="L348" i="2"/>
  <c r="K348" i="2"/>
  <c r="J348" i="2"/>
  <c r="I348" i="2"/>
  <c r="H348" i="2"/>
  <c r="Q347" i="2"/>
  <c r="P347" i="2"/>
  <c r="O347" i="2"/>
  <c r="N347" i="2"/>
  <c r="M347" i="2"/>
  <c r="L347" i="2"/>
  <c r="K347" i="2"/>
  <c r="J347" i="2"/>
  <c r="I347" i="2"/>
  <c r="H347" i="2"/>
  <c r="Q346" i="2"/>
  <c r="P346" i="2"/>
  <c r="O346" i="2"/>
  <c r="N346" i="2"/>
  <c r="M346" i="2"/>
  <c r="L346" i="2"/>
  <c r="K346" i="2"/>
  <c r="J346" i="2"/>
  <c r="I346" i="2"/>
  <c r="H346" i="2"/>
  <c r="Q345" i="2"/>
  <c r="P345" i="2"/>
  <c r="O345" i="2"/>
  <c r="N345" i="2"/>
  <c r="M345" i="2"/>
  <c r="L345" i="2"/>
  <c r="K345" i="2"/>
  <c r="J345" i="2"/>
  <c r="I345" i="2"/>
  <c r="H345" i="2"/>
  <c r="Q344" i="2"/>
  <c r="P344" i="2"/>
  <c r="O344" i="2"/>
  <c r="N344" i="2"/>
  <c r="M344" i="2"/>
  <c r="L344" i="2"/>
  <c r="K344" i="2"/>
  <c r="J344" i="2"/>
  <c r="I344" i="2"/>
  <c r="H344" i="2"/>
  <c r="Q343" i="2"/>
  <c r="P343" i="2"/>
  <c r="O343" i="2"/>
  <c r="N343" i="2"/>
  <c r="M343" i="2"/>
  <c r="L343" i="2"/>
  <c r="K343" i="2"/>
  <c r="J343" i="2"/>
  <c r="I343" i="2"/>
  <c r="H343" i="2"/>
  <c r="Q342" i="2"/>
  <c r="P342" i="2"/>
  <c r="O342" i="2"/>
  <c r="N342" i="2"/>
  <c r="M342" i="2"/>
  <c r="L342" i="2"/>
  <c r="K342" i="2"/>
  <c r="J342" i="2"/>
  <c r="I342" i="2"/>
  <c r="H342" i="2"/>
  <c r="Q341" i="2"/>
  <c r="P341" i="2"/>
  <c r="O341" i="2"/>
  <c r="N341" i="2"/>
  <c r="M341" i="2"/>
  <c r="L341" i="2"/>
  <c r="K341" i="2"/>
  <c r="J341" i="2"/>
  <c r="I341" i="2"/>
  <c r="H341" i="2"/>
  <c r="Q340" i="2"/>
  <c r="P340" i="2"/>
  <c r="O340" i="2"/>
  <c r="N340" i="2"/>
  <c r="M340" i="2"/>
  <c r="L340" i="2"/>
  <c r="K340" i="2"/>
  <c r="J340" i="2"/>
  <c r="I340" i="2"/>
  <c r="H340" i="2"/>
  <c r="Q339" i="2"/>
  <c r="P339" i="2"/>
  <c r="O339" i="2"/>
  <c r="N339" i="2"/>
  <c r="M339" i="2"/>
  <c r="L339" i="2"/>
  <c r="K339" i="2"/>
  <c r="J339" i="2"/>
  <c r="I339" i="2"/>
  <c r="H339" i="2"/>
  <c r="Q338" i="2"/>
  <c r="P338" i="2"/>
  <c r="O338" i="2"/>
  <c r="N338" i="2"/>
  <c r="M338" i="2"/>
  <c r="L338" i="2"/>
  <c r="K338" i="2"/>
  <c r="J338" i="2"/>
  <c r="I338" i="2"/>
  <c r="H338" i="2"/>
  <c r="Q337" i="2"/>
  <c r="P337" i="2"/>
  <c r="O337" i="2"/>
  <c r="N337" i="2"/>
  <c r="M337" i="2"/>
  <c r="L337" i="2"/>
  <c r="K337" i="2"/>
  <c r="J337" i="2"/>
  <c r="I337" i="2"/>
  <c r="H337" i="2"/>
  <c r="Q336" i="2"/>
  <c r="P336" i="2"/>
  <c r="O336" i="2"/>
  <c r="N336" i="2"/>
  <c r="M336" i="2"/>
  <c r="L336" i="2"/>
  <c r="K336" i="2"/>
  <c r="J336" i="2"/>
  <c r="I336" i="2"/>
  <c r="H336" i="2"/>
  <c r="Q335" i="2"/>
  <c r="P335" i="2"/>
  <c r="O335" i="2"/>
  <c r="N335" i="2"/>
  <c r="M335" i="2"/>
  <c r="L335" i="2"/>
  <c r="K335" i="2"/>
  <c r="J335" i="2"/>
  <c r="I335" i="2"/>
  <c r="H335" i="2"/>
  <c r="Q334" i="2"/>
  <c r="P334" i="2"/>
  <c r="O334" i="2"/>
  <c r="N334" i="2"/>
  <c r="M334" i="2"/>
  <c r="L334" i="2"/>
  <c r="K334" i="2"/>
  <c r="J334" i="2"/>
  <c r="I334" i="2"/>
  <c r="H334" i="2"/>
  <c r="Q333" i="2"/>
  <c r="P333" i="2"/>
  <c r="O333" i="2"/>
  <c r="N333" i="2"/>
  <c r="M333" i="2"/>
  <c r="L333" i="2"/>
  <c r="K333" i="2"/>
  <c r="J333" i="2"/>
  <c r="I333" i="2"/>
  <c r="H333" i="2"/>
  <c r="Q332" i="2"/>
  <c r="P332" i="2"/>
  <c r="O332" i="2"/>
  <c r="N332" i="2"/>
  <c r="M332" i="2"/>
  <c r="L332" i="2"/>
  <c r="K332" i="2"/>
  <c r="J332" i="2"/>
  <c r="I332" i="2"/>
  <c r="H332" i="2"/>
  <c r="Q331" i="2"/>
  <c r="P331" i="2"/>
  <c r="O331" i="2"/>
  <c r="N331" i="2"/>
  <c r="M331" i="2"/>
  <c r="L331" i="2"/>
  <c r="K331" i="2"/>
  <c r="J331" i="2"/>
  <c r="I331" i="2"/>
  <c r="H331" i="2"/>
  <c r="Q328" i="2"/>
  <c r="P328" i="2"/>
  <c r="O328" i="2"/>
  <c r="N328" i="2"/>
  <c r="M328" i="2"/>
  <c r="L328" i="2"/>
  <c r="K328" i="2"/>
  <c r="J328" i="2"/>
  <c r="I328" i="2"/>
  <c r="H328" i="2"/>
  <c r="Q327" i="2"/>
  <c r="P327" i="2"/>
  <c r="O327" i="2"/>
  <c r="N327" i="2"/>
  <c r="M327" i="2"/>
  <c r="L327" i="2"/>
  <c r="K327" i="2"/>
  <c r="J327" i="2"/>
  <c r="I327" i="2"/>
  <c r="H327" i="2"/>
  <c r="Q326" i="2"/>
  <c r="P326" i="2"/>
  <c r="O326" i="2"/>
  <c r="N326" i="2"/>
  <c r="M326" i="2"/>
  <c r="L326" i="2"/>
  <c r="K326" i="2"/>
  <c r="J326" i="2"/>
  <c r="I326" i="2"/>
  <c r="H326" i="2"/>
  <c r="Q325" i="2"/>
  <c r="P325" i="2"/>
  <c r="O325" i="2"/>
  <c r="N325" i="2"/>
  <c r="M325" i="2"/>
  <c r="L325" i="2"/>
  <c r="K325" i="2"/>
  <c r="J325" i="2"/>
  <c r="I325" i="2"/>
  <c r="H325" i="2"/>
  <c r="Q324" i="2"/>
  <c r="P324" i="2"/>
  <c r="O324" i="2"/>
  <c r="N324" i="2"/>
  <c r="M324" i="2"/>
  <c r="L324" i="2"/>
  <c r="K324" i="2"/>
  <c r="J324" i="2"/>
  <c r="I324" i="2"/>
  <c r="H324" i="2"/>
  <c r="Q323" i="2"/>
  <c r="P323" i="2"/>
  <c r="O323" i="2"/>
  <c r="N323" i="2"/>
  <c r="M323" i="2"/>
  <c r="L323" i="2"/>
  <c r="K323" i="2"/>
  <c r="J323" i="2"/>
  <c r="I323" i="2"/>
  <c r="H323" i="2"/>
  <c r="Q322" i="2"/>
  <c r="P322" i="2"/>
  <c r="O322" i="2"/>
  <c r="N322" i="2"/>
  <c r="M322" i="2"/>
  <c r="L322" i="2"/>
  <c r="K322" i="2"/>
  <c r="J322" i="2"/>
  <c r="I322" i="2"/>
  <c r="H322" i="2"/>
  <c r="Q321" i="2"/>
  <c r="P321" i="2"/>
  <c r="O321" i="2"/>
  <c r="N321" i="2"/>
  <c r="M321" i="2"/>
  <c r="L321" i="2"/>
  <c r="K321" i="2"/>
  <c r="J321" i="2"/>
  <c r="I321" i="2"/>
  <c r="H321" i="2"/>
  <c r="Q320" i="2"/>
  <c r="P320" i="2"/>
  <c r="O320" i="2"/>
  <c r="N320" i="2"/>
  <c r="M320" i="2"/>
  <c r="L320" i="2"/>
  <c r="K320" i="2"/>
  <c r="J320" i="2"/>
  <c r="I320" i="2"/>
  <c r="H320" i="2"/>
  <c r="Q319" i="2"/>
  <c r="P319" i="2"/>
  <c r="O319" i="2"/>
  <c r="N319" i="2"/>
  <c r="M319" i="2"/>
  <c r="L319" i="2"/>
  <c r="K319" i="2"/>
  <c r="J319" i="2"/>
  <c r="I319" i="2"/>
  <c r="H319" i="2"/>
  <c r="Q318" i="2"/>
  <c r="P318" i="2"/>
  <c r="O318" i="2"/>
  <c r="N318" i="2"/>
  <c r="M318" i="2"/>
  <c r="L318" i="2"/>
  <c r="K318" i="2"/>
  <c r="J318" i="2"/>
  <c r="I318" i="2"/>
  <c r="H318" i="2"/>
  <c r="Q317" i="2"/>
  <c r="P317" i="2"/>
  <c r="O317" i="2"/>
  <c r="N317" i="2"/>
  <c r="M317" i="2"/>
  <c r="L317" i="2"/>
  <c r="K317" i="2"/>
  <c r="J317" i="2"/>
  <c r="I317" i="2"/>
  <c r="H317" i="2"/>
  <c r="Q316" i="2"/>
  <c r="P316" i="2"/>
  <c r="O316" i="2"/>
  <c r="N316" i="2"/>
  <c r="M316" i="2"/>
  <c r="L316" i="2"/>
  <c r="K316" i="2"/>
  <c r="J316" i="2"/>
  <c r="I316" i="2"/>
  <c r="H316" i="2"/>
  <c r="Q315" i="2"/>
  <c r="P315" i="2"/>
  <c r="O315" i="2"/>
  <c r="N315" i="2"/>
  <c r="M315" i="2"/>
  <c r="L315" i="2"/>
  <c r="K315" i="2"/>
  <c r="J315" i="2"/>
  <c r="I315" i="2"/>
  <c r="H315" i="2"/>
  <c r="Q314" i="2"/>
  <c r="P314" i="2"/>
  <c r="O314" i="2"/>
  <c r="N314" i="2"/>
  <c r="M314" i="2"/>
  <c r="L314" i="2"/>
  <c r="K314" i="2"/>
  <c r="J314" i="2"/>
  <c r="I314" i="2"/>
  <c r="H314" i="2"/>
  <c r="Q313" i="2"/>
  <c r="P313" i="2"/>
  <c r="O313" i="2"/>
  <c r="N313" i="2"/>
  <c r="M313" i="2"/>
  <c r="L313" i="2"/>
  <c r="K313" i="2"/>
  <c r="J313" i="2"/>
  <c r="I313" i="2"/>
  <c r="H313" i="2"/>
  <c r="Q310" i="2"/>
  <c r="P310" i="2"/>
  <c r="O310" i="2"/>
  <c r="N310" i="2"/>
  <c r="M310" i="2"/>
  <c r="L310" i="2"/>
  <c r="K310" i="2"/>
  <c r="J310" i="2"/>
  <c r="I310" i="2"/>
  <c r="H310" i="2"/>
  <c r="Q309" i="2"/>
  <c r="P309" i="2"/>
  <c r="O309" i="2"/>
  <c r="N309" i="2"/>
  <c r="M309" i="2"/>
  <c r="L309" i="2"/>
  <c r="K309" i="2"/>
  <c r="J309" i="2"/>
  <c r="I309" i="2"/>
  <c r="H309" i="2"/>
  <c r="Q308" i="2"/>
  <c r="P308" i="2"/>
  <c r="O308" i="2"/>
  <c r="N308" i="2"/>
  <c r="M308" i="2"/>
  <c r="L308" i="2"/>
  <c r="K308" i="2"/>
  <c r="J308" i="2"/>
  <c r="I308" i="2"/>
  <c r="H308" i="2"/>
  <c r="Q307" i="2"/>
  <c r="P307" i="2"/>
  <c r="O307" i="2"/>
  <c r="N307" i="2"/>
  <c r="M307" i="2"/>
  <c r="L307" i="2"/>
  <c r="K307" i="2"/>
  <c r="J307" i="2"/>
  <c r="I307" i="2"/>
  <c r="H307" i="2"/>
  <c r="Q306" i="2"/>
  <c r="P306" i="2"/>
  <c r="O306" i="2"/>
  <c r="N306" i="2"/>
  <c r="M306" i="2"/>
  <c r="L306" i="2"/>
  <c r="K306" i="2"/>
  <c r="J306" i="2"/>
  <c r="I306" i="2"/>
  <c r="H306" i="2"/>
  <c r="Q305" i="2"/>
  <c r="P305" i="2"/>
  <c r="O305" i="2"/>
  <c r="N305" i="2"/>
  <c r="M305" i="2"/>
  <c r="L305" i="2"/>
  <c r="K305" i="2"/>
  <c r="J305" i="2"/>
  <c r="I305" i="2"/>
  <c r="H305" i="2"/>
  <c r="Q304" i="2"/>
  <c r="P304" i="2"/>
  <c r="O304" i="2"/>
  <c r="N304" i="2"/>
  <c r="M304" i="2"/>
  <c r="L304" i="2"/>
  <c r="K304" i="2"/>
  <c r="J304" i="2"/>
  <c r="I304" i="2"/>
  <c r="H304" i="2"/>
  <c r="Q303" i="2"/>
  <c r="P303" i="2"/>
  <c r="O303" i="2"/>
  <c r="N303" i="2"/>
  <c r="M303" i="2"/>
  <c r="L303" i="2"/>
  <c r="K303" i="2"/>
  <c r="J303" i="2"/>
  <c r="I303" i="2"/>
  <c r="H303" i="2"/>
  <c r="Q302" i="2"/>
  <c r="P302" i="2"/>
  <c r="O302" i="2"/>
  <c r="N302" i="2"/>
  <c r="M302" i="2"/>
  <c r="L302" i="2"/>
  <c r="K302" i="2"/>
  <c r="J302" i="2"/>
  <c r="I302" i="2"/>
  <c r="H302" i="2"/>
  <c r="Q301" i="2"/>
  <c r="P301" i="2"/>
  <c r="O301" i="2"/>
  <c r="N301" i="2"/>
  <c r="M301" i="2"/>
  <c r="L301" i="2"/>
  <c r="K301" i="2"/>
  <c r="J301" i="2"/>
  <c r="I301" i="2"/>
  <c r="H301" i="2"/>
  <c r="Q300" i="2"/>
  <c r="P300" i="2"/>
  <c r="O300" i="2"/>
  <c r="N300" i="2"/>
  <c r="M300" i="2"/>
  <c r="L300" i="2"/>
  <c r="K300" i="2"/>
  <c r="J300" i="2"/>
  <c r="I300" i="2"/>
  <c r="H300" i="2"/>
  <c r="Q299" i="2"/>
  <c r="P299" i="2"/>
  <c r="O299" i="2"/>
  <c r="N299" i="2"/>
  <c r="M299" i="2"/>
  <c r="L299" i="2"/>
  <c r="K299" i="2"/>
  <c r="J299" i="2"/>
  <c r="I299" i="2"/>
  <c r="H299" i="2"/>
  <c r="Q298" i="2"/>
  <c r="P298" i="2"/>
  <c r="O298" i="2"/>
  <c r="N298" i="2"/>
  <c r="M298" i="2"/>
  <c r="L298" i="2"/>
  <c r="K298" i="2"/>
  <c r="J298" i="2"/>
  <c r="I298" i="2"/>
  <c r="H298" i="2"/>
  <c r="Q297" i="2"/>
  <c r="P297" i="2"/>
  <c r="O297" i="2"/>
  <c r="N297" i="2"/>
  <c r="M297" i="2"/>
  <c r="L297" i="2"/>
  <c r="K297" i="2"/>
  <c r="J297" i="2"/>
  <c r="I297" i="2"/>
  <c r="H297" i="2"/>
  <c r="Q294" i="2"/>
  <c r="P294" i="2"/>
  <c r="O294" i="2"/>
  <c r="N294" i="2"/>
  <c r="M294" i="2"/>
  <c r="L294" i="2"/>
  <c r="K294" i="2"/>
  <c r="J294" i="2"/>
  <c r="I294" i="2"/>
  <c r="H294" i="2"/>
  <c r="Q293" i="2"/>
  <c r="P293" i="2"/>
  <c r="O293" i="2"/>
  <c r="N293" i="2"/>
  <c r="M293" i="2"/>
  <c r="L293" i="2"/>
  <c r="K293" i="2"/>
  <c r="J293" i="2"/>
  <c r="I293" i="2"/>
  <c r="H293" i="2"/>
  <c r="Q292" i="2"/>
  <c r="P292" i="2"/>
  <c r="O292" i="2"/>
  <c r="N292" i="2"/>
  <c r="M292" i="2"/>
  <c r="L292" i="2"/>
  <c r="K292" i="2"/>
  <c r="J292" i="2"/>
  <c r="I292" i="2"/>
  <c r="H292" i="2"/>
  <c r="Q291" i="2"/>
  <c r="P291" i="2"/>
  <c r="O291" i="2"/>
  <c r="N291" i="2"/>
  <c r="M291" i="2"/>
  <c r="L291" i="2"/>
  <c r="K291" i="2"/>
  <c r="J291" i="2"/>
  <c r="I291" i="2"/>
  <c r="H291" i="2"/>
  <c r="Q290" i="2"/>
  <c r="P290" i="2"/>
  <c r="O290" i="2"/>
  <c r="N290" i="2"/>
  <c r="M290" i="2"/>
  <c r="L290" i="2"/>
  <c r="K290" i="2"/>
  <c r="J290" i="2"/>
  <c r="I290" i="2"/>
  <c r="H290" i="2"/>
  <c r="Q289" i="2"/>
  <c r="P289" i="2"/>
  <c r="O289" i="2"/>
  <c r="N289" i="2"/>
  <c r="M289" i="2"/>
  <c r="L289" i="2"/>
  <c r="K289" i="2"/>
  <c r="J289" i="2"/>
  <c r="I289" i="2"/>
  <c r="H289" i="2"/>
  <c r="Q288" i="2"/>
  <c r="P288" i="2"/>
  <c r="O288" i="2"/>
  <c r="N288" i="2"/>
  <c r="M288" i="2"/>
  <c r="L288" i="2"/>
  <c r="K288" i="2"/>
  <c r="J288" i="2"/>
  <c r="I288" i="2"/>
  <c r="H288" i="2"/>
  <c r="Q287" i="2"/>
  <c r="P287" i="2"/>
  <c r="O287" i="2"/>
  <c r="N287" i="2"/>
  <c r="M287" i="2"/>
  <c r="L287" i="2"/>
  <c r="K287" i="2"/>
  <c r="J287" i="2"/>
  <c r="I287" i="2"/>
  <c r="H287" i="2"/>
  <c r="Q286" i="2"/>
  <c r="P286" i="2"/>
  <c r="O286" i="2"/>
  <c r="N286" i="2"/>
  <c r="M286" i="2"/>
  <c r="L286" i="2"/>
  <c r="K286" i="2"/>
  <c r="J286" i="2"/>
  <c r="I286" i="2"/>
  <c r="H286" i="2"/>
  <c r="Q285" i="2"/>
  <c r="P285" i="2"/>
  <c r="O285" i="2"/>
  <c r="N285" i="2"/>
  <c r="M285" i="2"/>
  <c r="L285" i="2"/>
  <c r="K285" i="2"/>
  <c r="J285" i="2"/>
  <c r="I285" i="2"/>
  <c r="H285" i="2"/>
  <c r="Q284" i="2"/>
  <c r="P284" i="2"/>
  <c r="O284" i="2"/>
  <c r="N284" i="2"/>
  <c r="M284" i="2"/>
  <c r="L284" i="2"/>
  <c r="K284" i="2"/>
  <c r="J284" i="2"/>
  <c r="I284" i="2"/>
  <c r="H284" i="2"/>
  <c r="Q283" i="2"/>
  <c r="P283" i="2"/>
  <c r="O283" i="2"/>
  <c r="N283" i="2"/>
  <c r="M283" i="2"/>
  <c r="L283" i="2"/>
  <c r="K283" i="2"/>
  <c r="J283" i="2"/>
  <c r="I283" i="2"/>
  <c r="H283" i="2"/>
  <c r="Q282" i="2"/>
  <c r="P282" i="2"/>
  <c r="O282" i="2"/>
  <c r="N282" i="2"/>
  <c r="M282" i="2"/>
  <c r="L282" i="2"/>
  <c r="K282" i="2"/>
  <c r="J282" i="2"/>
  <c r="I282" i="2"/>
  <c r="H282" i="2"/>
  <c r="Q281" i="2"/>
  <c r="P281" i="2"/>
  <c r="O281" i="2"/>
  <c r="N281" i="2"/>
  <c r="M281" i="2"/>
  <c r="L281" i="2"/>
  <c r="K281" i="2"/>
  <c r="J281" i="2"/>
  <c r="I281" i="2"/>
  <c r="H281" i="2"/>
  <c r="Q280" i="2"/>
  <c r="P280" i="2"/>
  <c r="O280" i="2"/>
  <c r="N280" i="2"/>
  <c r="M280" i="2"/>
  <c r="L280" i="2"/>
  <c r="K280" i="2"/>
  <c r="J280" i="2"/>
  <c r="I280" i="2"/>
  <c r="H280" i="2"/>
  <c r="Q279" i="2"/>
  <c r="P279" i="2"/>
  <c r="O279" i="2"/>
  <c r="N279" i="2"/>
  <c r="M279" i="2"/>
  <c r="L279" i="2"/>
  <c r="K279" i="2"/>
  <c r="J279" i="2"/>
  <c r="I279" i="2"/>
  <c r="H279" i="2"/>
  <c r="Q278" i="2"/>
  <c r="P278" i="2"/>
  <c r="O278" i="2"/>
  <c r="N278" i="2"/>
  <c r="M278" i="2"/>
  <c r="L278" i="2"/>
  <c r="K278" i="2"/>
  <c r="J278" i="2"/>
  <c r="I278" i="2"/>
  <c r="H278" i="2"/>
  <c r="Q275" i="2"/>
  <c r="P275" i="2"/>
  <c r="O275" i="2"/>
  <c r="N275" i="2"/>
  <c r="M275" i="2"/>
  <c r="L275" i="2"/>
  <c r="K275" i="2"/>
  <c r="J275" i="2"/>
  <c r="I275" i="2"/>
  <c r="H275" i="2"/>
  <c r="Q274" i="2"/>
  <c r="P274" i="2"/>
  <c r="O274" i="2"/>
  <c r="N274" i="2"/>
  <c r="M274" i="2"/>
  <c r="L274" i="2"/>
  <c r="K274" i="2"/>
  <c r="J274" i="2"/>
  <c r="I274" i="2"/>
  <c r="H274" i="2"/>
  <c r="Q273" i="2"/>
  <c r="P273" i="2"/>
  <c r="O273" i="2"/>
  <c r="N273" i="2"/>
  <c r="M273" i="2"/>
  <c r="L273" i="2"/>
  <c r="K273" i="2"/>
  <c r="J273" i="2"/>
  <c r="I273" i="2"/>
  <c r="H273" i="2"/>
  <c r="Q272" i="2"/>
  <c r="P272" i="2"/>
  <c r="O272" i="2"/>
  <c r="N272" i="2"/>
  <c r="M272" i="2"/>
  <c r="L272" i="2"/>
  <c r="K272" i="2"/>
  <c r="J272" i="2"/>
  <c r="I272" i="2"/>
  <c r="H272" i="2"/>
  <c r="Q271" i="2"/>
  <c r="P271" i="2"/>
  <c r="O271" i="2"/>
  <c r="N271" i="2"/>
  <c r="M271" i="2"/>
  <c r="L271" i="2"/>
  <c r="K271" i="2"/>
  <c r="J271" i="2"/>
  <c r="I271" i="2"/>
  <c r="H271" i="2"/>
  <c r="Q270" i="2"/>
  <c r="P270" i="2"/>
  <c r="O270" i="2"/>
  <c r="N270" i="2"/>
  <c r="M270" i="2"/>
  <c r="L270" i="2"/>
  <c r="K270" i="2"/>
  <c r="J270" i="2"/>
  <c r="I270" i="2"/>
  <c r="H270" i="2"/>
  <c r="Q269" i="2"/>
  <c r="P269" i="2"/>
  <c r="O269" i="2"/>
  <c r="N269" i="2"/>
  <c r="M269" i="2"/>
  <c r="L269" i="2"/>
  <c r="K269" i="2"/>
  <c r="J269" i="2"/>
  <c r="I269" i="2"/>
  <c r="H269" i="2"/>
  <c r="Q268" i="2"/>
  <c r="P268" i="2"/>
  <c r="O268" i="2"/>
  <c r="N268" i="2"/>
  <c r="M268" i="2"/>
  <c r="L268" i="2"/>
  <c r="K268" i="2"/>
  <c r="J268" i="2"/>
  <c r="I268" i="2"/>
  <c r="H268" i="2"/>
  <c r="Q267" i="2"/>
  <c r="P267" i="2"/>
  <c r="O267" i="2"/>
  <c r="N267" i="2"/>
  <c r="M267" i="2"/>
  <c r="L267" i="2"/>
  <c r="K267" i="2"/>
  <c r="J267" i="2"/>
  <c r="I267" i="2"/>
  <c r="H267" i="2"/>
  <c r="Q266" i="2"/>
  <c r="P266" i="2"/>
  <c r="O266" i="2"/>
  <c r="N266" i="2"/>
  <c r="M266" i="2"/>
  <c r="L266" i="2"/>
  <c r="K266" i="2"/>
  <c r="J266" i="2"/>
  <c r="I266" i="2"/>
  <c r="H266" i="2"/>
  <c r="Q265" i="2"/>
  <c r="P265" i="2"/>
  <c r="O265" i="2"/>
  <c r="N265" i="2"/>
  <c r="M265" i="2"/>
  <c r="L265" i="2"/>
  <c r="K265" i="2"/>
  <c r="J265" i="2"/>
  <c r="I265" i="2"/>
  <c r="H265" i="2"/>
  <c r="Q264" i="2"/>
  <c r="P264" i="2"/>
  <c r="O264" i="2"/>
  <c r="N264" i="2"/>
  <c r="M264" i="2"/>
  <c r="L264" i="2"/>
  <c r="K264" i="2"/>
  <c r="J264" i="2"/>
  <c r="I264" i="2"/>
  <c r="H264" i="2"/>
  <c r="Q263" i="2"/>
  <c r="P263" i="2"/>
  <c r="O263" i="2"/>
  <c r="N263" i="2"/>
  <c r="M263" i="2"/>
  <c r="L263" i="2"/>
  <c r="K263" i="2"/>
  <c r="J263" i="2"/>
  <c r="I263" i="2"/>
  <c r="H263" i="2"/>
  <c r="Q262" i="2"/>
  <c r="P262" i="2"/>
  <c r="O262" i="2"/>
  <c r="N262" i="2"/>
  <c r="M262" i="2"/>
  <c r="L262" i="2"/>
  <c r="K262" i="2"/>
  <c r="J262" i="2"/>
  <c r="I262" i="2"/>
  <c r="H262" i="2"/>
  <c r="Q261" i="2"/>
  <c r="P261" i="2"/>
  <c r="O261" i="2"/>
  <c r="N261" i="2"/>
  <c r="M261" i="2"/>
  <c r="L261" i="2"/>
  <c r="K261" i="2"/>
  <c r="J261" i="2"/>
  <c r="I261" i="2"/>
  <c r="H261" i="2"/>
  <c r="Q260" i="2"/>
  <c r="P260" i="2"/>
  <c r="O260" i="2"/>
  <c r="N260" i="2"/>
  <c r="M260" i="2"/>
  <c r="L260" i="2"/>
  <c r="K260" i="2"/>
  <c r="J260" i="2"/>
  <c r="I260" i="2"/>
  <c r="H260" i="2"/>
  <c r="Q259" i="2"/>
  <c r="P259" i="2"/>
  <c r="O259" i="2"/>
  <c r="N259" i="2"/>
  <c r="M259" i="2"/>
  <c r="L259" i="2"/>
  <c r="K259" i="2"/>
  <c r="J259" i="2"/>
  <c r="I259" i="2"/>
  <c r="H259" i="2"/>
  <c r="Q258" i="2"/>
  <c r="P258" i="2"/>
  <c r="O258" i="2"/>
  <c r="N258" i="2"/>
  <c r="M258" i="2"/>
  <c r="L258" i="2"/>
  <c r="K258" i="2"/>
  <c r="J258" i="2"/>
  <c r="I258" i="2"/>
  <c r="H258" i="2"/>
  <c r="Q257" i="2"/>
  <c r="P257" i="2"/>
  <c r="O257" i="2"/>
  <c r="N257" i="2"/>
  <c r="M257" i="2"/>
  <c r="L257" i="2"/>
  <c r="K257" i="2"/>
  <c r="J257" i="2"/>
  <c r="I257" i="2"/>
  <c r="H257" i="2"/>
  <c r="Q254" i="2"/>
  <c r="P254" i="2"/>
  <c r="O254" i="2"/>
  <c r="N254" i="2"/>
  <c r="M254" i="2"/>
  <c r="L254" i="2"/>
  <c r="K254" i="2"/>
  <c r="J254" i="2"/>
  <c r="I254" i="2"/>
  <c r="H254" i="2"/>
  <c r="Q251" i="2"/>
  <c r="P251" i="2"/>
  <c r="O251" i="2"/>
  <c r="N251" i="2"/>
  <c r="M251" i="2"/>
  <c r="L251" i="2"/>
  <c r="K251" i="2"/>
  <c r="J251" i="2"/>
  <c r="I251" i="2"/>
  <c r="H251" i="2"/>
  <c r="Q250" i="2"/>
  <c r="P250" i="2"/>
  <c r="O250" i="2"/>
  <c r="N250" i="2"/>
  <c r="M250" i="2"/>
  <c r="L250" i="2"/>
  <c r="K250" i="2"/>
  <c r="J250" i="2"/>
  <c r="I250" i="2"/>
  <c r="H250" i="2"/>
  <c r="Q249" i="2"/>
  <c r="P249" i="2"/>
  <c r="O249" i="2"/>
  <c r="N249" i="2"/>
  <c r="M249" i="2"/>
  <c r="L249" i="2"/>
  <c r="K249" i="2"/>
  <c r="J249" i="2"/>
  <c r="I249" i="2"/>
  <c r="H249" i="2"/>
  <c r="Q248" i="2"/>
  <c r="P248" i="2"/>
  <c r="O248" i="2"/>
  <c r="N248" i="2"/>
  <c r="M248" i="2"/>
  <c r="L248" i="2"/>
  <c r="K248" i="2"/>
  <c r="J248" i="2"/>
  <c r="I248" i="2"/>
  <c r="H248" i="2"/>
  <c r="Q247" i="2"/>
  <c r="P247" i="2"/>
  <c r="O247" i="2"/>
  <c r="N247" i="2"/>
  <c r="M247" i="2"/>
  <c r="L247" i="2"/>
  <c r="K247" i="2"/>
  <c r="J247" i="2"/>
  <c r="I247" i="2"/>
  <c r="H247" i="2"/>
  <c r="Q246" i="2"/>
  <c r="P246" i="2"/>
  <c r="O246" i="2"/>
  <c r="N246" i="2"/>
  <c r="M246" i="2"/>
  <c r="L246" i="2"/>
  <c r="K246" i="2"/>
  <c r="J246" i="2"/>
  <c r="I246" i="2"/>
  <c r="H246" i="2"/>
  <c r="Q245" i="2"/>
  <c r="P245" i="2"/>
  <c r="O245" i="2"/>
  <c r="N245" i="2"/>
  <c r="M245" i="2"/>
  <c r="L245" i="2"/>
  <c r="K245" i="2"/>
  <c r="J245" i="2"/>
  <c r="I245" i="2"/>
  <c r="H245" i="2"/>
  <c r="Q244" i="2"/>
  <c r="P244" i="2"/>
  <c r="O244" i="2"/>
  <c r="N244" i="2"/>
  <c r="M244" i="2"/>
  <c r="L244" i="2"/>
  <c r="K244" i="2"/>
  <c r="J244" i="2"/>
  <c r="I244" i="2"/>
  <c r="H244" i="2"/>
  <c r="Q243" i="2"/>
  <c r="P243" i="2"/>
  <c r="O243" i="2"/>
  <c r="N243" i="2"/>
  <c r="M243" i="2"/>
  <c r="L243" i="2"/>
  <c r="K243" i="2"/>
  <c r="J243" i="2"/>
  <c r="I243" i="2"/>
  <c r="H243" i="2"/>
  <c r="Q240" i="2"/>
  <c r="P240" i="2"/>
  <c r="O240" i="2"/>
  <c r="N240" i="2"/>
  <c r="M240" i="2"/>
  <c r="L240" i="2"/>
  <c r="K240" i="2"/>
  <c r="J240" i="2"/>
  <c r="I240" i="2"/>
  <c r="H240" i="2"/>
  <c r="Q239" i="2"/>
  <c r="P239" i="2"/>
  <c r="O239" i="2"/>
  <c r="N239" i="2"/>
  <c r="M239" i="2"/>
  <c r="L239" i="2"/>
  <c r="K239" i="2"/>
  <c r="J239" i="2"/>
  <c r="I239" i="2"/>
  <c r="H239" i="2"/>
  <c r="Q238" i="2"/>
  <c r="P238" i="2"/>
  <c r="O238" i="2"/>
  <c r="N238" i="2"/>
  <c r="M238" i="2"/>
  <c r="L238" i="2"/>
  <c r="K238" i="2"/>
  <c r="J238" i="2"/>
  <c r="I238" i="2"/>
  <c r="H238" i="2"/>
  <c r="Q237" i="2"/>
  <c r="P237" i="2"/>
  <c r="O237" i="2"/>
  <c r="N237" i="2"/>
  <c r="M237" i="2"/>
  <c r="L237" i="2"/>
  <c r="K237" i="2"/>
  <c r="J237" i="2"/>
  <c r="I237" i="2"/>
  <c r="H237" i="2"/>
  <c r="Q236" i="2"/>
  <c r="P236" i="2"/>
  <c r="O236" i="2"/>
  <c r="N236" i="2"/>
  <c r="M236" i="2"/>
  <c r="L236" i="2"/>
  <c r="K236" i="2"/>
  <c r="J236" i="2"/>
  <c r="I236" i="2"/>
  <c r="H236" i="2"/>
  <c r="Q235" i="2"/>
  <c r="P235" i="2"/>
  <c r="O235" i="2"/>
  <c r="N235" i="2"/>
  <c r="M235" i="2"/>
  <c r="L235" i="2"/>
  <c r="K235" i="2"/>
  <c r="J235" i="2"/>
  <c r="I235" i="2"/>
  <c r="H235" i="2"/>
  <c r="Q234" i="2"/>
  <c r="P234" i="2"/>
  <c r="O234" i="2"/>
  <c r="N234" i="2"/>
  <c r="M234" i="2"/>
  <c r="L234" i="2"/>
  <c r="K234" i="2"/>
  <c r="J234" i="2"/>
  <c r="I234" i="2"/>
  <c r="H234" i="2"/>
  <c r="Q233" i="2"/>
  <c r="P233" i="2"/>
  <c r="O233" i="2"/>
  <c r="N233" i="2"/>
  <c r="M233" i="2"/>
  <c r="L233" i="2"/>
  <c r="K233" i="2"/>
  <c r="J233" i="2"/>
  <c r="I233" i="2"/>
  <c r="H233" i="2"/>
  <c r="Q232" i="2"/>
  <c r="P232" i="2"/>
  <c r="O232" i="2"/>
  <c r="N232" i="2"/>
  <c r="M232" i="2"/>
  <c r="L232" i="2"/>
  <c r="K232" i="2"/>
  <c r="J232" i="2"/>
  <c r="I232" i="2"/>
  <c r="H232" i="2"/>
  <c r="Q231" i="2"/>
  <c r="P231" i="2"/>
  <c r="O231" i="2"/>
  <c r="N231" i="2"/>
  <c r="M231" i="2"/>
  <c r="L231" i="2"/>
  <c r="K231" i="2"/>
  <c r="J231" i="2"/>
  <c r="I231" i="2"/>
  <c r="H231" i="2"/>
  <c r="Q230" i="2"/>
  <c r="P230" i="2"/>
  <c r="O230" i="2"/>
  <c r="N230" i="2"/>
  <c r="M230" i="2"/>
  <c r="L230" i="2"/>
  <c r="K230" i="2"/>
  <c r="J230" i="2"/>
  <c r="I230" i="2"/>
  <c r="H230" i="2"/>
  <c r="Q229" i="2"/>
  <c r="P229" i="2"/>
  <c r="O229" i="2"/>
  <c r="N229" i="2"/>
  <c r="M229" i="2"/>
  <c r="L229" i="2"/>
  <c r="K229" i="2"/>
  <c r="J229" i="2"/>
  <c r="I229" i="2"/>
  <c r="H229" i="2"/>
  <c r="Q228" i="2"/>
  <c r="P228" i="2"/>
  <c r="O228" i="2"/>
  <c r="N228" i="2"/>
  <c r="M228" i="2"/>
  <c r="L228" i="2"/>
  <c r="K228" i="2"/>
  <c r="J228" i="2"/>
  <c r="I228" i="2"/>
  <c r="H228" i="2"/>
  <c r="Q225" i="2"/>
  <c r="P225" i="2"/>
  <c r="O225" i="2"/>
  <c r="N225" i="2"/>
  <c r="M225" i="2"/>
  <c r="L225" i="2"/>
  <c r="K225" i="2"/>
  <c r="J225" i="2"/>
  <c r="I225" i="2"/>
  <c r="H225" i="2"/>
  <c r="Q224" i="2"/>
  <c r="P224" i="2"/>
  <c r="O224" i="2"/>
  <c r="N224" i="2"/>
  <c r="M224" i="2"/>
  <c r="L224" i="2"/>
  <c r="K224" i="2"/>
  <c r="J224" i="2"/>
  <c r="I224" i="2"/>
  <c r="H224" i="2"/>
  <c r="Q223" i="2"/>
  <c r="P223" i="2"/>
  <c r="O223" i="2"/>
  <c r="N223" i="2"/>
  <c r="M223" i="2"/>
  <c r="L223" i="2"/>
  <c r="K223" i="2"/>
  <c r="J223" i="2"/>
  <c r="I223" i="2"/>
  <c r="H223" i="2"/>
  <c r="Q222" i="2"/>
  <c r="P222" i="2"/>
  <c r="O222" i="2"/>
  <c r="N222" i="2"/>
  <c r="M222" i="2"/>
  <c r="L222" i="2"/>
  <c r="K222" i="2"/>
  <c r="J222" i="2"/>
  <c r="I222" i="2"/>
  <c r="H222" i="2"/>
  <c r="Q221" i="2"/>
  <c r="P221" i="2"/>
  <c r="O221" i="2"/>
  <c r="N221" i="2"/>
  <c r="M221" i="2"/>
  <c r="L221" i="2"/>
  <c r="K221" i="2"/>
  <c r="J221" i="2"/>
  <c r="I221" i="2"/>
  <c r="H221" i="2"/>
  <c r="Q220" i="2"/>
  <c r="P220" i="2"/>
  <c r="O220" i="2"/>
  <c r="N220" i="2"/>
  <c r="M220" i="2"/>
  <c r="L220" i="2"/>
  <c r="K220" i="2"/>
  <c r="J220" i="2"/>
  <c r="I220" i="2"/>
  <c r="H220" i="2"/>
  <c r="Q219" i="2"/>
  <c r="P219" i="2"/>
  <c r="O219" i="2"/>
  <c r="N219" i="2"/>
  <c r="M219" i="2"/>
  <c r="L219" i="2"/>
  <c r="K219" i="2"/>
  <c r="J219" i="2"/>
  <c r="I219" i="2"/>
  <c r="H219" i="2"/>
  <c r="Q218" i="2"/>
  <c r="P218" i="2"/>
  <c r="O218" i="2"/>
  <c r="N218" i="2"/>
  <c r="M218" i="2"/>
  <c r="L218" i="2"/>
  <c r="K218" i="2"/>
  <c r="J218" i="2"/>
  <c r="I218" i="2"/>
  <c r="H218" i="2"/>
  <c r="Q217" i="2"/>
  <c r="P217" i="2"/>
  <c r="O217" i="2"/>
  <c r="N217" i="2"/>
  <c r="M217" i="2"/>
  <c r="L217" i="2"/>
  <c r="K217" i="2"/>
  <c r="J217" i="2"/>
  <c r="I217" i="2"/>
  <c r="H217" i="2"/>
  <c r="Q216" i="2"/>
  <c r="P216" i="2"/>
  <c r="O216" i="2"/>
  <c r="N216" i="2"/>
  <c r="M216" i="2"/>
  <c r="L216" i="2"/>
  <c r="K216" i="2"/>
  <c r="J216" i="2"/>
  <c r="I216" i="2"/>
  <c r="H216" i="2"/>
  <c r="Q215" i="2"/>
  <c r="P215" i="2"/>
  <c r="O215" i="2"/>
  <c r="N215" i="2"/>
  <c r="M215" i="2"/>
  <c r="L215" i="2"/>
  <c r="K215" i="2"/>
  <c r="J215" i="2"/>
  <c r="I215" i="2"/>
  <c r="H215" i="2"/>
  <c r="Q214" i="2"/>
  <c r="P214" i="2"/>
  <c r="O214" i="2"/>
  <c r="N214" i="2"/>
  <c r="M214" i="2"/>
  <c r="L214" i="2"/>
  <c r="K214" i="2"/>
  <c r="J214" i="2"/>
  <c r="I214" i="2"/>
  <c r="H214" i="2"/>
  <c r="Q213" i="2"/>
  <c r="P213" i="2"/>
  <c r="O213" i="2"/>
  <c r="N213" i="2"/>
  <c r="M213" i="2"/>
  <c r="L213" i="2"/>
  <c r="K213" i="2"/>
  <c r="J213" i="2"/>
  <c r="I213" i="2"/>
  <c r="H213" i="2"/>
  <c r="Q212" i="2"/>
  <c r="P212" i="2"/>
  <c r="O212" i="2"/>
  <c r="N212" i="2"/>
  <c r="M212" i="2"/>
  <c r="L212" i="2"/>
  <c r="K212" i="2"/>
  <c r="J212" i="2"/>
  <c r="I212" i="2"/>
  <c r="H212" i="2"/>
  <c r="Q211" i="2"/>
  <c r="P211" i="2"/>
  <c r="O211" i="2"/>
  <c r="N211" i="2"/>
  <c r="M211" i="2"/>
  <c r="L211" i="2"/>
  <c r="K211" i="2"/>
  <c r="J211" i="2"/>
  <c r="I211" i="2"/>
  <c r="H211" i="2"/>
  <c r="Q210" i="2"/>
  <c r="P210" i="2"/>
  <c r="O210" i="2"/>
  <c r="N210" i="2"/>
  <c r="M210" i="2"/>
  <c r="L210" i="2"/>
  <c r="K210" i="2"/>
  <c r="J210" i="2"/>
  <c r="I210" i="2"/>
  <c r="H210" i="2"/>
  <c r="Q209" i="2"/>
  <c r="P209" i="2"/>
  <c r="O209" i="2"/>
  <c r="N209" i="2"/>
  <c r="M209" i="2"/>
  <c r="L209" i="2"/>
  <c r="K209" i="2"/>
  <c r="J209" i="2"/>
  <c r="I209" i="2"/>
  <c r="H209" i="2"/>
  <c r="Q208" i="2"/>
  <c r="P208" i="2"/>
  <c r="O208" i="2"/>
  <c r="N208" i="2"/>
  <c r="M208" i="2"/>
  <c r="L208" i="2"/>
  <c r="K208" i="2"/>
  <c r="J208" i="2"/>
  <c r="I208" i="2"/>
  <c r="H208" i="2"/>
  <c r="Q207" i="2"/>
  <c r="P207" i="2"/>
  <c r="O207" i="2"/>
  <c r="N207" i="2"/>
  <c r="M207" i="2"/>
  <c r="L207" i="2"/>
  <c r="K207" i="2"/>
  <c r="J207" i="2"/>
  <c r="I207" i="2"/>
  <c r="H207" i="2"/>
  <c r="Q206" i="2"/>
  <c r="P206" i="2"/>
  <c r="O206" i="2"/>
  <c r="N206" i="2"/>
  <c r="M206" i="2"/>
  <c r="L206" i="2"/>
  <c r="K206" i="2"/>
  <c r="J206" i="2"/>
  <c r="I206" i="2"/>
  <c r="H206" i="2"/>
  <c r="Q205" i="2"/>
  <c r="P205" i="2"/>
  <c r="O205" i="2"/>
  <c r="N205" i="2"/>
  <c r="M205" i="2"/>
  <c r="L205" i="2"/>
  <c r="K205" i="2"/>
  <c r="J205" i="2"/>
  <c r="I205" i="2"/>
  <c r="H205" i="2"/>
  <c r="Q204" i="2"/>
  <c r="P204" i="2"/>
  <c r="O204" i="2"/>
  <c r="N204" i="2"/>
  <c r="M204" i="2"/>
  <c r="L204" i="2"/>
  <c r="K204" i="2"/>
  <c r="J204" i="2"/>
  <c r="I204" i="2"/>
  <c r="H204" i="2"/>
  <c r="Q203" i="2"/>
  <c r="P203" i="2"/>
  <c r="O203" i="2"/>
  <c r="N203" i="2"/>
  <c r="M203" i="2"/>
  <c r="L203" i="2"/>
  <c r="K203" i="2"/>
  <c r="J203" i="2"/>
  <c r="I203" i="2"/>
  <c r="H203" i="2"/>
  <c r="Q202" i="2"/>
  <c r="P202" i="2"/>
  <c r="O202" i="2"/>
  <c r="N202" i="2"/>
  <c r="M202" i="2"/>
  <c r="L202" i="2"/>
  <c r="K202" i="2"/>
  <c r="J202" i="2"/>
  <c r="I202" i="2"/>
  <c r="H202" i="2"/>
  <c r="Q201" i="2"/>
  <c r="P201" i="2"/>
  <c r="O201" i="2"/>
  <c r="N201" i="2"/>
  <c r="M201" i="2"/>
  <c r="L201" i="2"/>
  <c r="K201" i="2"/>
  <c r="J201" i="2"/>
  <c r="I201" i="2"/>
  <c r="H201" i="2"/>
  <c r="Q200" i="2"/>
  <c r="P200" i="2"/>
  <c r="O200" i="2"/>
  <c r="N200" i="2"/>
  <c r="M200" i="2"/>
  <c r="L200" i="2"/>
  <c r="K200" i="2"/>
  <c r="J200" i="2"/>
  <c r="I200" i="2"/>
  <c r="H200" i="2"/>
  <c r="Q199" i="2"/>
  <c r="P199" i="2"/>
  <c r="O199" i="2"/>
  <c r="N199" i="2"/>
  <c r="M199" i="2"/>
  <c r="L199" i="2"/>
  <c r="K199" i="2"/>
  <c r="J199" i="2"/>
  <c r="I199" i="2"/>
  <c r="H199" i="2"/>
  <c r="Q198" i="2"/>
  <c r="P198" i="2"/>
  <c r="O198" i="2"/>
  <c r="N198" i="2"/>
  <c r="M198" i="2"/>
  <c r="L198" i="2"/>
  <c r="K198" i="2"/>
  <c r="J198" i="2"/>
  <c r="I198" i="2"/>
  <c r="H198" i="2"/>
  <c r="Q197" i="2"/>
  <c r="P197" i="2"/>
  <c r="O197" i="2"/>
  <c r="N197" i="2"/>
  <c r="M197" i="2"/>
  <c r="L197" i="2"/>
  <c r="K197" i="2"/>
  <c r="J197" i="2"/>
  <c r="I197" i="2"/>
  <c r="H197" i="2"/>
  <c r="Q196" i="2"/>
  <c r="P196" i="2"/>
  <c r="O196" i="2"/>
  <c r="N196" i="2"/>
  <c r="M196" i="2"/>
  <c r="L196" i="2"/>
  <c r="K196" i="2"/>
  <c r="J196" i="2"/>
  <c r="I196" i="2"/>
  <c r="H196" i="2"/>
  <c r="Q195" i="2"/>
  <c r="P195" i="2"/>
  <c r="O195" i="2"/>
  <c r="N195" i="2"/>
  <c r="M195" i="2"/>
  <c r="L195" i="2"/>
  <c r="K195" i="2"/>
  <c r="J195" i="2"/>
  <c r="I195" i="2"/>
  <c r="H195" i="2"/>
  <c r="Q194" i="2"/>
  <c r="P194" i="2"/>
  <c r="O194" i="2"/>
  <c r="N194" i="2"/>
  <c r="M194" i="2"/>
  <c r="L194" i="2"/>
  <c r="K194" i="2"/>
  <c r="J194" i="2"/>
  <c r="I194" i="2"/>
  <c r="H194" i="2"/>
  <c r="Q193" i="2"/>
  <c r="P193" i="2"/>
  <c r="O193" i="2"/>
  <c r="N193" i="2"/>
  <c r="M193" i="2"/>
  <c r="L193" i="2"/>
  <c r="K193" i="2"/>
  <c r="J193" i="2"/>
  <c r="I193" i="2"/>
  <c r="H193" i="2"/>
  <c r="Q192" i="2"/>
  <c r="P192" i="2"/>
  <c r="O192" i="2"/>
  <c r="N192" i="2"/>
  <c r="M192" i="2"/>
  <c r="L192" i="2"/>
  <c r="K192" i="2"/>
  <c r="J192" i="2"/>
  <c r="I192" i="2"/>
  <c r="H192" i="2"/>
  <c r="Q191" i="2"/>
  <c r="P191" i="2"/>
  <c r="O191" i="2"/>
  <c r="N191" i="2"/>
  <c r="M191" i="2"/>
  <c r="L191" i="2"/>
  <c r="K191" i="2"/>
  <c r="J191" i="2"/>
  <c r="I191" i="2"/>
  <c r="H191" i="2"/>
  <c r="Q188" i="2"/>
  <c r="P188" i="2"/>
  <c r="O188" i="2"/>
  <c r="N188" i="2"/>
  <c r="M188" i="2"/>
  <c r="L188" i="2"/>
  <c r="K188" i="2"/>
  <c r="J188" i="2"/>
  <c r="I188" i="2"/>
  <c r="H188" i="2"/>
  <c r="Q187" i="2"/>
  <c r="P187" i="2"/>
  <c r="O187" i="2"/>
  <c r="N187" i="2"/>
  <c r="M187" i="2"/>
  <c r="L187" i="2"/>
  <c r="K187" i="2"/>
  <c r="J187" i="2"/>
  <c r="I187" i="2"/>
  <c r="H187" i="2"/>
  <c r="Q184" i="2"/>
  <c r="P184" i="2"/>
  <c r="O184" i="2"/>
  <c r="N184" i="2"/>
  <c r="M184" i="2"/>
  <c r="L184" i="2"/>
  <c r="K184" i="2"/>
  <c r="J184" i="2"/>
  <c r="I184" i="2"/>
  <c r="H184" i="2"/>
  <c r="Q183" i="2"/>
  <c r="P183" i="2"/>
  <c r="O183" i="2"/>
  <c r="N183" i="2"/>
  <c r="M183" i="2"/>
  <c r="L183" i="2"/>
  <c r="K183" i="2"/>
  <c r="J183" i="2"/>
  <c r="I183" i="2"/>
  <c r="H183" i="2"/>
  <c r="Q182" i="2"/>
  <c r="P182" i="2"/>
  <c r="O182" i="2"/>
  <c r="N182" i="2"/>
  <c r="M182" i="2"/>
  <c r="L182" i="2"/>
  <c r="K182" i="2"/>
  <c r="J182" i="2"/>
  <c r="I182" i="2"/>
  <c r="H182" i="2"/>
  <c r="Q181" i="2"/>
  <c r="P181" i="2"/>
  <c r="O181" i="2"/>
  <c r="N181" i="2"/>
  <c r="M181" i="2"/>
  <c r="L181" i="2"/>
  <c r="K181" i="2"/>
  <c r="J181" i="2"/>
  <c r="I181" i="2"/>
  <c r="H181" i="2"/>
  <c r="Q180" i="2"/>
  <c r="P180" i="2"/>
  <c r="O180" i="2"/>
  <c r="N180" i="2"/>
  <c r="M180" i="2"/>
  <c r="L180" i="2"/>
  <c r="K180" i="2"/>
  <c r="J180" i="2"/>
  <c r="I180" i="2"/>
  <c r="H180" i="2"/>
  <c r="Q179" i="2"/>
  <c r="P179" i="2"/>
  <c r="O179" i="2"/>
  <c r="N179" i="2"/>
  <c r="M179" i="2"/>
  <c r="L179" i="2"/>
  <c r="K179" i="2"/>
  <c r="J179" i="2"/>
  <c r="I179" i="2"/>
  <c r="H179" i="2"/>
  <c r="Q178" i="2"/>
  <c r="P178" i="2"/>
  <c r="O178" i="2"/>
  <c r="N178" i="2"/>
  <c r="M178" i="2"/>
  <c r="L178" i="2"/>
  <c r="K178" i="2"/>
  <c r="J178" i="2"/>
  <c r="I178" i="2"/>
  <c r="H178" i="2"/>
  <c r="Q177" i="2"/>
  <c r="P177" i="2"/>
  <c r="O177" i="2"/>
  <c r="N177" i="2"/>
  <c r="M177" i="2"/>
  <c r="L177" i="2"/>
  <c r="K177" i="2"/>
  <c r="J177" i="2"/>
  <c r="I177" i="2"/>
  <c r="H177" i="2"/>
  <c r="Q176" i="2"/>
  <c r="P176" i="2"/>
  <c r="O176" i="2"/>
  <c r="N176" i="2"/>
  <c r="M176" i="2"/>
  <c r="L176" i="2"/>
  <c r="K176" i="2"/>
  <c r="J176" i="2"/>
  <c r="I176" i="2"/>
  <c r="H176" i="2"/>
  <c r="Q175" i="2"/>
  <c r="P175" i="2"/>
  <c r="O175" i="2"/>
  <c r="N175" i="2"/>
  <c r="M175" i="2"/>
  <c r="L175" i="2"/>
  <c r="K175" i="2"/>
  <c r="J175" i="2"/>
  <c r="I175" i="2"/>
  <c r="H175" i="2"/>
  <c r="Q174" i="2"/>
  <c r="P174" i="2"/>
  <c r="O174" i="2"/>
  <c r="N174" i="2"/>
  <c r="M174" i="2"/>
  <c r="L174" i="2"/>
  <c r="K174" i="2"/>
  <c r="J174" i="2"/>
  <c r="I174" i="2"/>
  <c r="H174" i="2"/>
  <c r="Q173" i="2"/>
  <c r="P173" i="2"/>
  <c r="O173" i="2"/>
  <c r="N173" i="2"/>
  <c r="M173" i="2"/>
  <c r="L173" i="2"/>
  <c r="K173" i="2"/>
  <c r="J173" i="2"/>
  <c r="I173" i="2"/>
  <c r="H173" i="2"/>
  <c r="Q170" i="2"/>
  <c r="P170" i="2"/>
  <c r="O170" i="2"/>
  <c r="N170" i="2"/>
  <c r="M170" i="2"/>
  <c r="L170" i="2"/>
  <c r="K170" i="2"/>
  <c r="J170" i="2"/>
  <c r="I170" i="2"/>
  <c r="H170" i="2"/>
  <c r="Q167" i="2"/>
  <c r="P167" i="2"/>
  <c r="O167" i="2"/>
  <c r="N167" i="2"/>
  <c r="M167" i="2"/>
  <c r="L167" i="2"/>
  <c r="K167" i="2"/>
  <c r="J167" i="2"/>
  <c r="I167" i="2"/>
  <c r="H167" i="2"/>
  <c r="Q164" i="2"/>
  <c r="P164" i="2"/>
  <c r="O164" i="2"/>
  <c r="N164" i="2"/>
  <c r="M164" i="2"/>
  <c r="L164" i="2"/>
  <c r="K164" i="2"/>
  <c r="J164" i="2"/>
  <c r="I164" i="2"/>
  <c r="H164" i="2"/>
  <c r="Q163" i="2"/>
  <c r="P163" i="2"/>
  <c r="O163" i="2"/>
  <c r="N163" i="2"/>
  <c r="M163" i="2"/>
  <c r="L163" i="2"/>
  <c r="K163" i="2"/>
  <c r="J163" i="2"/>
  <c r="I163" i="2"/>
  <c r="H163" i="2"/>
  <c r="Q162" i="2"/>
  <c r="P162" i="2"/>
  <c r="O162" i="2"/>
  <c r="N162" i="2"/>
  <c r="M162" i="2"/>
  <c r="L162" i="2"/>
  <c r="K162" i="2"/>
  <c r="J162" i="2"/>
  <c r="I162" i="2"/>
  <c r="H162" i="2"/>
  <c r="Q161" i="2"/>
  <c r="P161" i="2"/>
  <c r="O161" i="2"/>
  <c r="N161" i="2"/>
  <c r="M161" i="2"/>
  <c r="L161" i="2"/>
  <c r="K161" i="2"/>
  <c r="J161" i="2"/>
  <c r="I161" i="2"/>
  <c r="H161" i="2"/>
  <c r="Q160" i="2"/>
  <c r="P160" i="2"/>
  <c r="O160" i="2"/>
  <c r="N160" i="2"/>
  <c r="M160" i="2"/>
  <c r="L160" i="2"/>
  <c r="K160" i="2"/>
  <c r="J160" i="2"/>
  <c r="I160" i="2"/>
  <c r="H160" i="2"/>
  <c r="Q159" i="2"/>
  <c r="P159" i="2"/>
  <c r="O159" i="2"/>
  <c r="N159" i="2"/>
  <c r="M159" i="2"/>
  <c r="L159" i="2"/>
  <c r="K159" i="2"/>
  <c r="J159" i="2"/>
  <c r="I159" i="2"/>
  <c r="H159" i="2"/>
  <c r="Q156" i="2"/>
  <c r="P156" i="2"/>
  <c r="O156" i="2"/>
  <c r="N156" i="2"/>
  <c r="M156" i="2"/>
  <c r="L156" i="2"/>
  <c r="K156" i="2"/>
  <c r="J156" i="2"/>
  <c r="I156" i="2"/>
  <c r="H156" i="2"/>
  <c r="Q155" i="2"/>
  <c r="P155" i="2"/>
  <c r="O155" i="2"/>
  <c r="N155" i="2"/>
  <c r="M155" i="2"/>
  <c r="L155" i="2"/>
  <c r="K155" i="2"/>
  <c r="J155" i="2"/>
  <c r="I155" i="2"/>
  <c r="H155" i="2"/>
  <c r="Q154" i="2"/>
  <c r="P154" i="2"/>
  <c r="O154" i="2"/>
  <c r="N154" i="2"/>
  <c r="M154" i="2"/>
  <c r="L154" i="2"/>
  <c r="K154" i="2"/>
  <c r="J154" i="2"/>
  <c r="I154" i="2"/>
  <c r="H154" i="2"/>
  <c r="Q153" i="2"/>
  <c r="P153" i="2"/>
  <c r="O153" i="2"/>
  <c r="N153" i="2"/>
  <c r="M153" i="2"/>
  <c r="L153" i="2"/>
  <c r="K153" i="2"/>
  <c r="J153" i="2"/>
  <c r="I153" i="2"/>
  <c r="H153" i="2"/>
  <c r="Q152" i="2"/>
  <c r="P152" i="2"/>
  <c r="O152" i="2"/>
  <c r="N152" i="2"/>
  <c r="M152" i="2"/>
  <c r="L152" i="2"/>
  <c r="K152" i="2"/>
  <c r="J152" i="2"/>
  <c r="I152" i="2"/>
  <c r="H152" i="2"/>
  <c r="Q151" i="2"/>
  <c r="P151" i="2"/>
  <c r="O151" i="2"/>
  <c r="N151" i="2"/>
  <c r="M151" i="2"/>
  <c r="L151" i="2"/>
  <c r="K151" i="2"/>
  <c r="J151" i="2"/>
  <c r="I151" i="2"/>
  <c r="H151" i="2"/>
  <c r="Q150" i="2"/>
  <c r="P150" i="2"/>
  <c r="O150" i="2"/>
  <c r="N150" i="2"/>
  <c r="M150" i="2"/>
  <c r="L150" i="2"/>
  <c r="K150" i="2"/>
  <c r="J150" i="2"/>
  <c r="I150" i="2"/>
  <c r="H150" i="2"/>
  <c r="Q149" i="2"/>
  <c r="P149" i="2"/>
  <c r="O149" i="2"/>
  <c r="N149" i="2"/>
  <c r="M149" i="2"/>
  <c r="L149" i="2"/>
  <c r="K149" i="2"/>
  <c r="J149" i="2"/>
  <c r="I149" i="2"/>
  <c r="H149" i="2"/>
  <c r="Q148" i="2"/>
  <c r="P148" i="2"/>
  <c r="O148" i="2"/>
  <c r="N148" i="2"/>
  <c r="M148" i="2"/>
  <c r="L148" i="2"/>
  <c r="K148" i="2"/>
  <c r="J148" i="2"/>
  <c r="I148" i="2"/>
  <c r="H148" i="2"/>
  <c r="Q147" i="2"/>
  <c r="P147" i="2"/>
  <c r="O147" i="2"/>
  <c r="N147" i="2"/>
  <c r="M147" i="2"/>
  <c r="L147" i="2"/>
  <c r="K147" i="2"/>
  <c r="J147" i="2"/>
  <c r="I147" i="2"/>
  <c r="H147" i="2"/>
  <c r="Q146" i="2"/>
  <c r="P146" i="2"/>
  <c r="O146" i="2"/>
  <c r="N146" i="2"/>
  <c r="M146" i="2"/>
  <c r="L146" i="2"/>
  <c r="K146" i="2"/>
  <c r="J146" i="2"/>
  <c r="I146" i="2"/>
  <c r="H146" i="2"/>
  <c r="Q145" i="2"/>
  <c r="P145" i="2"/>
  <c r="O145" i="2"/>
  <c r="N145" i="2"/>
  <c r="M145" i="2"/>
  <c r="L145" i="2"/>
  <c r="K145" i="2"/>
  <c r="J145" i="2"/>
  <c r="I145" i="2"/>
  <c r="H145" i="2"/>
  <c r="Q144" i="2"/>
  <c r="P144" i="2"/>
  <c r="O144" i="2"/>
  <c r="N144" i="2"/>
  <c r="M144" i="2"/>
  <c r="L144" i="2"/>
  <c r="K144" i="2"/>
  <c r="J144" i="2"/>
  <c r="I144" i="2"/>
  <c r="H144" i="2"/>
  <c r="H141" i="2"/>
  <c r="H140" i="2"/>
  <c r="H139" i="2"/>
  <c r="H138" i="2"/>
  <c r="H137" i="2"/>
  <c r="H136" i="2"/>
  <c r="H135" i="2"/>
  <c r="Q134" i="2"/>
  <c r="P134" i="2"/>
  <c r="O134" i="2"/>
  <c r="N134" i="2"/>
  <c r="M134" i="2"/>
  <c r="L134" i="2"/>
  <c r="K134" i="2"/>
  <c r="J134" i="2"/>
  <c r="I134" i="2"/>
  <c r="H134" i="2"/>
  <c r="Q133" i="2"/>
  <c r="P133" i="2"/>
  <c r="O133" i="2"/>
  <c r="N133" i="2"/>
  <c r="M133" i="2"/>
  <c r="L133" i="2"/>
  <c r="K133" i="2"/>
  <c r="J133" i="2"/>
  <c r="I133" i="2"/>
  <c r="H133" i="2"/>
  <c r="Q132" i="2"/>
  <c r="P132" i="2"/>
  <c r="O132" i="2"/>
  <c r="N132" i="2"/>
  <c r="M132" i="2"/>
  <c r="L132" i="2"/>
  <c r="K132" i="2"/>
  <c r="J132" i="2"/>
  <c r="I132" i="2"/>
  <c r="H132" i="2"/>
  <c r="Q131" i="2"/>
  <c r="P131" i="2"/>
  <c r="O131" i="2"/>
  <c r="N131" i="2"/>
  <c r="M131" i="2"/>
  <c r="L131" i="2"/>
  <c r="K131" i="2"/>
  <c r="J131" i="2"/>
  <c r="I131" i="2"/>
  <c r="H131" i="2"/>
  <c r="Q130" i="2"/>
  <c r="P130" i="2"/>
  <c r="O130" i="2"/>
  <c r="N130" i="2"/>
  <c r="M130" i="2"/>
  <c r="L130" i="2"/>
  <c r="K130" i="2"/>
  <c r="J130" i="2"/>
  <c r="I130" i="2"/>
  <c r="H130" i="2"/>
  <c r="Q129" i="2"/>
  <c r="P129" i="2"/>
  <c r="O129" i="2"/>
  <c r="N129" i="2"/>
  <c r="M129" i="2"/>
  <c r="L129" i="2"/>
  <c r="K129" i="2"/>
  <c r="J129" i="2"/>
  <c r="I129" i="2"/>
  <c r="H129" i="2"/>
  <c r="Q128" i="2"/>
  <c r="P128" i="2"/>
  <c r="O128" i="2"/>
  <c r="N128" i="2"/>
  <c r="M128" i="2"/>
  <c r="L128" i="2"/>
  <c r="K128" i="2"/>
  <c r="J128" i="2"/>
  <c r="I128" i="2"/>
  <c r="H128" i="2"/>
  <c r="Q127" i="2"/>
  <c r="P127" i="2"/>
  <c r="O127" i="2"/>
  <c r="N127" i="2"/>
  <c r="M127" i="2"/>
  <c r="L127" i="2"/>
  <c r="K127" i="2"/>
  <c r="J127" i="2"/>
  <c r="I127" i="2"/>
  <c r="H127" i="2"/>
  <c r="Q126" i="2"/>
  <c r="P126" i="2"/>
  <c r="O126" i="2"/>
  <c r="N126" i="2"/>
  <c r="M126" i="2"/>
  <c r="L126" i="2"/>
  <c r="K126" i="2"/>
  <c r="J126" i="2"/>
  <c r="I126" i="2"/>
  <c r="H126" i="2"/>
  <c r="Q125" i="2"/>
  <c r="P125" i="2"/>
  <c r="O125" i="2"/>
  <c r="N125" i="2"/>
  <c r="M125" i="2"/>
  <c r="L125" i="2"/>
  <c r="K125" i="2"/>
  <c r="J125" i="2"/>
  <c r="I125" i="2"/>
  <c r="H125" i="2"/>
  <c r="Q124" i="2"/>
  <c r="P124" i="2"/>
  <c r="O124" i="2"/>
  <c r="N124" i="2"/>
  <c r="M124" i="2"/>
  <c r="L124" i="2"/>
  <c r="K124" i="2"/>
  <c r="J124" i="2"/>
  <c r="I124" i="2"/>
  <c r="H124" i="2"/>
  <c r="Q123" i="2"/>
  <c r="P123" i="2"/>
  <c r="O123" i="2"/>
  <c r="N123" i="2"/>
  <c r="M123" i="2"/>
  <c r="L123" i="2"/>
  <c r="K123" i="2"/>
  <c r="J123" i="2"/>
  <c r="I123" i="2"/>
  <c r="H123" i="2"/>
  <c r="Q122" i="2"/>
  <c r="P122" i="2"/>
  <c r="O122" i="2"/>
  <c r="N122" i="2"/>
  <c r="M122" i="2"/>
  <c r="L122" i="2"/>
  <c r="K122" i="2"/>
  <c r="J122" i="2"/>
  <c r="I122" i="2"/>
  <c r="H122" i="2"/>
  <c r="Q119" i="2"/>
  <c r="P119" i="2"/>
  <c r="O119" i="2"/>
  <c r="N119" i="2"/>
  <c r="M119" i="2"/>
  <c r="L119" i="2"/>
  <c r="K119" i="2"/>
  <c r="J119" i="2"/>
  <c r="I119" i="2"/>
  <c r="H119" i="2"/>
  <c r="Q118" i="2"/>
  <c r="P118" i="2"/>
  <c r="O118" i="2"/>
  <c r="N118" i="2"/>
  <c r="M118" i="2"/>
  <c r="L118" i="2"/>
  <c r="K118" i="2"/>
  <c r="J118" i="2"/>
  <c r="I118" i="2"/>
  <c r="H118" i="2"/>
  <c r="Q117" i="2"/>
  <c r="P117" i="2"/>
  <c r="O117" i="2"/>
  <c r="N117" i="2"/>
  <c r="M117" i="2"/>
  <c r="L117" i="2"/>
  <c r="K117" i="2"/>
  <c r="J117" i="2"/>
  <c r="I117" i="2"/>
  <c r="H117" i="2"/>
  <c r="Q116" i="2"/>
  <c r="P116" i="2"/>
  <c r="O116" i="2"/>
  <c r="N116" i="2"/>
  <c r="M116" i="2"/>
  <c r="L116" i="2"/>
  <c r="K116" i="2"/>
  <c r="J116" i="2"/>
  <c r="I116" i="2"/>
  <c r="H116" i="2"/>
  <c r="Q115" i="2"/>
  <c r="P115" i="2"/>
  <c r="O115" i="2"/>
  <c r="N115" i="2"/>
  <c r="M115" i="2"/>
  <c r="L115" i="2"/>
  <c r="K115" i="2"/>
  <c r="J115" i="2"/>
  <c r="I115" i="2"/>
  <c r="H115" i="2"/>
  <c r="Q114" i="2"/>
  <c r="P114" i="2"/>
  <c r="O114" i="2"/>
  <c r="N114" i="2"/>
  <c r="M114" i="2"/>
  <c r="L114" i="2"/>
  <c r="K114" i="2"/>
  <c r="J114" i="2"/>
  <c r="I114" i="2"/>
  <c r="H114" i="2"/>
  <c r="Q113" i="2"/>
  <c r="P113" i="2"/>
  <c r="O113" i="2"/>
  <c r="N113" i="2"/>
  <c r="M113" i="2"/>
  <c r="L113" i="2"/>
  <c r="K113" i="2"/>
  <c r="J113" i="2"/>
  <c r="I113" i="2"/>
  <c r="H113" i="2"/>
  <c r="Q106" i="2"/>
  <c r="P106" i="2"/>
  <c r="O106" i="2"/>
  <c r="N106" i="2"/>
  <c r="M106" i="2"/>
  <c r="L106" i="2"/>
  <c r="K106" i="2"/>
  <c r="J106" i="2"/>
  <c r="I106" i="2"/>
  <c r="H106" i="2"/>
  <c r="Q103" i="2"/>
  <c r="P103" i="2"/>
  <c r="O103" i="2"/>
  <c r="N103" i="2"/>
  <c r="M103" i="2"/>
  <c r="L103" i="2"/>
  <c r="K103" i="2"/>
  <c r="J103" i="2"/>
  <c r="I103" i="2"/>
  <c r="H103" i="2"/>
  <c r="Q102" i="2"/>
  <c r="P102" i="2"/>
  <c r="O102" i="2"/>
  <c r="N102" i="2"/>
  <c r="M102" i="2"/>
  <c r="L102" i="2"/>
  <c r="K102" i="2"/>
  <c r="J102" i="2"/>
  <c r="I102" i="2"/>
  <c r="H102" i="2"/>
  <c r="Q99" i="2"/>
  <c r="P99" i="2"/>
  <c r="O99" i="2"/>
  <c r="N99" i="2"/>
  <c r="M99" i="2"/>
  <c r="L99" i="2"/>
  <c r="K99" i="2"/>
  <c r="J99" i="2"/>
  <c r="I99" i="2"/>
  <c r="H99" i="2"/>
  <c r="Q98" i="2"/>
  <c r="P98" i="2"/>
  <c r="O98" i="2"/>
  <c r="N98" i="2"/>
  <c r="M98" i="2"/>
  <c r="L98" i="2"/>
  <c r="K98" i="2"/>
  <c r="J98" i="2"/>
  <c r="I98" i="2"/>
  <c r="H98" i="2"/>
  <c r="Q97" i="2"/>
  <c r="P97" i="2"/>
  <c r="O97" i="2"/>
  <c r="N97" i="2"/>
  <c r="M97" i="2"/>
  <c r="L97" i="2"/>
  <c r="K97" i="2"/>
  <c r="J97" i="2"/>
  <c r="I97" i="2"/>
  <c r="H97" i="2"/>
  <c r="Q96" i="2"/>
  <c r="P96" i="2"/>
  <c r="O96" i="2"/>
  <c r="N96" i="2"/>
  <c r="M96" i="2"/>
  <c r="L96" i="2"/>
  <c r="K96" i="2"/>
  <c r="J96" i="2"/>
  <c r="I96" i="2"/>
  <c r="H96" i="2"/>
  <c r="Q95" i="2"/>
  <c r="P95" i="2"/>
  <c r="O95" i="2"/>
  <c r="N95" i="2"/>
  <c r="M95" i="2"/>
  <c r="L95" i="2"/>
  <c r="K95" i="2"/>
  <c r="J95" i="2"/>
  <c r="I95" i="2"/>
  <c r="H95" i="2"/>
  <c r="Q94" i="2"/>
  <c r="P94" i="2"/>
  <c r="O94" i="2"/>
  <c r="N94" i="2"/>
  <c r="M94" i="2"/>
  <c r="L94" i="2"/>
  <c r="K94" i="2"/>
  <c r="J94" i="2"/>
  <c r="I94" i="2"/>
  <c r="H94" i="2"/>
  <c r="Q93" i="2"/>
  <c r="P93" i="2"/>
  <c r="O93" i="2"/>
  <c r="N93" i="2"/>
  <c r="M93" i="2"/>
  <c r="L93" i="2"/>
  <c r="K93" i="2"/>
  <c r="J93" i="2"/>
  <c r="I93" i="2"/>
  <c r="H93" i="2"/>
  <c r="Q92" i="2"/>
  <c r="P92" i="2"/>
  <c r="O92" i="2"/>
  <c r="N92" i="2"/>
  <c r="M92" i="2"/>
  <c r="L92" i="2"/>
  <c r="K92" i="2"/>
  <c r="J92" i="2"/>
  <c r="I92" i="2"/>
  <c r="H92" i="2"/>
  <c r="Q91" i="2"/>
  <c r="P91" i="2"/>
  <c r="O91" i="2"/>
  <c r="N91" i="2"/>
  <c r="M91" i="2"/>
  <c r="L91" i="2"/>
  <c r="K91" i="2"/>
  <c r="J91" i="2"/>
  <c r="I91" i="2"/>
  <c r="H91" i="2"/>
  <c r="Q90" i="2"/>
  <c r="P90" i="2"/>
  <c r="O90" i="2"/>
  <c r="N90" i="2"/>
  <c r="M90" i="2"/>
  <c r="L90" i="2"/>
  <c r="K90" i="2"/>
  <c r="J90" i="2"/>
  <c r="I90" i="2"/>
  <c r="H90" i="2"/>
  <c r="Q89" i="2"/>
  <c r="P89" i="2"/>
  <c r="O89" i="2"/>
  <c r="N89" i="2"/>
  <c r="M89" i="2"/>
  <c r="L89" i="2"/>
  <c r="K89" i="2"/>
  <c r="J89" i="2"/>
  <c r="I89" i="2"/>
  <c r="H89" i="2"/>
  <c r="Q88" i="2"/>
  <c r="P88" i="2"/>
  <c r="O88" i="2"/>
  <c r="N88" i="2"/>
  <c r="M88" i="2"/>
  <c r="L88" i="2"/>
  <c r="K88" i="2"/>
  <c r="J88" i="2"/>
  <c r="I88" i="2"/>
  <c r="H88" i="2"/>
  <c r="Q85" i="2"/>
  <c r="P85" i="2"/>
  <c r="O85" i="2"/>
  <c r="N85" i="2"/>
  <c r="M85" i="2"/>
  <c r="L85" i="2"/>
  <c r="K85" i="2"/>
  <c r="J85" i="2"/>
  <c r="I85" i="2"/>
  <c r="H85" i="2"/>
  <c r="Q84" i="2"/>
  <c r="P84" i="2"/>
  <c r="O84" i="2"/>
  <c r="N84" i="2"/>
  <c r="M84" i="2"/>
  <c r="L84" i="2"/>
  <c r="K84" i="2"/>
  <c r="J84" i="2"/>
  <c r="I84" i="2"/>
  <c r="H84" i="2"/>
  <c r="Q83" i="2"/>
  <c r="P83" i="2"/>
  <c r="O83" i="2"/>
  <c r="N83" i="2"/>
  <c r="M83" i="2"/>
  <c r="L83" i="2"/>
  <c r="K83" i="2"/>
  <c r="J83" i="2"/>
  <c r="I83" i="2"/>
  <c r="H83" i="2"/>
  <c r="Q82" i="2"/>
  <c r="P82" i="2"/>
  <c r="O82" i="2"/>
  <c r="N82" i="2"/>
  <c r="M82" i="2"/>
  <c r="L82" i="2"/>
  <c r="K82" i="2"/>
  <c r="J82" i="2"/>
  <c r="I82" i="2"/>
  <c r="H82" i="2"/>
  <c r="Q81" i="2"/>
  <c r="P81" i="2"/>
  <c r="O81" i="2"/>
  <c r="N81" i="2"/>
  <c r="M81" i="2"/>
  <c r="L81" i="2"/>
  <c r="K81" i="2"/>
  <c r="J81" i="2"/>
  <c r="I81" i="2"/>
  <c r="H81" i="2"/>
  <c r="Q80" i="2"/>
  <c r="P80" i="2"/>
  <c r="O80" i="2"/>
  <c r="N80" i="2"/>
  <c r="M80" i="2"/>
  <c r="L80" i="2"/>
  <c r="K80" i="2"/>
  <c r="J80" i="2"/>
  <c r="I80" i="2"/>
  <c r="H80" i="2"/>
  <c r="Q79" i="2"/>
  <c r="P79" i="2"/>
  <c r="O79" i="2"/>
  <c r="N79" i="2"/>
  <c r="M79" i="2"/>
  <c r="L79" i="2"/>
  <c r="K79" i="2"/>
  <c r="J79" i="2"/>
  <c r="I79" i="2"/>
  <c r="H79" i="2"/>
  <c r="Q78" i="2"/>
  <c r="P78" i="2"/>
  <c r="O78" i="2"/>
  <c r="N78" i="2"/>
  <c r="M78" i="2"/>
  <c r="L78" i="2"/>
  <c r="K78" i="2"/>
  <c r="J78" i="2"/>
  <c r="I78" i="2"/>
  <c r="H78" i="2"/>
  <c r="Q77" i="2"/>
  <c r="P77" i="2"/>
  <c r="O77" i="2"/>
  <c r="N77" i="2"/>
  <c r="M77" i="2"/>
  <c r="L77" i="2"/>
  <c r="K77" i="2"/>
  <c r="J77" i="2"/>
  <c r="I77" i="2"/>
  <c r="H77" i="2"/>
  <c r="Q74" i="2"/>
  <c r="P74" i="2"/>
  <c r="O74" i="2"/>
  <c r="N74" i="2"/>
  <c r="M74" i="2"/>
  <c r="L74" i="2"/>
  <c r="K74" i="2"/>
  <c r="J74" i="2"/>
  <c r="I74" i="2"/>
  <c r="H74" i="2"/>
  <c r="Q73" i="2"/>
  <c r="P73" i="2"/>
  <c r="O73" i="2"/>
  <c r="N73" i="2"/>
  <c r="M73" i="2"/>
  <c r="L73" i="2"/>
  <c r="K73" i="2"/>
  <c r="J73" i="2"/>
  <c r="I73" i="2"/>
  <c r="H73" i="2"/>
  <c r="Q72" i="2"/>
  <c r="P72" i="2"/>
  <c r="O72" i="2"/>
  <c r="N72" i="2"/>
  <c r="M72" i="2"/>
  <c r="L72" i="2"/>
  <c r="K72" i="2"/>
  <c r="J72" i="2"/>
  <c r="I72" i="2"/>
  <c r="H72" i="2"/>
  <c r="Q71" i="2"/>
  <c r="P71" i="2"/>
  <c r="O71" i="2"/>
  <c r="N71" i="2"/>
  <c r="M71" i="2"/>
  <c r="L71" i="2"/>
  <c r="K71" i="2"/>
  <c r="J71" i="2"/>
  <c r="I71" i="2"/>
  <c r="H71" i="2"/>
  <c r="Q70" i="2"/>
  <c r="P70" i="2"/>
  <c r="O70" i="2"/>
  <c r="N70" i="2"/>
  <c r="M70" i="2"/>
  <c r="L70" i="2"/>
  <c r="K70" i="2"/>
  <c r="J70" i="2"/>
  <c r="I70" i="2"/>
  <c r="H70" i="2"/>
  <c r="Q69" i="2"/>
  <c r="P69" i="2"/>
  <c r="O69" i="2"/>
  <c r="N69" i="2"/>
  <c r="M69" i="2"/>
  <c r="L69" i="2"/>
  <c r="K69" i="2"/>
  <c r="J69" i="2"/>
  <c r="I69" i="2"/>
  <c r="H69" i="2"/>
  <c r="Q68" i="2"/>
  <c r="P68" i="2"/>
  <c r="O68" i="2"/>
  <c r="N68" i="2"/>
  <c r="M68" i="2"/>
  <c r="L68" i="2"/>
  <c r="K68" i="2"/>
  <c r="J68" i="2"/>
  <c r="I68" i="2"/>
  <c r="H68" i="2"/>
  <c r="Q67" i="2"/>
  <c r="P67" i="2"/>
  <c r="O67" i="2"/>
  <c r="N67" i="2"/>
  <c r="M67" i="2"/>
  <c r="L67" i="2"/>
  <c r="K67" i="2"/>
  <c r="J67" i="2"/>
  <c r="I67" i="2"/>
  <c r="H67" i="2"/>
  <c r="Q66" i="2"/>
  <c r="P66" i="2"/>
  <c r="O66" i="2"/>
  <c r="N66" i="2"/>
  <c r="M66" i="2"/>
  <c r="L66" i="2"/>
  <c r="K66" i="2"/>
  <c r="J66" i="2"/>
  <c r="I66" i="2"/>
  <c r="H66" i="2"/>
  <c r="Q65" i="2"/>
  <c r="P65" i="2"/>
  <c r="O65" i="2"/>
  <c r="N65" i="2"/>
  <c r="M65" i="2"/>
  <c r="L65" i="2"/>
  <c r="K65" i="2"/>
  <c r="J65" i="2"/>
  <c r="I65" i="2"/>
  <c r="H65" i="2"/>
  <c r="Q64" i="2"/>
  <c r="P64" i="2"/>
  <c r="O64" i="2"/>
  <c r="N64" i="2"/>
  <c r="M64" i="2"/>
  <c r="L64" i="2"/>
  <c r="K64" i="2"/>
  <c r="J64" i="2"/>
  <c r="I64" i="2"/>
  <c r="H64" i="2"/>
  <c r="Q63" i="2"/>
  <c r="P63" i="2"/>
  <c r="O63" i="2"/>
  <c r="N63" i="2"/>
  <c r="M63" i="2"/>
  <c r="L63" i="2"/>
  <c r="K63" i="2"/>
  <c r="J63" i="2"/>
  <c r="I63" i="2"/>
  <c r="H63" i="2"/>
  <c r="Q62" i="2"/>
  <c r="P62" i="2"/>
  <c r="O62" i="2"/>
  <c r="N62" i="2"/>
  <c r="M62" i="2"/>
  <c r="L62" i="2"/>
  <c r="K62" i="2"/>
  <c r="J62" i="2"/>
  <c r="I62" i="2"/>
  <c r="H62" i="2"/>
  <c r="Q61" i="2"/>
  <c r="P61" i="2"/>
  <c r="O61" i="2"/>
  <c r="N61" i="2"/>
  <c r="M61" i="2"/>
  <c r="L61" i="2"/>
  <c r="K61" i="2"/>
  <c r="J61" i="2"/>
  <c r="I61" i="2"/>
  <c r="H61" i="2"/>
  <c r="Q60" i="2"/>
  <c r="P60" i="2"/>
  <c r="O60" i="2"/>
  <c r="N60" i="2"/>
  <c r="M60" i="2"/>
  <c r="L60" i="2"/>
  <c r="K60" i="2"/>
  <c r="J60" i="2"/>
  <c r="I60" i="2"/>
  <c r="H60" i="2"/>
  <c r="Q59" i="2"/>
  <c r="P59" i="2"/>
  <c r="O59" i="2"/>
  <c r="N59" i="2"/>
  <c r="M59" i="2"/>
  <c r="L59" i="2"/>
  <c r="K59" i="2"/>
  <c r="J59" i="2"/>
  <c r="I59" i="2"/>
  <c r="H59" i="2"/>
  <c r="Q56" i="2"/>
  <c r="P56" i="2"/>
  <c r="O56" i="2"/>
  <c r="N56" i="2"/>
  <c r="M56" i="2"/>
  <c r="L56" i="2"/>
  <c r="K56" i="2"/>
  <c r="J56" i="2"/>
  <c r="I56" i="2"/>
  <c r="H56" i="2"/>
  <c r="Q55" i="2"/>
  <c r="P55" i="2"/>
  <c r="O55" i="2"/>
  <c r="N55" i="2"/>
  <c r="M55" i="2"/>
  <c r="L55" i="2"/>
  <c r="K55" i="2"/>
  <c r="J55" i="2"/>
  <c r="I55" i="2"/>
  <c r="H55" i="2"/>
  <c r="Q54" i="2"/>
  <c r="P54" i="2"/>
  <c r="O54" i="2"/>
  <c r="N54" i="2"/>
  <c r="M54" i="2"/>
  <c r="L54" i="2"/>
  <c r="K54" i="2"/>
  <c r="J54" i="2"/>
  <c r="I54" i="2"/>
  <c r="H54" i="2"/>
  <c r="Q53" i="2"/>
  <c r="P53" i="2"/>
  <c r="O53" i="2"/>
  <c r="N53" i="2"/>
  <c r="M53" i="2"/>
  <c r="L53" i="2"/>
  <c r="K53" i="2"/>
  <c r="J53" i="2"/>
  <c r="I53" i="2"/>
  <c r="H53" i="2"/>
  <c r="Q52" i="2"/>
  <c r="P52" i="2"/>
  <c r="O52" i="2"/>
  <c r="N52" i="2"/>
  <c r="M52" i="2"/>
  <c r="L52" i="2"/>
  <c r="K52" i="2"/>
  <c r="J52" i="2"/>
  <c r="I52" i="2"/>
  <c r="H52" i="2"/>
  <c r="Q51" i="2"/>
  <c r="P51" i="2"/>
  <c r="O51" i="2"/>
  <c r="N51" i="2"/>
  <c r="M51" i="2"/>
  <c r="L51" i="2"/>
  <c r="K51" i="2"/>
  <c r="J51" i="2"/>
  <c r="I51" i="2"/>
  <c r="H51" i="2"/>
  <c r="Q48" i="2"/>
  <c r="P48" i="2"/>
  <c r="O48" i="2"/>
  <c r="N48" i="2"/>
  <c r="M48" i="2"/>
  <c r="L48" i="2"/>
  <c r="K48" i="2"/>
  <c r="J48" i="2"/>
  <c r="I48" i="2"/>
  <c r="H48" i="2"/>
  <c r="Q47" i="2"/>
  <c r="P47" i="2"/>
  <c r="O47" i="2"/>
  <c r="N47" i="2"/>
  <c r="M47" i="2"/>
  <c r="L47" i="2"/>
  <c r="K47" i="2"/>
  <c r="J47" i="2"/>
  <c r="I47" i="2"/>
  <c r="H47" i="2"/>
  <c r="Q46" i="2"/>
  <c r="P46" i="2"/>
  <c r="O46" i="2"/>
  <c r="N46" i="2"/>
  <c r="M46" i="2"/>
  <c r="L46" i="2"/>
  <c r="K46" i="2"/>
  <c r="J46" i="2"/>
  <c r="I46" i="2"/>
  <c r="H46" i="2"/>
  <c r="Q45" i="2"/>
  <c r="P45" i="2"/>
  <c r="O45" i="2"/>
  <c r="N45" i="2"/>
  <c r="M45" i="2"/>
  <c r="L45" i="2"/>
  <c r="K45" i="2"/>
  <c r="J45" i="2"/>
  <c r="I45" i="2"/>
  <c r="H45" i="2"/>
  <c r="Q44" i="2"/>
  <c r="P44" i="2"/>
  <c r="O44" i="2"/>
  <c r="N44" i="2"/>
  <c r="M44" i="2"/>
  <c r="L44" i="2"/>
  <c r="K44" i="2"/>
  <c r="J44" i="2"/>
  <c r="I44" i="2"/>
  <c r="H44" i="2"/>
  <c r="Q43" i="2"/>
  <c r="P43" i="2"/>
  <c r="O43" i="2"/>
  <c r="N43" i="2"/>
  <c r="M43" i="2"/>
  <c r="L43" i="2"/>
  <c r="K43" i="2"/>
  <c r="J43" i="2"/>
  <c r="I43" i="2"/>
  <c r="H43" i="2"/>
  <c r="Q42" i="2"/>
  <c r="P42" i="2"/>
  <c r="O42" i="2"/>
  <c r="N42" i="2"/>
  <c r="M42" i="2"/>
  <c r="L42" i="2"/>
  <c r="K42" i="2"/>
  <c r="J42" i="2"/>
  <c r="I42" i="2"/>
  <c r="H42" i="2"/>
  <c r="Q41" i="2"/>
  <c r="P41" i="2"/>
  <c r="O41" i="2"/>
  <c r="N41" i="2"/>
  <c r="M41" i="2"/>
  <c r="L41" i="2"/>
  <c r="K41" i="2"/>
  <c r="J41" i="2"/>
  <c r="I41" i="2"/>
  <c r="H41" i="2"/>
  <c r="Q40" i="2"/>
  <c r="P40" i="2"/>
  <c r="O40" i="2"/>
  <c r="N40" i="2"/>
  <c r="M40" i="2"/>
  <c r="L40" i="2"/>
  <c r="K40" i="2"/>
  <c r="J40" i="2"/>
  <c r="I40" i="2"/>
  <c r="H40" i="2"/>
  <c r="Q39" i="2"/>
  <c r="P39" i="2"/>
  <c r="O39" i="2"/>
  <c r="N39" i="2"/>
  <c r="M39" i="2"/>
  <c r="L39" i="2"/>
  <c r="K39" i="2"/>
  <c r="J39" i="2"/>
  <c r="I39" i="2"/>
  <c r="H39" i="2"/>
  <c r="Q38" i="2"/>
  <c r="P38" i="2"/>
  <c r="O38" i="2"/>
  <c r="N38" i="2"/>
  <c r="M38" i="2"/>
  <c r="L38" i="2"/>
  <c r="K38" i="2"/>
  <c r="J38" i="2"/>
  <c r="I38" i="2"/>
  <c r="H38" i="2"/>
  <c r="Q37" i="2"/>
  <c r="P37" i="2"/>
  <c r="O37" i="2"/>
  <c r="N37" i="2"/>
  <c r="M37" i="2"/>
  <c r="L37" i="2"/>
  <c r="K37" i="2"/>
  <c r="J37" i="2"/>
  <c r="I37" i="2"/>
  <c r="H37" i="2"/>
  <c r="Q36" i="2"/>
  <c r="P36" i="2"/>
  <c r="O36" i="2"/>
  <c r="N36" i="2"/>
  <c r="M36" i="2"/>
  <c r="L36" i="2"/>
  <c r="K36" i="2"/>
  <c r="J36" i="2"/>
  <c r="I36" i="2"/>
  <c r="H36" i="2"/>
  <c r="Q35" i="2"/>
  <c r="P35" i="2"/>
  <c r="O35" i="2"/>
  <c r="N35" i="2"/>
  <c r="M35" i="2"/>
  <c r="L35" i="2"/>
  <c r="K35" i="2"/>
  <c r="J35" i="2"/>
  <c r="I35" i="2"/>
  <c r="H35" i="2"/>
  <c r="Q34" i="2"/>
  <c r="P34" i="2"/>
  <c r="O34" i="2"/>
  <c r="N34" i="2"/>
  <c r="M34" i="2"/>
  <c r="L34" i="2"/>
  <c r="K34" i="2"/>
  <c r="J34" i="2"/>
  <c r="I34" i="2"/>
  <c r="H34" i="2"/>
  <c r="Q33" i="2"/>
  <c r="P33" i="2"/>
  <c r="O33" i="2"/>
  <c r="N33" i="2"/>
  <c r="M33" i="2"/>
  <c r="L33" i="2"/>
  <c r="K33" i="2"/>
  <c r="J33" i="2"/>
  <c r="I33" i="2"/>
  <c r="H33" i="2"/>
  <c r="Q32" i="2"/>
  <c r="P32" i="2"/>
  <c r="O32" i="2"/>
  <c r="N32" i="2"/>
  <c r="M32" i="2"/>
  <c r="L32" i="2"/>
  <c r="K32" i="2"/>
  <c r="J32" i="2"/>
  <c r="I32" i="2"/>
  <c r="H32" i="2"/>
  <c r="Q31" i="2"/>
  <c r="P31" i="2"/>
  <c r="O31" i="2"/>
  <c r="N31" i="2"/>
  <c r="M31" i="2"/>
  <c r="L31" i="2"/>
  <c r="K31" i="2"/>
  <c r="J31" i="2"/>
  <c r="I31" i="2"/>
  <c r="H31" i="2"/>
  <c r="Q30" i="2"/>
  <c r="P30" i="2"/>
  <c r="O30" i="2"/>
  <c r="N30" i="2"/>
  <c r="M30" i="2"/>
  <c r="L30" i="2"/>
  <c r="K30" i="2"/>
  <c r="J30" i="2"/>
  <c r="I30" i="2"/>
  <c r="H30" i="2"/>
  <c r="Q29" i="2"/>
  <c r="P29" i="2"/>
  <c r="O29" i="2"/>
  <c r="N29" i="2"/>
  <c r="M29" i="2"/>
  <c r="L29" i="2"/>
  <c r="K29" i="2"/>
  <c r="J29" i="2"/>
  <c r="I29" i="2"/>
  <c r="H29" i="2"/>
  <c r="Q28" i="2"/>
  <c r="P28" i="2"/>
  <c r="O28" i="2"/>
  <c r="N28" i="2"/>
  <c r="M28" i="2"/>
  <c r="L28" i="2"/>
  <c r="K28" i="2"/>
  <c r="J28" i="2"/>
  <c r="I28" i="2"/>
  <c r="H28" i="2"/>
  <c r="Q27" i="2"/>
  <c r="P27" i="2"/>
  <c r="O27" i="2"/>
  <c r="N27" i="2"/>
  <c r="M27" i="2"/>
  <c r="L27" i="2"/>
  <c r="K27" i="2"/>
  <c r="J27" i="2"/>
  <c r="I27" i="2"/>
  <c r="H27" i="2"/>
  <c r="Q26" i="2"/>
  <c r="P26" i="2"/>
  <c r="O26" i="2"/>
  <c r="N26" i="2"/>
  <c r="M26" i="2"/>
  <c r="L26" i="2"/>
  <c r="K26" i="2"/>
  <c r="J26" i="2"/>
  <c r="I26" i="2"/>
  <c r="H26" i="2"/>
  <c r="Q25" i="2"/>
  <c r="P25" i="2"/>
  <c r="O25" i="2"/>
  <c r="N25" i="2"/>
  <c r="M25" i="2"/>
  <c r="L25" i="2"/>
  <c r="K25" i="2"/>
  <c r="J25" i="2"/>
  <c r="I25" i="2"/>
  <c r="H25" i="2"/>
  <c r="Q24" i="2"/>
  <c r="P24" i="2"/>
  <c r="O24" i="2"/>
  <c r="N24" i="2"/>
  <c r="M24" i="2"/>
  <c r="L24" i="2"/>
  <c r="K24" i="2"/>
  <c r="J24" i="2"/>
  <c r="I24" i="2"/>
  <c r="H24" i="2"/>
  <c r="Q23" i="2"/>
  <c r="P23" i="2"/>
  <c r="O23" i="2"/>
  <c r="N23" i="2"/>
  <c r="M23" i="2"/>
  <c r="L23" i="2"/>
  <c r="K23" i="2"/>
  <c r="J23" i="2"/>
  <c r="I23" i="2"/>
  <c r="H23" i="2"/>
  <c r="Q92" i="1" l="1"/>
  <c r="P92" i="1"/>
  <c r="O92" i="1"/>
  <c r="N92" i="1"/>
  <c r="M92" i="1"/>
  <c r="L92" i="1"/>
  <c r="K92" i="1"/>
  <c r="J92" i="1"/>
  <c r="I92" i="1"/>
  <c r="H92" i="1"/>
  <c r="Q91" i="1"/>
  <c r="P91" i="1"/>
  <c r="O91" i="1"/>
  <c r="N91" i="1"/>
  <c r="M91" i="1"/>
  <c r="L91" i="1"/>
  <c r="K91" i="1"/>
  <c r="J91" i="1"/>
  <c r="I91" i="1"/>
  <c r="H91" i="1"/>
  <c r="Q90" i="1"/>
  <c r="P90" i="1"/>
  <c r="O90" i="1"/>
  <c r="N90" i="1"/>
  <c r="M90" i="1"/>
  <c r="L90" i="1"/>
  <c r="K90" i="1"/>
  <c r="J90" i="1"/>
  <c r="I90" i="1"/>
  <c r="H90" i="1"/>
  <c r="Q89" i="1"/>
  <c r="P89" i="1"/>
  <c r="O89" i="1"/>
  <c r="N89" i="1"/>
  <c r="M89" i="1"/>
  <c r="L89" i="1"/>
  <c r="K89" i="1"/>
  <c r="J89" i="1"/>
  <c r="I89" i="1"/>
  <c r="H89" i="1"/>
  <c r="Q88" i="1"/>
  <c r="P88" i="1"/>
  <c r="O88" i="1"/>
  <c r="N88" i="1"/>
  <c r="M88" i="1"/>
  <c r="L88" i="1"/>
  <c r="K88" i="1"/>
  <c r="J88" i="1"/>
  <c r="I88" i="1"/>
  <c r="H88" i="1"/>
  <c r="Q85" i="1"/>
  <c r="P85" i="1"/>
  <c r="O85" i="1"/>
  <c r="N85" i="1"/>
  <c r="M85" i="1"/>
  <c r="L85" i="1"/>
  <c r="K85" i="1"/>
  <c r="J85" i="1"/>
  <c r="I85" i="1"/>
  <c r="H85" i="1"/>
  <c r="Q84" i="1"/>
  <c r="P84" i="1"/>
  <c r="O84" i="1"/>
  <c r="N84" i="1"/>
  <c r="M84" i="1"/>
  <c r="L84" i="1"/>
  <c r="K84" i="1"/>
  <c r="J84" i="1"/>
  <c r="I84" i="1"/>
  <c r="H84" i="1"/>
  <c r="Q83" i="1"/>
  <c r="P83" i="1"/>
  <c r="O83" i="1"/>
  <c r="N83" i="1"/>
  <c r="M83" i="1"/>
  <c r="L83" i="1"/>
  <c r="K83" i="1"/>
  <c r="J83" i="1"/>
  <c r="I83" i="1"/>
  <c r="H83" i="1"/>
  <c r="Q82" i="1"/>
  <c r="P82" i="1"/>
  <c r="O82" i="1"/>
  <c r="N82" i="1"/>
  <c r="M82" i="1"/>
  <c r="L82" i="1"/>
  <c r="K82" i="1"/>
  <c r="J82" i="1"/>
  <c r="I82" i="1"/>
  <c r="H82" i="1"/>
  <c r="Q81" i="1"/>
  <c r="P81" i="1"/>
  <c r="O81" i="1"/>
  <c r="N81" i="1"/>
  <c r="M81" i="1"/>
  <c r="L81" i="1"/>
  <c r="K81" i="1"/>
  <c r="J81" i="1"/>
  <c r="I81" i="1"/>
  <c r="H81" i="1"/>
  <c r="Q78" i="1"/>
  <c r="P78" i="1"/>
  <c r="O78" i="1"/>
  <c r="N78" i="1"/>
  <c r="M78" i="1"/>
  <c r="L78" i="1"/>
  <c r="K78" i="1"/>
  <c r="J78" i="1"/>
  <c r="I78" i="1"/>
  <c r="H78" i="1"/>
  <c r="Q77" i="1"/>
  <c r="P77" i="1"/>
  <c r="O77" i="1"/>
  <c r="N77" i="1"/>
  <c r="M77" i="1"/>
  <c r="L77" i="1"/>
  <c r="K77" i="1"/>
  <c r="J77" i="1"/>
  <c r="I77" i="1"/>
  <c r="H77" i="1"/>
  <c r="Q76" i="1"/>
  <c r="P76" i="1"/>
  <c r="O76" i="1"/>
  <c r="N76" i="1"/>
  <c r="M76" i="1"/>
  <c r="L76" i="1"/>
  <c r="K76" i="1"/>
  <c r="J76" i="1"/>
  <c r="I76" i="1"/>
  <c r="H76" i="1"/>
  <c r="Q75" i="1"/>
  <c r="P75" i="1"/>
  <c r="O75" i="1"/>
  <c r="N75" i="1"/>
  <c r="M75" i="1"/>
  <c r="L75" i="1"/>
  <c r="K75" i="1"/>
  <c r="J75" i="1"/>
  <c r="I75" i="1"/>
  <c r="H75" i="1"/>
  <c r="Q74" i="1"/>
  <c r="P74" i="1"/>
  <c r="O74" i="1"/>
  <c r="N74" i="1"/>
  <c r="M74" i="1"/>
  <c r="L74" i="1"/>
  <c r="K74" i="1"/>
  <c r="J74" i="1"/>
  <c r="I74" i="1"/>
  <c r="H74" i="1"/>
  <c r="Q71" i="1"/>
  <c r="P71" i="1"/>
  <c r="O71" i="1"/>
  <c r="N71" i="1"/>
  <c r="M71" i="1"/>
  <c r="L71" i="1"/>
  <c r="K71" i="1"/>
  <c r="J71" i="1"/>
  <c r="I71" i="1"/>
  <c r="H71" i="1"/>
  <c r="Q70" i="1"/>
  <c r="P70" i="1"/>
  <c r="O70" i="1"/>
  <c r="N70" i="1"/>
  <c r="M70" i="1"/>
  <c r="L70" i="1"/>
  <c r="K70" i="1"/>
  <c r="J70" i="1"/>
  <c r="I70" i="1"/>
  <c r="H70" i="1"/>
  <c r="Q69" i="1"/>
  <c r="P69" i="1"/>
  <c r="O69" i="1"/>
  <c r="N69" i="1"/>
  <c r="M69" i="1"/>
  <c r="L69" i="1"/>
  <c r="K69" i="1"/>
  <c r="J69" i="1"/>
  <c r="I69" i="1"/>
  <c r="H69" i="1"/>
  <c r="Q68" i="1"/>
  <c r="P68" i="1"/>
  <c r="O68" i="1"/>
  <c r="N68" i="1"/>
  <c r="M68" i="1"/>
  <c r="L68" i="1"/>
  <c r="K68" i="1"/>
  <c r="J68" i="1"/>
  <c r="I68" i="1"/>
  <c r="H68" i="1"/>
  <c r="Q67" i="1"/>
  <c r="P67" i="1"/>
  <c r="O67" i="1"/>
  <c r="N67" i="1"/>
  <c r="M67" i="1"/>
  <c r="L67" i="1"/>
  <c r="K67" i="1"/>
  <c r="J67" i="1"/>
  <c r="I67" i="1"/>
  <c r="H67" i="1"/>
  <c r="Q64" i="1"/>
  <c r="P64" i="1"/>
  <c r="O64" i="1"/>
  <c r="N64" i="1"/>
  <c r="M64" i="1"/>
  <c r="L64" i="1"/>
  <c r="K64" i="1"/>
  <c r="J64" i="1"/>
  <c r="I64" i="1"/>
  <c r="H64" i="1"/>
  <c r="Q63" i="1"/>
  <c r="P63" i="1"/>
  <c r="O63" i="1"/>
  <c r="N63" i="1"/>
  <c r="M63" i="1"/>
  <c r="L63" i="1"/>
  <c r="K63" i="1"/>
  <c r="J63" i="1"/>
  <c r="I63" i="1"/>
  <c r="H63" i="1"/>
  <c r="Q62" i="1"/>
  <c r="P62" i="1"/>
  <c r="O62" i="1"/>
  <c r="N62" i="1"/>
  <c r="M62" i="1"/>
  <c r="L62" i="1"/>
  <c r="K62" i="1"/>
  <c r="J62" i="1"/>
  <c r="I62" i="1"/>
  <c r="H62" i="1"/>
  <c r="Q61" i="1"/>
  <c r="P61" i="1"/>
  <c r="O61" i="1"/>
  <c r="N61" i="1"/>
  <c r="M61" i="1"/>
  <c r="L61" i="1"/>
  <c r="K61" i="1"/>
  <c r="J61" i="1"/>
  <c r="I61" i="1"/>
  <c r="H61" i="1"/>
  <c r="Q60" i="1"/>
  <c r="P60" i="1"/>
  <c r="O60" i="1"/>
  <c r="N60" i="1"/>
  <c r="M60" i="1"/>
  <c r="L60" i="1"/>
  <c r="K60" i="1"/>
  <c r="J60" i="1"/>
  <c r="I60" i="1"/>
  <c r="H60" i="1"/>
  <c r="Q57" i="1"/>
  <c r="P57" i="1"/>
  <c r="O57" i="1"/>
  <c r="N57" i="1"/>
  <c r="M57" i="1"/>
  <c r="L57" i="1"/>
  <c r="K57" i="1"/>
  <c r="J57" i="1"/>
  <c r="I57" i="1"/>
  <c r="H57" i="1"/>
  <c r="Q56" i="1"/>
  <c r="P56" i="1"/>
  <c r="O56" i="1"/>
  <c r="N56" i="1"/>
  <c r="M56" i="1"/>
  <c r="L56" i="1"/>
  <c r="K56" i="1"/>
  <c r="J56" i="1"/>
  <c r="I56" i="1"/>
  <c r="H56" i="1"/>
  <c r="Q55" i="1"/>
  <c r="P55" i="1"/>
  <c r="O55" i="1"/>
  <c r="N55" i="1"/>
  <c r="M55" i="1"/>
  <c r="L55" i="1"/>
  <c r="K55" i="1"/>
  <c r="J55" i="1"/>
  <c r="I55" i="1"/>
  <c r="H55" i="1"/>
  <c r="Q54" i="1"/>
  <c r="P54" i="1"/>
  <c r="O54" i="1"/>
  <c r="N54" i="1"/>
  <c r="M54" i="1"/>
  <c r="L54" i="1"/>
  <c r="K54" i="1"/>
  <c r="J54" i="1"/>
  <c r="I54" i="1"/>
  <c r="H54" i="1"/>
  <c r="Q53" i="1"/>
  <c r="P53" i="1"/>
  <c r="O53" i="1"/>
  <c r="N53" i="1"/>
  <c r="M53" i="1"/>
  <c r="L53" i="1"/>
  <c r="K53" i="1"/>
  <c r="J53" i="1"/>
  <c r="I53" i="1"/>
  <c r="H53" i="1"/>
  <c r="Q50" i="1"/>
  <c r="P50" i="1"/>
  <c r="O50" i="1"/>
  <c r="N50" i="1"/>
  <c r="M50" i="1"/>
  <c r="L50" i="1"/>
  <c r="K50" i="1"/>
  <c r="J50" i="1"/>
  <c r="I50" i="1"/>
  <c r="H50" i="1"/>
  <c r="Q49" i="1"/>
  <c r="P49" i="1"/>
  <c r="O49" i="1"/>
  <c r="N49" i="1"/>
  <c r="M49" i="1"/>
  <c r="L49" i="1"/>
  <c r="K49" i="1"/>
  <c r="J49" i="1"/>
  <c r="I49" i="1"/>
  <c r="H49" i="1"/>
  <c r="Q48" i="1"/>
  <c r="P48" i="1"/>
  <c r="O48" i="1"/>
  <c r="N48" i="1"/>
  <c r="M48" i="1"/>
  <c r="L48" i="1"/>
  <c r="K48" i="1"/>
  <c r="J48" i="1"/>
  <c r="I48" i="1"/>
  <c r="H48" i="1"/>
  <c r="Q47" i="1"/>
  <c r="P47" i="1"/>
  <c r="O47" i="1"/>
  <c r="N47" i="1"/>
  <c r="M47" i="1"/>
  <c r="L47" i="1"/>
  <c r="K47" i="1"/>
  <c r="J47" i="1"/>
  <c r="I47" i="1"/>
  <c r="H47" i="1"/>
  <c r="Q46" i="1"/>
  <c r="P46" i="1"/>
  <c r="O46" i="1"/>
  <c r="N46" i="1"/>
  <c r="M46" i="1"/>
  <c r="L46" i="1"/>
  <c r="K46" i="1"/>
  <c r="J46" i="1"/>
  <c r="I46" i="1"/>
  <c r="H46" i="1"/>
  <c r="Q43" i="1"/>
  <c r="P43" i="1"/>
  <c r="O43" i="1"/>
  <c r="N43" i="1"/>
  <c r="M43" i="1"/>
  <c r="L43" i="1"/>
  <c r="K43" i="1"/>
  <c r="J43" i="1"/>
  <c r="I43" i="1"/>
  <c r="H43" i="1"/>
  <c r="Q42" i="1"/>
  <c r="P42" i="1"/>
  <c r="O42" i="1"/>
  <c r="N42" i="1"/>
  <c r="M42" i="1"/>
  <c r="L42" i="1"/>
  <c r="K42" i="1"/>
  <c r="J42" i="1"/>
  <c r="I42" i="1"/>
  <c r="H42" i="1"/>
  <c r="Q41" i="1"/>
  <c r="P41" i="1"/>
  <c r="O41" i="1"/>
  <c r="N41" i="1"/>
  <c r="M41" i="1"/>
  <c r="L41" i="1"/>
  <c r="K41" i="1"/>
  <c r="J41" i="1"/>
  <c r="I41" i="1"/>
  <c r="H41" i="1"/>
  <c r="Q40" i="1"/>
  <c r="P40" i="1"/>
  <c r="O40" i="1"/>
  <c r="N40" i="1"/>
  <c r="M40" i="1"/>
  <c r="L40" i="1"/>
  <c r="K40" i="1"/>
  <c r="J40" i="1"/>
  <c r="I40" i="1"/>
  <c r="H40" i="1"/>
  <c r="Q39" i="1"/>
  <c r="P39" i="1"/>
  <c r="O39" i="1"/>
  <c r="N39" i="1"/>
  <c r="M39" i="1"/>
  <c r="L39" i="1"/>
  <c r="K39" i="1"/>
  <c r="J39" i="1"/>
  <c r="I39" i="1"/>
  <c r="H39" i="1"/>
  <c r="Q36" i="1"/>
  <c r="P36" i="1"/>
  <c r="O36" i="1"/>
  <c r="N36" i="1"/>
  <c r="M36" i="1"/>
  <c r="L36" i="1"/>
  <c r="K36" i="1"/>
  <c r="J36" i="1"/>
  <c r="I36" i="1"/>
  <c r="H36" i="1"/>
  <c r="Q35" i="1"/>
  <c r="P35" i="1"/>
  <c r="O35" i="1"/>
  <c r="N35" i="1"/>
  <c r="M35" i="1"/>
  <c r="L35" i="1"/>
  <c r="K35" i="1"/>
  <c r="J35" i="1"/>
  <c r="I35" i="1"/>
  <c r="H35" i="1"/>
  <c r="Q34" i="1"/>
  <c r="P34" i="1"/>
  <c r="O34" i="1"/>
  <c r="N34" i="1"/>
  <c r="M34" i="1"/>
  <c r="L34" i="1"/>
  <c r="K34" i="1"/>
  <c r="J34" i="1"/>
  <c r="I34" i="1"/>
  <c r="H34" i="1"/>
  <c r="Q33" i="1"/>
  <c r="P33" i="1"/>
  <c r="O33" i="1"/>
  <c r="N33" i="1"/>
  <c r="M33" i="1"/>
  <c r="L33" i="1"/>
  <c r="K33" i="1"/>
  <c r="J33" i="1"/>
  <c r="I33" i="1"/>
  <c r="H33" i="1"/>
  <c r="Q32" i="1"/>
  <c r="P32" i="1"/>
  <c r="O32" i="1"/>
  <c r="N32" i="1"/>
  <c r="M32" i="1"/>
  <c r="L32" i="1"/>
  <c r="K32" i="1"/>
  <c r="J32" i="1"/>
  <c r="I32" i="1"/>
  <c r="H32" i="1"/>
</calcChain>
</file>

<file path=xl/sharedStrings.xml><?xml version="1.0" encoding="utf-8"?>
<sst xmlns="http://schemas.openxmlformats.org/spreadsheetml/2006/main" count="7822" uniqueCount="1475">
  <si>
    <t>INICIO DA VIGENCIA DESTA TABELA:----------------------------------------------------------------------&gt;&gt;</t>
  </si>
  <si>
    <t>COLOQUE AQUI SEU MULTIPLICADOR PARA ALTERAR A TABELA AO LADO ------------------------&gt;&gt;</t>
  </si>
  <si>
    <t>PRAZO DE PAGAMENTO 21DD - FRETE FOB - EMPRESA REGIME NORMAL - LUCRO PRESUMIDO</t>
  </si>
  <si>
    <t>COURO SOMENTE FORNECIDO E COM AUTORIZAÇÃO PRÉVIA - PREÇO LINHA E</t>
  </si>
  <si>
    <t>VENDA DE TECIDOS SOB CONSULTA E COM MÍNIMO DE 5 METROS.</t>
  </si>
  <si>
    <t>CAMA AFRODITE</t>
  </si>
  <si>
    <t>IMAGEM</t>
  </si>
  <si>
    <t>Modelo</t>
  </si>
  <si>
    <t>Comp</t>
  </si>
  <si>
    <t>Prof</t>
  </si>
  <si>
    <t>Alt</t>
  </si>
  <si>
    <t>Bç</t>
  </si>
  <si>
    <t>Tec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</si>
  <si>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</si>
  <si>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</si>
  <si>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</si>
  <si>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</si>
  <si>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</si>
  <si>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</si>
  <si>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</si>
  <si>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</si>
  <si>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</si>
  <si>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</si>
  <si>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AFRODITE CAMA 1,05X2,13 - COLCHÃO 0,88X1,88</t>
  </si>
  <si>
    <t>1,05</t>
  </si>
  <si>
    <t xml:space="preserve">2,13 </t>
  </si>
  <si>
    <t>1,02</t>
  </si>
  <si>
    <t>0,00</t>
  </si>
  <si>
    <t>6,00</t>
  </si>
  <si>
    <t>AFRODITE CAMA 1,55X2,13 - COLCHÃO 1,38X1,88</t>
  </si>
  <si>
    <t>1,55</t>
  </si>
  <si>
    <t>7,00</t>
  </si>
  <si>
    <t>AFRODITE CAMA 1,75X2,23 - COLCHÃO 1,58X1,98</t>
  </si>
  <si>
    <t>1,75</t>
  </si>
  <si>
    <t xml:space="preserve">2,23 </t>
  </si>
  <si>
    <t>8,00</t>
  </si>
  <si>
    <t>AFRODITE CAMA 1,95X2,23 - COLCHÃO 1,78X1,98</t>
  </si>
  <si>
    <t>1,95</t>
  </si>
  <si>
    <t>9,00</t>
  </si>
  <si>
    <t>AFRODITE CAMA 2,10X2,28 - COLCHÃO 1,93X2,03</t>
  </si>
  <si>
    <t>2,10</t>
  </si>
  <si>
    <t xml:space="preserve">2,28 </t>
  </si>
  <si>
    <t>10,00</t>
  </si>
  <si>
    <t>CAMA CAIS</t>
  </si>
  <si>
    <t>CAMA CAIS 1,03X2,06 - COLCHÃO 0,88X1,88</t>
  </si>
  <si>
    <t>1,03</t>
  </si>
  <si>
    <t xml:space="preserve">2.16 </t>
  </si>
  <si>
    <t>0,99</t>
  </si>
  <si>
    <t>7,50</t>
  </si>
  <si>
    <t xml:space="preserve">CAMA CAIS 1,53X2,16 - COLCHÃO 1,38X1,88 </t>
  </si>
  <si>
    <t>1,53</t>
  </si>
  <si>
    <t>CAMA CAIS 1,73X2,26 - COLCHÃO 1,58X1,98</t>
  </si>
  <si>
    <t>1,73</t>
  </si>
  <si>
    <t xml:space="preserve">2.26 </t>
  </si>
  <si>
    <t>8,50</t>
  </si>
  <si>
    <t xml:space="preserve">CAMA CAIS 1,93X2,26 - COLCHÃO 1,78X1,98 </t>
  </si>
  <si>
    <t>1,93</t>
  </si>
  <si>
    <t>CAMA CAIS 2,08X2,31 - COLCHÃO 1,93X2,03</t>
  </si>
  <si>
    <t>2,08</t>
  </si>
  <si>
    <t xml:space="preserve">2.31 </t>
  </si>
  <si>
    <t>9,50</t>
  </si>
  <si>
    <t>CAMA CAROL - detalhes em couro la paz nas cores: camel, coffee, pinhão e preto</t>
  </si>
  <si>
    <t>CAMA CAROL 1,21X2,12 - COLCHÃO 0,88X1,88</t>
  </si>
  <si>
    <t>1,21</t>
  </si>
  <si>
    <t xml:space="preserve">2.12 </t>
  </si>
  <si>
    <t>CAMA CAROL 1,71X2,12 - COLCHÃO 1,38X1,88</t>
  </si>
  <si>
    <t>1,71</t>
  </si>
  <si>
    <t>6,50</t>
  </si>
  <si>
    <t>CAMA CAROL 1,91X2,22 - COLCHÃO 1,58X1,98</t>
  </si>
  <si>
    <t>1,91</t>
  </si>
  <si>
    <t xml:space="preserve">2.22 </t>
  </si>
  <si>
    <t xml:space="preserve">CAMA CAROL 2,11X2,22 - COLCHÃO 1,78X1,98  </t>
  </si>
  <si>
    <t>2,11</t>
  </si>
  <si>
    <t>CAMA CAROL 2,26X2,27 - COLCHÃO 1,93X2,03</t>
  </si>
  <si>
    <t>2,26</t>
  </si>
  <si>
    <t xml:space="preserve">2.27 </t>
  </si>
  <si>
    <t>CAMA KIARA - base em aço carbono com pintura</t>
  </si>
  <si>
    <t>CAMA KIARA 1,05X2,11 - COLCHÃO 0,88X1,88</t>
  </si>
  <si>
    <t xml:space="preserve">2.11 </t>
  </si>
  <si>
    <t>1,00</t>
  </si>
  <si>
    <t xml:space="preserve">CAMA KIARA 1,55X2,11 - COLCHÃO 1,38X1,88 </t>
  </si>
  <si>
    <t>CAMA KIARA 1,75X2,21 - COLCHÃO 1,58X1,98</t>
  </si>
  <si>
    <t xml:space="preserve">2.21 </t>
  </si>
  <si>
    <t>CAMA KIARA 1,95X2,21 - COLCHÃO 1,78X1,98</t>
  </si>
  <si>
    <t>CAMA KIARA 2,10X2,26 - COLCHÃO 1,93X2,03</t>
  </si>
  <si>
    <t>1,50</t>
  </si>
  <si>
    <t>1,70</t>
  </si>
  <si>
    <t>1,90</t>
  </si>
  <si>
    <t>2,05</t>
  </si>
  <si>
    <t>CAMA DOM</t>
  </si>
  <si>
    <t>0,93</t>
  </si>
  <si>
    <t xml:space="preserve">2.08 </t>
  </si>
  <si>
    <t>1,43</t>
  </si>
  <si>
    <t>1,63</t>
  </si>
  <si>
    <t xml:space="preserve">2,18 </t>
  </si>
  <si>
    <t>1,83</t>
  </si>
  <si>
    <t>1,98</t>
  </si>
  <si>
    <t>CAMA KIM - base em aço com pintura</t>
  </si>
  <si>
    <t xml:space="preserve">2,14 </t>
  </si>
  <si>
    <t>1,01</t>
  </si>
  <si>
    <t xml:space="preserve">2,24 </t>
  </si>
  <si>
    <t xml:space="preserve">2,29 </t>
  </si>
  <si>
    <t xml:space="preserve">CAMA RAFA - base em aço com pintura </t>
  </si>
  <si>
    <t>CAMA DOM 0,93X2,08 - COLCHÃO 0,88X1,88</t>
  </si>
  <si>
    <t>CAMA DOM 1,43X2,08 - COLCHÃO 1,38X1,88</t>
  </si>
  <si>
    <t>CAMA DOM 1,63X2,18 - COLCHÃO 1,58X1,98</t>
  </si>
  <si>
    <t>CAMA DOM 1,83X2,18 - COLCHÃO 1,78X1,98</t>
  </si>
  <si>
    <t>CAMA DOM 1,98X2,23 - COLCHÃO 1,93X2,03</t>
  </si>
  <si>
    <t>CAMA KIM 0,93X2,08 - COLCHÃO 0,88X1,88</t>
  </si>
  <si>
    <t>CAMA KIM 1,43X2,08 - COLCHÃO 1,38X1,88</t>
  </si>
  <si>
    <t>CAMA KIM 1,63X2,18 - COLCHÃO 1,58X1,98</t>
  </si>
  <si>
    <t>CAMA KIM 1,83X2,18 - COLCHÃO 1,78X1,98</t>
  </si>
  <si>
    <t>CAMA KIM 1,98X2,23 - COLCHÃO 1,93X2,03</t>
  </si>
  <si>
    <t>CAMA LUNA 1,00X2,14 - COLCHÃO 0,88X1,88</t>
  </si>
  <si>
    <t>CAMA LUNA 1,50X2,14 - COLCHÃO 1,38X1,88</t>
  </si>
  <si>
    <t>CAMA LUNA 1,70X2,24 - COLCHÃO 1,58X1,98</t>
  </si>
  <si>
    <t>CAMA LUNA 1,90X2,24 - COLCHÃO 1,78X1,98</t>
  </si>
  <si>
    <t>CAMA LUNA 2,05X2,29 - COLCHÃO 1,93X2,03</t>
  </si>
  <si>
    <t>CAMA KIARA 1,05X2,11 - COLCHÃO 0,88X1,88 (LAMINADA)</t>
  </si>
  <si>
    <t>CAMA KIARA 1,55X2,11 - COLCHÃO 1,38X1,88 (LAMINADA)</t>
  </si>
  <si>
    <t>CAMA KIARA 1,75X2,21 - COLCHÃO 1,58X1,98 (LAMINADA)</t>
  </si>
  <si>
    <t>CAMA KIARA 1,95X2,21 - COLCHÃO 1,78X1,98 (LAMINADA)</t>
  </si>
  <si>
    <t>CAMA KIARA 2,10X2,26 - COLCHÃO 1,93X2,03 (LAMINADA)</t>
  </si>
  <si>
    <t>1,68</t>
  </si>
  <si>
    <t>0,84</t>
  </si>
  <si>
    <t>1,88</t>
  </si>
  <si>
    <t xml:space="preserve">2,38 </t>
  </si>
  <si>
    <t>2,23</t>
  </si>
  <si>
    <t xml:space="preserve">2,43 </t>
  </si>
  <si>
    <t>1,26</t>
  </si>
  <si>
    <t>1,76</t>
  </si>
  <si>
    <t>1,96</t>
  </si>
  <si>
    <t>2,16</t>
  </si>
  <si>
    <t>2,31</t>
  </si>
  <si>
    <t>1,10</t>
  </si>
  <si>
    <t>1,60</t>
  </si>
  <si>
    <t>1,80</t>
  </si>
  <si>
    <t>2,00</t>
  </si>
  <si>
    <t>2,15</t>
  </si>
  <si>
    <t>CAMA KIARA - base em aço carbono com base laminada</t>
  </si>
  <si>
    <t xml:space="preserve">TECIDO - venda sob consulta </t>
  </si>
  <si>
    <t>TECIDO METRO</t>
  </si>
  <si>
    <t>x</t>
  </si>
  <si>
    <t>ALMOFADA DECORATIVA</t>
  </si>
  <si>
    <t>X</t>
  </si>
  <si>
    <t>MED. 50 X 50</t>
  </si>
  <si>
    <t>ALOFI  -  base (mdf) e pés (aço carbono) com lâmina natural</t>
  </si>
  <si>
    <t>ALOFI 1B 2,03</t>
  </si>
  <si>
    <t>2,03</t>
  </si>
  <si>
    <t xml:space="preserve">1,00 </t>
  </si>
  <si>
    <t>0,78</t>
  </si>
  <si>
    <t>23,00</t>
  </si>
  <si>
    <t>11,00</t>
  </si>
  <si>
    <t>ALOFI 1B 2,23</t>
  </si>
  <si>
    <t>12,00</t>
  </si>
  <si>
    <t>ALOFI 1B 2,43</t>
  </si>
  <si>
    <t>2,43</t>
  </si>
  <si>
    <t>12,50</t>
  </si>
  <si>
    <t>ALOFI 1B 2,63</t>
  </si>
  <si>
    <t>2,63</t>
  </si>
  <si>
    <t>13,00</t>
  </si>
  <si>
    <t>ALOFI 1B 2,83</t>
  </si>
  <si>
    <t>2,83</t>
  </si>
  <si>
    <t>13,50</t>
  </si>
  <si>
    <t>ALOFI 1B AV 2,50</t>
  </si>
  <si>
    <t>2,50</t>
  </si>
  <si>
    <t>11,50</t>
  </si>
  <si>
    <t>ALOFI 1B AV 2,70</t>
  </si>
  <si>
    <t>2,70</t>
  </si>
  <si>
    <t>ALOFI 1B AV 2,90</t>
  </si>
  <si>
    <t>2,90</t>
  </si>
  <si>
    <t>ALOFI 1B AV 3,10</t>
  </si>
  <si>
    <t>3,10</t>
  </si>
  <si>
    <t>ALOFI 1B AV 3,30</t>
  </si>
  <si>
    <t>3,30</t>
  </si>
  <si>
    <t>ALOFI 2B 2,26</t>
  </si>
  <si>
    <t>ALOFI 2B 2,46</t>
  </si>
  <si>
    <t>2,46</t>
  </si>
  <si>
    <t>ALOFI 2B 2,66</t>
  </si>
  <si>
    <t>2,66</t>
  </si>
  <si>
    <t>ALOFI 2B 2,86</t>
  </si>
  <si>
    <t>2,86</t>
  </si>
  <si>
    <t>14,00</t>
  </si>
  <si>
    <t>ALOFI 2B 3,06</t>
  </si>
  <si>
    <t>3,06</t>
  </si>
  <si>
    <t>14,50</t>
  </si>
  <si>
    <t>ALOFI 2B AV 2,73</t>
  </si>
  <si>
    <t>2,73</t>
  </si>
  <si>
    <t>ALOFI 2B AV 2,93</t>
  </si>
  <si>
    <t>2,93</t>
  </si>
  <si>
    <t>ALOFI 2B AV 3,13</t>
  </si>
  <si>
    <t>3,13</t>
  </si>
  <si>
    <t>ALOFI 2B AV 3,33</t>
  </si>
  <si>
    <t>3,33</t>
  </si>
  <si>
    <t>ALOFI 2B AV 3,53</t>
  </si>
  <si>
    <t>3,53</t>
  </si>
  <si>
    <t>ALOFI CH 1,13</t>
  </si>
  <si>
    <t>1,13</t>
  </si>
  <si>
    <t xml:space="preserve">1,55 </t>
  </si>
  <si>
    <t>ALOFI CH 1,23</t>
  </si>
  <si>
    <t>1,23</t>
  </si>
  <si>
    <t>ALOFI CH 1,33</t>
  </si>
  <si>
    <t>1,33</t>
  </si>
  <si>
    <t>ALOFI CH AV 1,60</t>
  </si>
  <si>
    <t>ALOFI CH AV 1,70</t>
  </si>
  <si>
    <t>ALOFI CH AV 1,80</t>
  </si>
  <si>
    <t>ASTON - FIBRA no Encosto e Decorativas - base alumínio com lâmina natural de madeira</t>
  </si>
  <si>
    <t>ASTON 2B 2,70 FIBRA</t>
  </si>
  <si>
    <t xml:space="preserve">1.10 </t>
  </si>
  <si>
    <t>0,70</t>
  </si>
  <si>
    <t>0,25</t>
  </si>
  <si>
    <t>ASTON 2B 2,90 FIBRA</t>
  </si>
  <si>
    <t>24,00</t>
  </si>
  <si>
    <t>ASTON 2B 3,10 FIBRA</t>
  </si>
  <si>
    <t>25,00</t>
  </si>
  <si>
    <t>ASTON 2B 3,30 FIBRA</t>
  </si>
  <si>
    <t>26,00</t>
  </si>
  <si>
    <t>ASTON 2B 3,50 FIBRA</t>
  </si>
  <si>
    <t>3,50</t>
  </si>
  <si>
    <t>27,00</t>
  </si>
  <si>
    <t>ASTON 2B 3,70 FIBRA</t>
  </si>
  <si>
    <t>3,70</t>
  </si>
  <si>
    <t>28,00</t>
  </si>
  <si>
    <t>ATOLL - pés em Alumínio com pintura</t>
  </si>
  <si>
    <t>ATOLL 1B 2,00</t>
  </si>
  <si>
    <t xml:space="preserve">1.07 </t>
  </si>
  <si>
    <t>0,88</t>
  </si>
  <si>
    <t>ATOLL 1B 2,25</t>
  </si>
  <si>
    <t>2,25</t>
  </si>
  <si>
    <t>15,00</t>
  </si>
  <si>
    <t>ATOLL 1B 2,50</t>
  </si>
  <si>
    <t>16,00</t>
  </si>
  <si>
    <t>ATOLL 1B 2,75</t>
  </si>
  <si>
    <t>2,75</t>
  </si>
  <si>
    <t>18,00</t>
  </si>
  <si>
    <t xml:space="preserve">ATOLL 1B 3,00  </t>
  </si>
  <si>
    <t>3,00</t>
  </si>
  <si>
    <t>17,00</t>
  </si>
  <si>
    <t xml:space="preserve">ATOLL 2B 2,00 </t>
  </si>
  <si>
    <t xml:space="preserve">ATOLL 2B 2,25 </t>
  </si>
  <si>
    <t xml:space="preserve">ATOLL 2B 2,50 </t>
  </si>
  <si>
    <t xml:space="preserve">ATOLL 2B 2,75 </t>
  </si>
  <si>
    <t xml:space="preserve">ATOLL 2B 3,00  </t>
  </si>
  <si>
    <t>19,00</t>
  </si>
  <si>
    <t xml:space="preserve">ATOLL PUFF </t>
  </si>
  <si>
    <t>1,07</t>
  </si>
  <si>
    <t>0,40</t>
  </si>
  <si>
    <t>5,00</t>
  </si>
  <si>
    <t>ATOLL S/B 1,75</t>
  </si>
  <si>
    <t>ATOLL S/B C/AV S/M - 2,00</t>
  </si>
  <si>
    <t>ATOLL S/B C/AV S/M - 2,50</t>
  </si>
  <si>
    <t>ATOLL S/B C/AV S/M - 2,75</t>
  </si>
  <si>
    <t>ATOLL S/B C/AV S/M - 3,00</t>
  </si>
  <si>
    <t>AYOLAS - base em mdf com  lâmina natural de madeira</t>
  </si>
  <si>
    <t>AYOLAS 1B 1,90</t>
  </si>
  <si>
    <t xml:space="preserve">1,04 </t>
  </si>
  <si>
    <t>0,85</t>
  </si>
  <si>
    <t>AYOLAS 1B 2,10</t>
  </si>
  <si>
    <t>AYOLAS 1B 2,30</t>
  </si>
  <si>
    <t>2,30</t>
  </si>
  <si>
    <t>AYOLAS 1B 2,50</t>
  </si>
  <si>
    <t>AYOLAS 1B 2,70</t>
  </si>
  <si>
    <t>10,50</t>
  </si>
  <si>
    <t>AYOLAS 1B 2,90</t>
  </si>
  <si>
    <t>AYOLAS 1B C/AV0,30 - 1,25 giro</t>
  </si>
  <si>
    <t>1,25</t>
  </si>
  <si>
    <t>AYOLAS 1B C/AV0,30 - 1,35 giro</t>
  </si>
  <si>
    <t>1,35</t>
  </si>
  <si>
    <t>5,50</t>
  </si>
  <si>
    <t>AYOLAS 1B C/AV0,30 - 1,45 Giro</t>
  </si>
  <si>
    <t>1,45</t>
  </si>
  <si>
    <t>AZEVILLE - pés em aço carbono com pintura</t>
  </si>
  <si>
    <t>AZEVILLE 1B C/AV0,60 - 2,40</t>
  </si>
  <si>
    <t>2,40</t>
  </si>
  <si>
    <t xml:space="preserve">1.12 </t>
  </si>
  <si>
    <t>0,80</t>
  </si>
  <si>
    <t>0,22</t>
  </si>
  <si>
    <t>AZEVILLE 1B C/AV0,60 - 2,60</t>
  </si>
  <si>
    <t>2,60</t>
  </si>
  <si>
    <t>AZEVILLE 1B C/AV0,60 - 2,80</t>
  </si>
  <si>
    <t>2,80</t>
  </si>
  <si>
    <t>AZEVILLE 1B C/AV0,60 - 3,20</t>
  </si>
  <si>
    <t>3,20</t>
  </si>
  <si>
    <t>20,00</t>
  </si>
  <si>
    <t>AZEVILLE 1B C/AV0,60 - 3,40</t>
  </si>
  <si>
    <t>3,40</t>
  </si>
  <si>
    <t>21,00</t>
  </si>
  <si>
    <t xml:space="preserve">AZEVILLE 1B C/AV0,60 - 3,60 </t>
  </si>
  <si>
    <t>3,60</t>
  </si>
  <si>
    <t>22,00</t>
  </si>
  <si>
    <t>AZEVILLE 2B 2,00</t>
  </si>
  <si>
    <t>AZEVILLE 2B 2,20</t>
  </si>
  <si>
    <t>2,20</t>
  </si>
  <si>
    <t>AZEVILLE 2B 2,40</t>
  </si>
  <si>
    <t>AZEVILLE 2B 2,60</t>
  </si>
  <si>
    <t>AZEVILLE 2B 2,80</t>
  </si>
  <si>
    <t>AZEVILLE 2B 3,00</t>
  </si>
  <si>
    <t>BANCO AREZZO - Base Mdf com lâmina Pvc</t>
  </si>
  <si>
    <t>BANCO AREZZO 1,60</t>
  </si>
  <si>
    <t xml:space="preserve">0.65 </t>
  </si>
  <si>
    <t>0,05</t>
  </si>
  <si>
    <t>BANCO AREZZO 2,00</t>
  </si>
  <si>
    <t>BANCO CHARLES - com pés em inox</t>
  </si>
  <si>
    <t xml:space="preserve">BANCO CHARLES </t>
  </si>
  <si>
    <t xml:space="preserve">0.80 </t>
  </si>
  <si>
    <t>0,60</t>
  </si>
  <si>
    <t>BORA</t>
  </si>
  <si>
    <t>2,22</t>
  </si>
  <si>
    <t xml:space="preserve">KIT ENCOSTO E ALMOFADA DECORATIVAS - BORA   </t>
  </si>
  <si>
    <t>CAMILLE - assento retrátil/ encosto articulado</t>
  </si>
  <si>
    <t>CAMILLE 1B 1,02</t>
  </si>
  <si>
    <t xml:space="preserve">1,15/1,57 </t>
  </si>
  <si>
    <t>0,82</t>
  </si>
  <si>
    <t xml:space="preserve">CAMILLE 1B 1,12 </t>
  </si>
  <si>
    <t>1,12</t>
  </si>
  <si>
    <t>CAMILLE 1B 1,22</t>
  </si>
  <si>
    <t>1,22</t>
  </si>
  <si>
    <t>CAMILLE 1B 1,42</t>
  </si>
  <si>
    <t>1,42</t>
  </si>
  <si>
    <t xml:space="preserve">CAMILLE CANTO </t>
  </si>
  <si>
    <t>1,18</t>
  </si>
  <si>
    <t xml:space="preserve">1.18 </t>
  </si>
  <si>
    <t xml:space="preserve">CAMILLE CHAISE 1,02 </t>
  </si>
  <si>
    <t xml:space="preserve">1,57/1,99 </t>
  </si>
  <si>
    <t xml:space="preserve">CAMILLE CHAISE 1,12 </t>
  </si>
  <si>
    <t>CAMILLE CHAISE 1,22</t>
  </si>
  <si>
    <t xml:space="preserve">CAMILLE RECAMIER </t>
  </si>
  <si>
    <t xml:space="preserve">1.15 </t>
  </si>
  <si>
    <t>CAMILLE S/B 0,80</t>
  </si>
  <si>
    <t>CAMILLE S/B 0,90</t>
  </si>
  <si>
    <t>0,90</t>
  </si>
  <si>
    <t>CAMILLE S/B 1,00</t>
  </si>
  <si>
    <t>CAMILLE S/B 1,20</t>
  </si>
  <si>
    <t>1,20</t>
  </si>
  <si>
    <t>TOUCH - AUTOMAÇÃO 1 ASSENTO</t>
  </si>
  <si>
    <t>TOUCH - AUTOMAÇÃO 2 ASSENTOS</t>
  </si>
  <si>
    <t>TOUCH - AUTOMAÇÃO 3 ASSENTOS</t>
  </si>
  <si>
    <t>KIT AUTOMAÇÃO ALEXA 1 ASSENTO</t>
  </si>
  <si>
    <t>OPCIONAL</t>
  </si>
  <si>
    <t xml:space="preserve">KIT AUTOMAÇÃO ALEXA 2 ASSENTOS </t>
  </si>
  <si>
    <t>KIT AUTOMAÇÃO ALEXA 3 ASSENTOS</t>
  </si>
  <si>
    <t>KIT AUTOMAÇÃO ALEXA 4 ASSENTOS</t>
  </si>
  <si>
    <t>CAMPONA</t>
  </si>
  <si>
    <t>CAMPONA 1B 2,08</t>
  </si>
  <si>
    <t xml:space="preserve">1.08 </t>
  </si>
  <si>
    <t>0,28</t>
  </si>
  <si>
    <t>CAMPONA 1B 2,38</t>
  </si>
  <si>
    <t>2,38</t>
  </si>
  <si>
    <t>CAMPONA 1B 2,68</t>
  </si>
  <si>
    <t>2,68</t>
  </si>
  <si>
    <t>CAMPONA 1B 2,98</t>
  </si>
  <si>
    <t>2,98</t>
  </si>
  <si>
    <t>CAMPONA 1B C/AV0,60 - 2,08</t>
  </si>
  <si>
    <t>CAMPONA 1B C/AV0,60 - 2,38</t>
  </si>
  <si>
    <t>CAMPONA 1B C/AV0,60 - 2,68</t>
  </si>
  <si>
    <t>CAMPONA 1B C/AV0,60 - 2,98</t>
  </si>
  <si>
    <t>CAMPONA 2B 2,08</t>
  </si>
  <si>
    <t>CAMPONA 2B 2,38</t>
  </si>
  <si>
    <t>CAMPONA 2B 2,68</t>
  </si>
  <si>
    <t>CAMPONA 2B 2,98</t>
  </si>
  <si>
    <t xml:space="preserve">CAMPONA CHAISE </t>
  </si>
  <si>
    <t>1,48</t>
  </si>
  <si>
    <t xml:space="preserve">1.68 </t>
  </si>
  <si>
    <t>CAPADOCIA - capa</t>
  </si>
  <si>
    <t>CAPADOCIA 2B 2,00</t>
  </si>
  <si>
    <t>0,87</t>
  </si>
  <si>
    <t>0,04</t>
  </si>
  <si>
    <t>CAPADOCIA 2B 2,20</t>
  </si>
  <si>
    <t>CAPADOCIA 2B 2,40</t>
  </si>
  <si>
    <t>CAPADOCIA 2B 2,60</t>
  </si>
  <si>
    <t>CAPADOCIA 2B 2,80</t>
  </si>
  <si>
    <t>CAPADOCIA 2B 3,00</t>
  </si>
  <si>
    <t>CHAISE CIBELE</t>
  </si>
  <si>
    <t>CHAISE CIBELE FIXA</t>
  </si>
  <si>
    <t xml:space="preserve">1.80 </t>
  </si>
  <si>
    <t>0,92</t>
  </si>
  <si>
    <t>CHAISE COLISEU</t>
  </si>
  <si>
    <t>CHAISE COLISEU FIXA</t>
  </si>
  <si>
    <t>1,92</t>
  </si>
  <si>
    <t xml:space="preserve">1.92 </t>
  </si>
  <si>
    <t>CORK</t>
  </si>
  <si>
    <t>CORK 1B 1,20</t>
  </si>
  <si>
    <t xml:space="preserve">1.02 </t>
  </si>
  <si>
    <t>0,20</t>
  </si>
  <si>
    <t>CORK 1B 1,40</t>
  </si>
  <si>
    <t>1,40</t>
  </si>
  <si>
    <t>CORK 2B 2,20</t>
  </si>
  <si>
    <t>CORK 2B 2,40</t>
  </si>
  <si>
    <t>CORK 2B 2,60</t>
  </si>
  <si>
    <t>CORK 2B 2,80</t>
  </si>
  <si>
    <t>29,00</t>
  </si>
  <si>
    <t>CORK 2B 3,00</t>
  </si>
  <si>
    <t>30,00</t>
  </si>
  <si>
    <t>CORK CANTO</t>
  </si>
  <si>
    <t xml:space="preserve">CORK CHAISE  </t>
  </si>
  <si>
    <t xml:space="preserve">1.60 </t>
  </si>
  <si>
    <t xml:space="preserve">CORK PUFF </t>
  </si>
  <si>
    <t xml:space="preserve">0.70 </t>
  </si>
  <si>
    <t>0,45</t>
  </si>
  <si>
    <t>CORK S/B 1,00</t>
  </si>
  <si>
    <t>CORK S/B 1,20</t>
  </si>
  <si>
    <t>CURVE</t>
  </si>
  <si>
    <t>CURVE 4,00X1,40</t>
  </si>
  <si>
    <t>4,00</t>
  </si>
  <si>
    <t xml:space="preserve">1,40 </t>
  </si>
  <si>
    <t>0,15</t>
  </si>
  <si>
    <t>CURVE 2,80X1,40</t>
  </si>
  <si>
    <t>DALOA - base (mdf) e pés (aço carbono) com lâmina natural</t>
  </si>
  <si>
    <t>DALOA 1B 1,03</t>
  </si>
  <si>
    <t>0,13</t>
  </si>
  <si>
    <t>DALOA 1B 1,13</t>
  </si>
  <si>
    <t>DALOA 1B 1,23</t>
  </si>
  <si>
    <t>DALOA 1B 1,33</t>
  </si>
  <si>
    <t>DALOA 1B 1,93</t>
  </si>
  <si>
    <t>DALOA 1B 2,13</t>
  </si>
  <si>
    <t>2,13</t>
  </si>
  <si>
    <t>DALOA 1B 2,33</t>
  </si>
  <si>
    <t>2,33</t>
  </si>
  <si>
    <t>DALOA 1B 2,53</t>
  </si>
  <si>
    <t>2,53</t>
  </si>
  <si>
    <t>DALOA 1B 2,73</t>
  </si>
  <si>
    <t>15,50</t>
  </si>
  <si>
    <t>DALOA 1B 2,93</t>
  </si>
  <si>
    <t>DALOA 1B C/AV0,42 - 1,55</t>
  </si>
  <si>
    <t>DALOA 1B C/AV0,42 - 1,65</t>
  </si>
  <si>
    <t>1,65</t>
  </si>
  <si>
    <t>DALOA 1B C/AV0,42 - 1,75</t>
  </si>
  <si>
    <t>DALOA 1B C/AV0,42 - 2,15</t>
  </si>
  <si>
    <t>DALOA 1B C/AV0,42 - 2,35</t>
  </si>
  <si>
    <t>2,35</t>
  </si>
  <si>
    <t>DALOA 1B C/AV0,42 - 2,55</t>
  </si>
  <si>
    <t>2,55</t>
  </si>
  <si>
    <t>DALOA 1B C/AV0,42 - 2,75</t>
  </si>
  <si>
    <t>DALOA 1B C/AV0,42 - 2,95</t>
  </si>
  <si>
    <t>2,95</t>
  </si>
  <si>
    <t>16,50</t>
  </si>
  <si>
    <t>DALOA 1B C/AV0,42 - 3,15</t>
  </si>
  <si>
    <t>3,15</t>
  </si>
  <si>
    <t>DALOA 1B C/AV0,42 - 3,35</t>
  </si>
  <si>
    <t>3,35</t>
  </si>
  <si>
    <t>17,50</t>
  </si>
  <si>
    <t>DALOA 2B 2,06</t>
  </si>
  <si>
    <t>2,06</t>
  </si>
  <si>
    <t>DALOA 2B 2,26</t>
  </si>
  <si>
    <t>DALOA 2B 2,46</t>
  </si>
  <si>
    <t>DALOA 2B 2,66</t>
  </si>
  <si>
    <t>DALOA 2B 2,86</t>
  </si>
  <si>
    <t>DALOA 2B 3,06</t>
  </si>
  <si>
    <t>DALOA 2B C/AV0,42 - 2,48</t>
  </si>
  <si>
    <t>2,48</t>
  </si>
  <si>
    <t>DALOA 2B C/AV0,42 - 2,68</t>
  </si>
  <si>
    <t>DALOA 2B C/AV0,42 - 2,88</t>
  </si>
  <si>
    <t>2,88</t>
  </si>
  <si>
    <t>DALOA 2B C/AV0,42 - 3,08</t>
  </si>
  <si>
    <t>3,08</t>
  </si>
  <si>
    <t>DALOA 2B C/AV0,42 - 3,28</t>
  </si>
  <si>
    <t>3,28</t>
  </si>
  <si>
    <t>DALOA 2B C/AV0,42 - 3,48</t>
  </si>
  <si>
    <t>3,48</t>
  </si>
  <si>
    <t>DALOA CHAISE</t>
  </si>
  <si>
    <t xml:space="preserve">1.55 </t>
  </si>
  <si>
    <t>DALOA CHAISE C/AV0,42</t>
  </si>
  <si>
    <t>DALOA PUFF 1,00</t>
  </si>
  <si>
    <t>DINNA 0,20 1B - 1,80</t>
  </si>
  <si>
    <t xml:space="preserve">0.95 </t>
  </si>
  <si>
    <t>DINNA 0,20 1B - 2,00</t>
  </si>
  <si>
    <t>DINNA 0,20 1B - 2,20</t>
  </si>
  <si>
    <t>DINNA 0,20 1B - 2,40</t>
  </si>
  <si>
    <t>DINNA 0,20 1B - 2,90</t>
  </si>
  <si>
    <t>DINNA 0,20 2B - 2,20</t>
  </si>
  <si>
    <t>DINNA 0,20 2B - 2,60</t>
  </si>
  <si>
    <t>DINNA 0,20 2B - 3,10</t>
  </si>
  <si>
    <t>DINNA 0,50 1B - 2,30</t>
  </si>
  <si>
    <t>0,50</t>
  </si>
  <si>
    <t>DINNA 0,50 1B - 3,20</t>
  </si>
  <si>
    <t>DINNA 0,50 2B - 2,80</t>
  </si>
  <si>
    <t>DINNA 0,50 2B - 3,70</t>
  </si>
  <si>
    <t>18,50</t>
  </si>
  <si>
    <t xml:space="preserve">DINNA PUFF </t>
  </si>
  <si>
    <t>DONGGUAN</t>
  </si>
  <si>
    <t>DONGGUAN 1B 2,53</t>
  </si>
  <si>
    <t>DONGGUAN 1B 2,73</t>
  </si>
  <si>
    <t xml:space="preserve">1.00 </t>
  </si>
  <si>
    <t>DONGGUAN 1B 2,93</t>
  </si>
  <si>
    <t>DONGGUAN 2B 2,20</t>
  </si>
  <si>
    <t>DONGGUAN 2B 2,40</t>
  </si>
  <si>
    <t>DONGGUAN 2B 2,60</t>
  </si>
  <si>
    <t>DONGGUAN 2B 2,80</t>
  </si>
  <si>
    <t>DONGGUAN 2B 3,00</t>
  </si>
  <si>
    <t>DONGGUAN CH 2,20</t>
  </si>
  <si>
    <t xml:space="preserve">1,33 </t>
  </si>
  <si>
    <t>DONNA</t>
  </si>
  <si>
    <t xml:space="preserve">DONNA </t>
  </si>
  <si>
    <t>3,12</t>
  </si>
  <si>
    <t xml:space="preserve">1.40 </t>
  </si>
  <si>
    <t>ELLUS 1B 1,77</t>
  </si>
  <si>
    <t>1,77</t>
  </si>
  <si>
    <t>0,23</t>
  </si>
  <si>
    <t>ELLUS 1B 1,97</t>
  </si>
  <si>
    <t>1,97</t>
  </si>
  <si>
    <t>ELLUS 1B 2,17</t>
  </si>
  <si>
    <t>2,17</t>
  </si>
  <si>
    <t>ELLUS 1B 2,37</t>
  </si>
  <si>
    <t>2,37</t>
  </si>
  <si>
    <t>ELLUS 1B 2,57</t>
  </si>
  <si>
    <t>2,57</t>
  </si>
  <si>
    <t>ELLUS 1B 2,77</t>
  </si>
  <si>
    <t>2,77</t>
  </si>
  <si>
    <t>ELLUS 2B 1,80</t>
  </si>
  <si>
    <t>ELLUS 2B 2,00</t>
  </si>
  <si>
    <t>ELLUS 2B 2,20</t>
  </si>
  <si>
    <t>ELLUS 2B 2,40</t>
  </si>
  <si>
    <t>ELLUS 2B 2,60</t>
  </si>
  <si>
    <t>ELLUS 2B 2,80</t>
  </si>
  <si>
    <t>ELLUS 2B 3,00</t>
  </si>
  <si>
    <t xml:space="preserve">ELLUS CHAISE 1,00 </t>
  </si>
  <si>
    <t xml:space="preserve">ELLUS CHAISE 1,20 </t>
  </si>
  <si>
    <t>ELLUS PUFF 1,00X1,00</t>
  </si>
  <si>
    <t>0,42</t>
  </si>
  <si>
    <t>ELLUS PUFF 1,20X0,60</t>
  </si>
  <si>
    <t xml:space="preserve">0.60 </t>
  </si>
  <si>
    <t>ELLUS PUFF 1,20X1,20</t>
  </si>
  <si>
    <t xml:space="preserve">1.20 </t>
  </si>
  <si>
    <t>ELLUS PUFF 1,60X0,60</t>
  </si>
  <si>
    <t>4,50</t>
  </si>
  <si>
    <t xml:space="preserve">ENGER - pés em aço carbono com pintura e madeira: natural, mel ou tabaco - braços com detalhe em couro natural </t>
  </si>
  <si>
    <t>ENGER 1B 2,00</t>
  </si>
  <si>
    <t>0,77</t>
  </si>
  <si>
    <t>ENGER 1B 2,20</t>
  </si>
  <si>
    <t>ENGER 1B 2,40</t>
  </si>
  <si>
    <t>ENGER 1B 2,60</t>
  </si>
  <si>
    <t>ENGER 1B 2,80</t>
  </si>
  <si>
    <t>ENGER 1B C/AV0,97 - 2,17</t>
  </si>
  <si>
    <t>ENGER 1B C/AV0,97 - 2,77</t>
  </si>
  <si>
    <t>ENGER 1B C/AV0,97 - 2,97</t>
  </si>
  <si>
    <t>2,97</t>
  </si>
  <si>
    <t>ENGER 1B C/AV0,97 - 3,17</t>
  </si>
  <si>
    <t>3,17</t>
  </si>
  <si>
    <t>ENGER 1B C/AV0,97 - 3,37</t>
  </si>
  <si>
    <t>3,37</t>
  </si>
  <si>
    <t>ENGER 1B C/AV0,97 - 3,57</t>
  </si>
  <si>
    <t>3,57</t>
  </si>
  <si>
    <t>ENGER 1B C/AV0,97 - 3,77</t>
  </si>
  <si>
    <t>3,77</t>
  </si>
  <si>
    <t>ENGER 2B 2,20</t>
  </si>
  <si>
    <t>ENGER 2B 2,40</t>
  </si>
  <si>
    <t>ENGER 2B 2,60</t>
  </si>
  <si>
    <t>ENGER 2B 2,80</t>
  </si>
  <si>
    <t>ENGER 2B 3,00</t>
  </si>
  <si>
    <t>EROS 1B 2,25</t>
  </si>
  <si>
    <t>EROS 1B 2,45</t>
  </si>
  <si>
    <t>2,45</t>
  </si>
  <si>
    <t>EROS 1B 2,65</t>
  </si>
  <si>
    <t>2,65</t>
  </si>
  <si>
    <t>EROS 1B 2,85</t>
  </si>
  <si>
    <t>2,85</t>
  </si>
  <si>
    <t>EROS 2B 2,20</t>
  </si>
  <si>
    <t>EROS 2B 2,40</t>
  </si>
  <si>
    <t>EROS 2B 2,60</t>
  </si>
  <si>
    <t>EROS 2B 2,80</t>
  </si>
  <si>
    <t>EROS 2B 3,00</t>
  </si>
  <si>
    <t>EROS CHAISE 1,15</t>
  </si>
  <si>
    <t>1,15</t>
  </si>
  <si>
    <t>EROS CHAISE S/B 1,00</t>
  </si>
  <si>
    <t>EROS CHAISE S/B 1,30</t>
  </si>
  <si>
    <t>1,30</t>
  </si>
  <si>
    <t xml:space="preserve">EROS PUFF </t>
  </si>
  <si>
    <t>0,44</t>
  </si>
  <si>
    <t>FERRARA</t>
  </si>
  <si>
    <t>FERRARA 1B 1,73</t>
  </si>
  <si>
    <t>0,71</t>
  </si>
  <si>
    <t>0,33</t>
  </si>
  <si>
    <t>FERRARA 1B 2,03</t>
  </si>
  <si>
    <t>FERRARA 1B 2,33</t>
  </si>
  <si>
    <t>FERRARA 2B 2,06</t>
  </si>
  <si>
    <t>FERRARA 2B 2,36</t>
  </si>
  <si>
    <t>2,36</t>
  </si>
  <si>
    <t>FERRARA 2B 2,66</t>
  </si>
  <si>
    <t>FERRARA 2B 3,00</t>
  </si>
  <si>
    <t xml:space="preserve">FERRARA CHAISE </t>
  </si>
  <si>
    <t xml:space="preserve">1.65 </t>
  </si>
  <si>
    <t>FERRARA LARGE 1B 1,73</t>
  </si>
  <si>
    <t xml:space="preserve">1,05 </t>
  </si>
  <si>
    <t>FERRARA LARGE 1B 2,03</t>
  </si>
  <si>
    <t>FERRARA LARGE 1B 2,33</t>
  </si>
  <si>
    <t>FERRARA LARGE 2B 2,06</t>
  </si>
  <si>
    <t>FERRARA LARGE 2B 2,36</t>
  </si>
  <si>
    <t>FERRARA LARGE 2B 2,66</t>
  </si>
  <si>
    <t>FERRARA LARGE 2B 3,00</t>
  </si>
  <si>
    <t xml:space="preserve">FERRARA LARGE CHAISE </t>
  </si>
  <si>
    <t>GAÉLI</t>
  </si>
  <si>
    <t>GAELI 1B 1,25</t>
  </si>
  <si>
    <t>GAELI 1B 1,35</t>
  </si>
  <si>
    <t>GAELI 1B 1,45</t>
  </si>
  <si>
    <t>GAELI 1B 1,55</t>
  </si>
  <si>
    <t>GAELI 1B 1,65</t>
  </si>
  <si>
    <t>GAELI 1B 1,75</t>
  </si>
  <si>
    <t>GAELI 2B 2,50</t>
  </si>
  <si>
    <t>GAELI 2B 2,70</t>
  </si>
  <si>
    <t>GAELI 2B 2,90</t>
  </si>
  <si>
    <t>GAELI 2B 3,10</t>
  </si>
  <si>
    <t>GAELI CHAISE 1B 1,25</t>
  </si>
  <si>
    <t xml:space="preserve">1.70 </t>
  </si>
  <si>
    <t>GAELI CHAISE 1B 1,35</t>
  </si>
  <si>
    <t>GAELI CHAISE 1B 1,45</t>
  </si>
  <si>
    <t>GAELI CHAISE 1B 1,55</t>
  </si>
  <si>
    <t>GAELI CHAISE S/B 1,00</t>
  </si>
  <si>
    <t>GAELI CHAISE S/B 1,10</t>
  </si>
  <si>
    <t>GAELI CHAISE S/B 1,20</t>
  </si>
  <si>
    <t>GAELI CHAISE S/B 1,30</t>
  </si>
  <si>
    <t>GAELI CHAISE S/B 1,40</t>
  </si>
  <si>
    <t>GAELI PUFF 1,40 C/ ALMOFADAS</t>
  </si>
  <si>
    <t>0,41</t>
  </si>
  <si>
    <t>GAELI PUFF 1,60 C/ ALMOFADAS</t>
  </si>
  <si>
    <t>GAELI PUFF 1,80 C/ ALMOFADAS</t>
  </si>
  <si>
    <t>GAELI PUFF 2,00 C/ ALMOFADAS</t>
  </si>
  <si>
    <t>GAELI PUFF 2,20 C/ ALMOFADAS</t>
  </si>
  <si>
    <t>GAELI PUFF 2,40 C/ ALMOFADAS</t>
  </si>
  <si>
    <t>GAELI PUFF 2,60 C/ ALMOFADAS</t>
  </si>
  <si>
    <t>GAELI PUFF 2,80 C/ ALMOFADAS</t>
  </si>
  <si>
    <t>GAELI PUFF 3,00 C/ ALMOFADAS</t>
  </si>
  <si>
    <t>GAELI PUFF 3,20 C/ ALMOFADAS</t>
  </si>
  <si>
    <t>GAELI S/B 2,20 C/BICO 0,70</t>
  </si>
  <si>
    <t>GAELI S/B 2,40 C/BICO 0,70</t>
  </si>
  <si>
    <t>GAELI S/B 2,60 C/BICO 0,70</t>
  </si>
  <si>
    <t>GAELI S/B 2,80 C/BICO 0,70</t>
  </si>
  <si>
    <t>GAELI S/B 3,00 C/BICO 0,70</t>
  </si>
  <si>
    <t>GAELI SB 1,40</t>
  </si>
  <si>
    <t>GAELI SB 1,60</t>
  </si>
  <si>
    <t>GAELI SB 1,80</t>
  </si>
  <si>
    <t>GAELI SB 2,00</t>
  </si>
  <si>
    <t>GAELI SB 2,20</t>
  </si>
  <si>
    <t>GAELI SB 2,40</t>
  </si>
  <si>
    <t>ACESSÓRIO BRAÇO COM BANDEJA</t>
  </si>
  <si>
    <t>AUMENTA 12 CM NA MEDIDA DO SOFÁ</t>
  </si>
  <si>
    <t>GUSTAV - pés em alumínio com pintura</t>
  </si>
  <si>
    <t>GUSTAV 2B 2,00</t>
  </si>
  <si>
    <t>GUSTAV 2B 2,20</t>
  </si>
  <si>
    <t>GUSTAV 2B 2,40</t>
  </si>
  <si>
    <t>GUSTAV 2B 2,60</t>
  </si>
  <si>
    <t>GUSTAV 2B 2,80</t>
  </si>
  <si>
    <t>GUSTAV 2B 3,00</t>
  </si>
  <si>
    <t>KANSAS</t>
  </si>
  <si>
    <t>KANSAS 2B 2,10</t>
  </si>
  <si>
    <t xml:space="preserve">0.90 </t>
  </si>
  <si>
    <t>0,69</t>
  </si>
  <si>
    <t>0,30</t>
  </si>
  <si>
    <t>KANSAS 2B 2,40</t>
  </si>
  <si>
    <t>KANSAS 2B 2,70</t>
  </si>
  <si>
    <t>KANSAS 2B 3,00</t>
  </si>
  <si>
    <t xml:space="preserve">KENT - base em madeira com pintura: natural - mel - tabaco </t>
  </si>
  <si>
    <t>KENT 2B 2,00</t>
  </si>
  <si>
    <t>0,18</t>
  </si>
  <si>
    <t>KENT 2B 2,20</t>
  </si>
  <si>
    <t>KENT 2B 2,40</t>
  </si>
  <si>
    <t>KENT 2B 2,60</t>
  </si>
  <si>
    <t>KENT 2B 2,80</t>
  </si>
  <si>
    <t>KENT 2B 3,00</t>
  </si>
  <si>
    <t>LAMON 1B 2,12</t>
  </si>
  <si>
    <t>2,12</t>
  </si>
  <si>
    <t xml:space="preserve">1.05 </t>
  </si>
  <si>
    <t>LAMON 1B 2,32</t>
  </si>
  <si>
    <t>2,32</t>
  </si>
  <si>
    <t>LAMON 1B 2,52</t>
  </si>
  <si>
    <t>2,52</t>
  </si>
  <si>
    <t>LAMON 1B 2,72</t>
  </si>
  <si>
    <t>2,72</t>
  </si>
  <si>
    <t>LAMON 1B 2,92</t>
  </si>
  <si>
    <t>2,92</t>
  </si>
  <si>
    <t>LAMON 1B 3,12</t>
  </si>
  <si>
    <t>LAMON 1B C/AV - 2,87</t>
  </si>
  <si>
    <t>2,87</t>
  </si>
  <si>
    <t>LAMON 1B C/AV - 3,07</t>
  </si>
  <si>
    <t>3,07</t>
  </si>
  <si>
    <t>LAMON 1B C/AV - 3,27</t>
  </si>
  <si>
    <t>3,27</t>
  </si>
  <si>
    <t>LAMON 1B C/AV - 3,47</t>
  </si>
  <si>
    <t>3,47</t>
  </si>
  <si>
    <t>LAMON 1B C/AV - 3,67</t>
  </si>
  <si>
    <t>3,67</t>
  </si>
  <si>
    <t>LAMON 1B C/AV - 3,87</t>
  </si>
  <si>
    <t>3,87</t>
  </si>
  <si>
    <t>LAMON 2B 2,24</t>
  </si>
  <si>
    <t>2,24</t>
  </si>
  <si>
    <t>LAMON 2B 2,44</t>
  </si>
  <si>
    <t>2,44</t>
  </si>
  <si>
    <t>LAMON 2B 2,64</t>
  </si>
  <si>
    <t>2,64</t>
  </si>
  <si>
    <t>LAMON 2B 2,84</t>
  </si>
  <si>
    <t>2,84</t>
  </si>
  <si>
    <t>LAMON 2B 3,04</t>
  </si>
  <si>
    <t>3,04</t>
  </si>
  <si>
    <t>LAMON 2B 3,24</t>
  </si>
  <si>
    <t>3,24</t>
  </si>
  <si>
    <t>LOREDO - pés em aço carbono com pintura</t>
  </si>
  <si>
    <t>LOREDO 1B 1,80</t>
  </si>
  <si>
    <t xml:space="preserve">0.92 </t>
  </si>
  <si>
    <t>0,83</t>
  </si>
  <si>
    <t>0,08</t>
  </si>
  <si>
    <t>LOREDO 1B 2,00</t>
  </si>
  <si>
    <t>LOREDO 1B 2,20</t>
  </si>
  <si>
    <t>LOREDO 1B 2,40</t>
  </si>
  <si>
    <t>LOREDO 1B 2,60</t>
  </si>
  <si>
    <t>LOREDO 1B 2,80</t>
  </si>
  <si>
    <t>LOREDO 2B 1,80</t>
  </si>
  <si>
    <t>LOREDO 2B 2,00</t>
  </si>
  <si>
    <t>LOREDO 2B 2,20</t>
  </si>
  <si>
    <t>LOREDO 2B 2,40</t>
  </si>
  <si>
    <t>LOREDO 2B 2,60</t>
  </si>
  <si>
    <t>LOREDO 2B 2,80</t>
  </si>
  <si>
    <t>LOREDO 2B 3,00</t>
  </si>
  <si>
    <t xml:space="preserve">LOREDO CHAISE 1,10 </t>
  </si>
  <si>
    <t xml:space="preserve">1.50 </t>
  </si>
  <si>
    <t xml:space="preserve">LOREDO CHAISE 1,20 </t>
  </si>
  <si>
    <t>LOREDO CHAISE 1,30</t>
  </si>
  <si>
    <t>MALBEC - pés em alumínio com pintura</t>
  </si>
  <si>
    <t>MALBEC 1B 1,30</t>
  </si>
  <si>
    <t>MALBEC 1B 1,40</t>
  </si>
  <si>
    <t>MALBEC 1B 1,50</t>
  </si>
  <si>
    <t>MALBEC 1B 1,95</t>
  </si>
  <si>
    <t>MALBEC 1B 2,15</t>
  </si>
  <si>
    <t>MALBEC 1B 2,35</t>
  </si>
  <si>
    <t>MALBEC 1B 2,55</t>
  </si>
  <si>
    <t>MALBEC 1B 2,75</t>
  </si>
  <si>
    <t>MALBEC 2B 2,20</t>
  </si>
  <si>
    <t>MALBEC 2B 2,40</t>
  </si>
  <si>
    <t xml:space="preserve">MALBEC 2B 2,60 </t>
  </si>
  <si>
    <t xml:space="preserve">MALBEC 2B 2,80 </t>
  </si>
  <si>
    <t>20,50</t>
  </si>
  <si>
    <t xml:space="preserve">MALBEC 2B 3,00 </t>
  </si>
  <si>
    <t xml:space="preserve">MALBEC CANTO </t>
  </si>
  <si>
    <t xml:space="preserve">MALBEC PUFF </t>
  </si>
  <si>
    <t xml:space="preserve">1.01 </t>
  </si>
  <si>
    <t>MALBEC S/B C/AV - 1,45</t>
  </si>
  <si>
    <t>MALBEC S/B C/AV - 1,55</t>
  </si>
  <si>
    <t>MALBEC S/B C/AV - 1,65</t>
  </si>
  <si>
    <t>MALONE</t>
  </si>
  <si>
    <t>MALONE 1B 1,30</t>
  </si>
  <si>
    <t>MALONE 1B 1,40</t>
  </si>
  <si>
    <t>MALONE 1B 1,50</t>
  </si>
  <si>
    <t>MALONE CTO 1,00</t>
  </si>
  <si>
    <t>MALONE SB 1,05</t>
  </si>
  <si>
    <t>MALONE SB 1,15</t>
  </si>
  <si>
    <t>MALONE SB 1,25</t>
  </si>
  <si>
    <t>MELLEN</t>
  </si>
  <si>
    <t>MELLEN 1B 2,15</t>
  </si>
  <si>
    <t xml:space="preserve">1,02 </t>
  </si>
  <si>
    <t>0,75</t>
  </si>
  <si>
    <t>MELLEN 1B 2,35</t>
  </si>
  <si>
    <t>MELLEN 1B 2,55</t>
  </si>
  <si>
    <t>MELLEN 1B 2,75</t>
  </si>
  <si>
    <t>MELLEN 2B 2,00</t>
  </si>
  <si>
    <t>MELLEN 2B 2,20</t>
  </si>
  <si>
    <t>MELLEN 2B 2,40</t>
  </si>
  <si>
    <t>MELLEN 2B 2,60</t>
  </si>
  <si>
    <t>MELLEN 2B 2,80</t>
  </si>
  <si>
    <t>MELLEN 2B 3,00</t>
  </si>
  <si>
    <t>MELLEN CH 1,20</t>
  </si>
  <si>
    <t xml:space="preserve">1,57 </t>
  </si>
  <si>
    <t>MELLEN CH 1,30</t>
  </si>
  <si>
    <t>MELLEN CH 1,40</t>
  </si>
  <si>
    <t>MELLEN CH 1,50</t>
  </si>
  <si>
    <t>MEPPEL</t>
  </si>
  <si>
    <t>MEPPEL 2B 2,00</t>
  </si>
  <si>
    <t>MEPPEL 2B 2,20</t>
  </si>
  <si>
    <t>MEPPEL 2B 2,40</t>
  </si>
  <si>
    <t>31,00</t>
  </si>
  <si>
    <t>MEPPEL 2B 2,60</t>
  </si>
  <si>
    <t>32,00</t>
  </si>
  <si>
    <t>MEPPEL 2B 2,80</t>
  </si>
  <si>
    <t>33,00</t>
  </si>
  <si>
    <t>MEPPEL 2B 3,00</t>
  </si>
  <si>
    <t>34,00</t>
  </si>
  <si>
    <t>MEPPEL CHAISE 1,00</t>
  </si>
  <si>
    <t xml:space="preserve">1,60 </t>
  </si>
  <si>
    <t>MEPPEL CHAISE 1,20</t>
  </si>
  <si>
    <t>MILAN - pés alumínio com lâmina pvc</t>
  </si>
  <si>
    <t>MILAN 1B 1,98</t>
  </si>
  <si>
    <t xml:space="preserve">0.93 </t>
  </si>
  <si>
    <t>MILAN 1B 2,18</t>
  </si>
  <si>
    <t>2,18</t>
  </si>
  <si>
    <t>MILAN 1B 2,38</t>
  </si>
  <si>
    <t>MILAN 1B 2,58</t>
  </si>
  <si>
    <t>2,58</t>
  </si>
  <si>
    <t>MILAN 2B 1,96</t>
  </si>
  <si>
    <t>MILAN 2B 2,16</t>
  </si>
  <si>
    <t>MILAN 2B 2,36</t>
  </si>
  <si>
    <t>MILAN 2B 2,56</t>
  </si>
  <si>
    <t>2,56</t>
  </si>
  <si>
    <t>MILAN 2B 2,76</t>
  </si>
  <si>
    <t>2,76</t>
  </si>
  <si>
    <t xml:space="preserve">MILAN CHAISE </t>
  </si>
  <si>
    <t>MOEMA - base em aço carbono com pintura</t>
  </si>
  <si>
    <t>MOEMA 1B 1,80</t>
  </si>
  <si>
    <t>MOEMA 1B 2,00</t>
  </si>
  <si>
    <t>MOEMA 1B 2,20</t>
  </si>
  <si>
    <t>MOEMA 1B 2,40</t>
  </si>
  <si>
    <t>MOEMA 1B 2,60</t>
  </si>
  <si>
    <t>MOEMA 1B 2,80</t>
  </si>
  <si>
    <t>MOEMA 2B 1,80</t>
  </si>
  <si>
    <t>MOEMA 2B 2,00</t>
  </si>
  <si>
    <t>MOEMA 2B 2,20</t>
  </si>
  <si>
    <t>MOEMA 2B 2,40</t>
  </si>
  <si>
    <t>MOEMA 2B 2,60</t>
  </si>
  <si>
    <t>MOEMA 2B 2,80</t>
  </si>
  <si>
    <t>MOEMA 2B 3,00</t>
  </si>
  <si>
    <t xml:space="preserve">MOEMA CH 1,10 </t>
  </si>
  <si>
    <t xml:space="preserve">MOEMA CH 1,20 </t>
  </si>
  <si>
    <t>MOEMA CH 1,30</t>
  </si>
  <si>
    <t>MORBELO - base em aço carbono com pintura - avanço em mdf com lâmina natural</t>
  </si>
  <si>
    <t>MORBELO 1B C/BICO - 2,10</t>
  </si>
  <si>
    <t>MORBELO 1B C/BICO - 2,30</t>
  </si>
  <si>
    <t>MORBELO 1B C/BICO - 2,50</t>
  </si>
  <si>
    <t>MORBELO 1B C/BICO - 2,70</t>
  </si>
  <si>
    <t>MORBELO 1B C/BICO - 2,90</t>
  </si>
  <si>
    <t>MORBELO 1B C/BICO C/AV - 2,50</t>
  </si>
  <si>
    <t>MORBELO 1B C/BICO C/AV - 2,70</t>
  </si>
  <si>
    <t>MORBELO 1B C/BICO C/AV - 2,90</t>
  </si>
  <si>
    <t>MORBELO 1B C/BICO C/AV - 3,10</t>
  </si>
  <si>
    <t>MORBELO 1B C/BICO C/AV - 3,30</t>
  </si>
  <si>
    <t>MORBELO 2B 2,00</t>
  </si>
  <si>
    <t>MORBELO 2B 2,20</t>
  </si>
  <si>
    <t>MORBELO 2B 2,40</t>
  </si>
  <si>
    <t>MORBELO 2B 2,60</t>
  </si>
  <si>
    <t>MORBELO 2B 2,80</t>
  </si>
  <si>
    <t>MORBELO 2B 3,00</t>
  </si>
  <si>
    <t xml:space="preserve">MORBELO CHAISE </t>
  </si>
  <si>
    <t>MORBELO PUFF</t>
  </si>
  <si>
    <t>0,43</t>
  </si>
  <si>
    <t>MORBELO S/B 1,40</t>
  </si>
  <si>
    <t>MORBELO S/B 1,60</t>
  </si>
  <si>
    <t>MORBELO S/B 1,80</t>
  </si>
  <si>
    <t>MORBELO S/B 2,00</t>
  </si>
  <si>
    <t>MORBELO S/B C/AV - 1,80</t>
  </si>
  <si>
    <t>MORBELO S/B C/AV - 2,00</t>
  </si>
  <si>
    <t>MORBELO S/B C/AV - 2,20</t>
  </si>
  <si>
    <t>MORBELO S/B C/AV - 2,40</t>
  </si>
  <si>
    <t>MORETTI</t>
  </si>
  <si>
    <t xml:space="preserve">MORETTI 1B 1,25 </t>
  </si>
  <si>
    <t xml:space="preserve">1,25/1,80 </t>
  </si>
  <si>
    <t xml:space="preserve">MORETTI 1B 1,45 </t>
  </si>
  <si>
    <t xml:space="preserve">MORETTI 1B 1,65 </t>
  </si>
  <si>
    <t xml:space="preserve">MORETTI 1B 1,85 </t>
  </si>
  <si>
    <t>1,85</t>
  </si>
  <si>
    <t>MORETTI C/ BICO - 1,20</t>
  </si>
  <si>
    <t xml:space="preserve">MORETTI CANTO </t>
  </si>
  <si>
    <t>1,27</t>
  </si>
  <si>
    <t xml:space="preserve">1,25 </t>
  </si>
  <si>
    <t>MORETTI CANTO S/CATRACA</t>
  </si>
  <si>
    <t xml:space="preserve">MORETTI PUFF </t>
  </si>
  <si>
    <t xml:space="preserve">1.27 </t>
  </si>
  <si>
    <t>MORETTI S/B 1,00</t>
  </si>
  <si>
    <t>MORETTI S/B 1,20</t>
  </si>
  <si>
    <t>MORETTI S/B 1,40</t>
  </si>
  <si>
    <t>MORETTI S/B 1,60</t>
  </si>
  <si>
    <t>MURRAY - CAPA</t>
  </si>
  <si>
    <t>MURRAY 2B 2,10</t>
  </si>
  <si>
    <t xml:space="preserve">0,95 </t>
  </si>
  <si>
    <t>0,06</t>
  </si>
  <si>
    <t>MURRAY 2B 2,30</t>
  </si>
  <si>
    <t>MURRAY 2B 2,50</t>
  </si>
  <si>
    <t>MURRAY 2B 2,70</t>
  </si>
  <si>
    <t>MURRAY 2B 2,90</t>
  </si>
  <si>
    <t>NANDA</t>
  </si>
  <si>
    <t>NANDA 1B 1,40</t>
  </si>
  <si>
    <t>NANDA 1B 1,50</t>
  </si>
  <si>
    <t>NANDA 2B 2,20</t>
  </si>
  <si>
    <t>NANDA 2B 2,40</t>
  </si>
  <si>
    <t>NANDA 2B 2,60</t>
  </si>
  <si>
    <t>NANDA 2B 2,80</t>
  </si>
  <si>
    <t>NANDA 2B 3,00</t>
  </si>
  <si>
    <t>NANDA CANTO</t>
  </si>
  <si>
    <t xml:space="preserve">NANDA CHAISE </t>
  </si>
  <si>
    <t xml:space="preserve">NANDA PUFF </t>
  </si>
  <si>
    <t>NEVADA SOFÁ CAMA</t>
  </si>
  <si>
    <t xml:space="preserve">NEVADA SOFÁ CAMA </t>
  </si>
  <si>
    <t xml:space="preserve">0,95/1,30 </t>
  </si>
  <si>
    <t>OLIMPO - base em aço carbono com lâmina natural</t>
  </si>
  <si>
    <t>OLIMPO 2B 1,80</t>
  </si>
  <si>
    <t>0,76</t>
  </si>
  <si>
    <t>OLIMPO 2B 2,00</t>
  </si>
  <si>
    <t>OLIMPO 2B 2,20</t>
  </si>
  <si>
    <t>OLIMPO 2B 2,40</t>
  </si>
  <si>
    <t>OLIMPO 2B 2,60</t>
  </si>
  <si>
    <t>OLIMPO 2B 2,80</t>
  </si>
  <si>
    <t>OLIMPO 2B 3,00</t>
  </si>
  <si>
    <t>ORLA --  base em mdf revestida com lâmina natural</t>
  </si>
  <si>
    <t>ORLA 1B 1,54</t>
  </si>
  <si>
    <t>1,54</t>
  </si>
  <si>
    <t>ORLA 1B 2,30 AV</t>
  </si>
  <si>
    <t>ORLA CR 1,54</t>
  </si>
  <si>
    <t>ORLA CR 2,30 AV</t>
  </si>
  <si>
    <t>PALATA - pés em alumínio com lâmina natural</t>
  </si>
  <si>
    <t>PALATA 2B 2,00</t>
  </si>
  <si>
    <t>PALATA 2B 2,20</t>
  </si>
  <si>
    <t>PALATA 2B 2,40</t>
  </si>
  <si>
    <t>PALATA 2B 2,60</t>
  </si>
  <si>
    <t>PALATA 2B 2,80</t>
  </si>
  <si>
    <t>PALATA 2B 3,00</t>
  </si>
  <si>
    <t>PALERMO SOFÁ CAMA</t>
  </si>
  <si>
    <t xml:space="preserve">0,95/1,32 </t>
  </si>
  <si>
    <t>PAOLA</t>
  </si>
  <si>
    <t>PAOLA 2B 1,80</t>
  </si>
  <si>
    <t>PAOLA 2B 2,00</t>
  </si>
  <si>
    <t>PAOLA 2B 2,20</t>
  </si>
  <si>
    <t>PAOLA 2B 2,40</t>
  </si>
  <si>
    <t>PAOLA 2B 2,60</t>
  </si>
  <si>
    <t>PAOLA 2B 2,80</t>
  </si>
  <si>
    <t xml:space="preserve">PARETO - base em aço carbono com lâmina natural </t>
  </si>
  <si>
    <t>PARETO 1B 1,60</t>
  </si>
  <si>
    <t>PARETO 1B 1,80</t>
  </si>
  <si>
    <t>PARETO 1B 2,00</t>
  </si>
  <si>
    <t>PARETO 1B 2,20</t>
  </si>
  <si>
    <t>PARETO 1B 2,40</t>
  </si>
  <si>
    <t>PARETO 1B 2,60</t>
  </si>
  <si>
    <t>PARETO 1B C/AV - 2,00</t>
  </si>
  <si>
    <t>PARETO 1B C/AV - 2,20</t>
  </si>
  <si>
    <t>PARETO 1B C/AV - 2,40</t>
  </si>
  <si>
    <t>PARETO 1B C/AV - 2,60</t>
  </si>
  <si>
    <t>PARETO 1B C/AV - 2,80</t>
  </si>
  <si>
    <t>PARETO 1B C/AV - 3,00</t>
  </si>
  <si>
    <t>PARETO 1B C/AV C/BICO - 2,60</t>
  </si>
  <si>
    <t>PARETO 1B C/AV C/BICO - 2,80</t>
  </si>
  <si>
    <t>PARETO 1B C/AV C/BICO - 3,00</t>
  </si>
  <si>
    <t>PARETO 1B C/AV C/BICO - 3,20</t>
  </si>
  <si>
    <t>PARETO 1B C/AV C/BICO - 3,40</t>
  </si>
  <si>
    <t>PARETO 1B C/BICO - 2,20</t>
  </si>
  <si>
    <t>PARETO 1B C/BICO - 2,40</t>
  </si>
  <si>
    <t>PARETO 1B C/BICO - 2,60</t>
  </si>
  <si>
    <t>PARETO 1B C/BICO - 2,80</t>
  </si>
  <si>
    <t>PARETO 1B C/BICO - 3,00</t>
  </si>
  <si>
    <t>PARETO 2B 1,82</t>
  </si>
  <si>
    <t>1,82</t>
  </si>
  <si>
    <t>PARETO 2B 2,02</t>
  </si>
  <si>
    <t>2,02</t>
  </si>
  <si>
    <t>PARETO 2B 2,22</t>
  </si>
  <si>
    <t>PARETO 2B 2,42</t>
  </si>
  <si>
    <t>2,42</t>
  </si>
  <si>
    <t>PARETO 2B 2,62</t>
  </si>
  <si>
    <t>2,62</t>
  </si>
  <si>
    <t>PARETO 2B 2,82</t>
  </si>
  <si>
    <t>2,82</t>
  </si>
  <si>
    <t>PARETO 2B C/AV - 2,22</t>
  </si>
  <si>
    <t>PARETO 2B C/AV - 2,42</t>
  </si>
  <si>
    <t>PARETO 2B C/AV - 2,62</t>
  </si>
  <si>
    <t>PARETO 2B C/AV - 2,82</t>
  </si>
  <si>
    <t>PARETO 2B C/AV - 3,02</t>
  </si>
  <si>
    <t>3,02</t>
  </si>
  <si>
    <t>PARETO 2B C/AV - 3,22</t>
  </si>
  <si>
    <t>3,22</t>
  </si>
  <si>
    <t>PARETO PUFF</t>
  </si>
  <si>
    <t>PISSARRO</t>
  </si>
  <si>
    <t>PISSARRO 1B 1,25</t>
  </si>
  <si>
    <t xml:space="preserve">1,28/1,83 </t>
  </si>
  <si>
    <t>PISSARRO 1B 1,45</t>
  </si>
  <si>
    <t>PISSARRO 1B 1,65</t>
  </si>
  <si>
    <t>PISSARRO 1B 1,85</t>
  </si>
  <si>
    <t>PISSARRO S/B 1,03</t>
  </si>
  <si>
    <t>PISSARRO S/B 1,23</t>
  </si>
  <si>
    <t>PISSARRO S/B 1,63</t>
  </si>
  <si>
    <t>POLO - capa</t>
  </si>
  <si>
    <t>POLO CAPA 1B 1,30</t>
  </si>
  <si>
    <t>POLO CAPA 1B 1,50</t>
  </si>
  <si>
    <t>POLO CAPA 2B 2,60</t>
  </si>
  <si>
    <t>35,00</t>
  </si>
  <si>
    <t>POLO CAPA 2B 2,80</t>
  </si>
  <si>
    <t>38,00</t>
  </si>
  <si>
    <t>POLO CAPA 2B 3,00</t>
  </si>
  <si>
    <t>40,00</t>
  </si>
  <si>
    <t xml:space="preserve">POLO PUFF </t>
  </si>
  <si>
    <t>PUFF BAR</t>
  </si>
  <si>
    <t>PUFF BAR 0,60</t>
  </si>
  <si>
    <t>PUFF BAR 0,80</t>
  </si>
  <si>
    <t>PUFF BAR 1,00</t>
  </si>
  <si>
    <t>RAJ</t>
  </si>
  <si>
    <t>RAJ 2B 1,80</t>
  </si>
  <si>
    <t>RAJ 2B 2,00</t>
  </si>
  <si>
    <t>RAJ 2B 2,20</t>
  </si>
  <si>
    <t>RAJ 2B 2,40</t>
  </si>
  <si>
    <t>RAJ 2B 2,60</t>
  </si>
  <si>
    <t>RAJ 2B 2,80</t>
  </si>
  <si>
    <t>SANDLERS --BASE EM AÇO CARBONO COM PINTURA</t>
  </si>
  <si>
    <t>SANDLERS 2B 2,40</t>
  </si>
  <si>
    <t>0,86</t>
  </si>
  <si>
    <t>SANDLERS 2B 2,60</t>
  </si>
  <si>
    <t>SANDLERS 2B 2,80</t>
  </si>
  <si>
    <t>SANDLERS 2B 3,00</t>
  </si>
  <si>
    <t>SHEEN --  base em aço carbono revestida com lâmina natural</t>
  </si>
  <si>
    <t>SHEEN 2B 1,80</t>
  </si>
  <si>
    <t>SHEEN 2B 2,00</t>
  </si>
  <si>
    <t>SHEEN 2B 2,20</t>
  </si>
  <si>
    <t>SHEEN 2B 2,40</t>
  </si>
  <si>
    <t>SHEEN 2B 2,60</t>
  </si>
  <si>
    <t>SHEEN 2B 2,80</t>
  </si>
  <si>
    <t>SHEEN 2B 3,00</t>
  </si>
  <si>
    <t>STAR - pés em aço carbono revestidos com lâminas pvc</t>
  </si>
  <si>
    <t>STAR 2B 2,10</t>
  </si>
  <si>
    <t>STAR 2B 2,30</t>
  </si>
  <si>
    <t>STAR 2B 2,50</t>
  </si>
  <si>
    <t>STAR 2B 2,70</t>
  </si>
  <si>
    <t>STAR 2B 2,90</t>
  </si>
  <si>
    <t>STAR 2B 3,10</t>
  </si>
  <si>
    <t>STAR 2B 3,50</t>
  </si>
  <si>
    <t>TÉRA - base em aço carbono com pintura</t>
  </si>
  <si>
    <t>TÉRA 2B 2,00</t>
  </si>
  <si>
    <t>TÉRA 2B 2,20</t>
  </si>
  <si>
    <t>TÉRA 2B 2,40</t>
  </si>
  <si>
    <t>TÉRA 2B 2,60</t>
  </si>
  <si>
    <t>TÉRA 2B 2,80</t>
  </si>
  <si>
    <t>TÉRA 2B 3,00</t>
  </si>
  <si>
    <t>WILLIAN 1B C/BICO - 2,30</t>
  </si>
  <si>
    <t xml:space="preserve">0.97 </t>
  </si>
  <si>
    <t>WILLIAN 1B C/BICO - 2,50</t>
  </si>
  <si>
    <t>WILLIAN 1B C/BICO - 2,70</t>
  </si>
  <si>
    <t>WILLIAN 2B 2,00</t>
  </si>
  <si>
    <t>WILLIAN 2B 2,20</t>
  </si>
  <si>
    <t>WILLIAN 2B 2,40</t>
  </si>
  <si>
    <t>WILLIAN 2B 2,60</t>
  </si>
  <si>
    <t>WILLIAN 2B 2,80</t>
  </si>
  <si>
    <t>WILLIAN 2B 3,00</t>
  </si>
  <si>
    <t>ZEILE - base em aço com pintura ou alumínio polido ou mdf com lâmina natural</t>
  </si>
  <si>
    <t>ZEILE 1B 1,75</t>
  </si>
  <si>
    <t xml:space="preserve">1.13 </t>
  </si>
  <si>
    <t>ZEILE 1B 1,96</t>
  </si>
  <si>
    <t>ZEILE 2B 2,03</t>
  </si>
  <si>
    <t>ZEILE 2B 2,24</t>
  </si>
  <si>
    <t>ZEILE 2B 2,45</t>
  </si>
  <si>
    <t>ZEILE 2B 2,66</t>
  </si>
  <si>
    <t>ZEILE RECAMIER 1,75</t>
  </si>
  <si>
    <t>ZEILE RECAMIER 1,96</t>
  </si>
  <si>
    <t>ZIBELO - base em alumínio com pintura</t>
  </si>
  <si>
    <t>ZIBELO 1B 1,65</t>
  </si>
  <si>
    <t>ZIBELO 1B 1,85</t>
  </si>
  <si>
    <t>ZIBELO 1B 2,05</t>
  </si>
  <si>
    <t>ZIBELO 1B 2,25</t>
  </si>
  <si>
    <t>ZIBELO 1B 2,45</t>
  </si>
  <si>
    <t>ZIBELO 1B 2,65</t>
  </si>
  <si>
    <t>ZIBELO 2B 1,95</t>
  </si>
  <si>
    <t>ZIBELO 2B 2,15</t>
  </si>
  <si>
    <t>ZIBELO 2B 2,35</t>
  </si>
  <si>
    <t>ZIBELO 2B 2,55</t>
  </si>
  <si>
    <t>ZIBELO 2B 2,75</t>
  </si>
  <si>
    <t>ZIBELO 2B 2,95</t>
  </si>
  <si>
    <t>ZIBELO CHAISE S/B</t>
  </si>
  <si>
    <t>ABBY</t>
  </si>
  <si>
    <t>ABBY 2B 2,00 2AS</t>
  </si>
  <si>
    <t>ABBY 2B 2,20 2AS</t>
  </si>
  <si>
    <t>ABBY 2B 2,40 2AS</t>
  </si>
  <si>
    <t>ABBY 2B 2,60 2AS</t>
  </si>
  <si>
    <t>ABBY 2B 2,80 2AS</t>
  </si>
  <si>
    <t>ABBY 2B 3,00 2AS</t>
  </si>
  <si>
    <t>ALLEZ - LUAN DEL SAVIO - Base Inox polido ou pintura</t>
  </si>
  <si>
    <t>ALLEZ 2B 2,00</t>
  </si>
  <si>
    <t>ALLEZ 2B 2,20</t>
  </si>
  <si>
    <t>ALLEZ 2B 2,40</t>
  </si>
  <si>
    <t>ALLEZ 2B 2,60</t>
  </si>
  <si>
    <t>ALLEZ 2B 2,80</t>
  </si>
  <si>
    <t>ALLEZ 2B 3,00</t>
  </si>
  <si>
    <t>ARCO "S" 2B 1,07</t>
  </si>
  <si>
    <t>0,14</t>
  </si>
  <si>
    <t>ARCO "S" 2B 1,79</t>
  </si>
  <si>
    <t>1,79</t>
  </si>
  <si>
    <t>ARCO "S" 2B 1,99</t>
  </si>
  <si>
    <t>1,99</t>
  </si>
  <si>
    <t>19,50</t>
  </si>
  <si>
    <t>ARCO "S" 2B 2,19</t>
  </si>
  <si>
    <t>2,19</t>
  </si>
  <si>
    <t>ARCO "S" 2B 2,39</t>
  </si>
  <si>
    <t>2,39</t>
  </si>
  <si>
    <t>ARCO "S" 2B 2,57</t>
  </si>
  <si>
    <t>ARCO "S" 2B 2,87</t>
  </si>
  <si>
    <t>21,50</t>
  </si>
  <si>
    <t>ARCO "S" 2B 3,17</t>
  </si>
  <si>
    <t>ARCO 2B 1,07</t>
  </si>
  <si>
    <t>ARCO 2B 1,79</t>
  </si>
  <si>
    <t>ARCO 2B 1,99</t>
  </si>
  <si>
    <t>ARCO 2B 2,19</t>
  </si>
  <si>
    <t>ARCO 2B 2,39</t>
  </si>
  <si>
    <t>ARCO 2B 2,57</t>
  </si>
  <si>
    <t>ARCO 2B 2,87</t>
  </si>
  <si>
    <t>ARCO 2B 3,17</t>
  </si>
  <si>
    <t xml:space="preserve">ARK - BRUNO FAUCZ - base em aço com lâmina natural </t>
  </si>
  <si>
    <t>ARK BIPARTIDO 2B 2,40</t>
  </si>
  <si>
    <t xml:space="preserve">1.06 </t>
  </si>
  <si>
    <t>0,98</t>
  </si>
  <si>
    <t>ARK BIPARTIDO 2B 2,60</t>
  </si>
  <si>
    <t>ARK BIPARTIDO 2B 2,80</t>
  </si>
  <si>
    <t>ARK BIPARTIDO 2B 3,00</t>
  </si>
  <si>
    <t>ARK BIPARTIDO 2B 3,20</t>
  </si>
  <si>
    <t xml:space="preserve">BECCA - LUAN DEL SAVIO - base em aço carbono com pintura </t>
  </si>
  <si>
    <t>BECCA 2B 2,00</t>
  </si>
  <si>
    <t>BECCA 2B 2,20</t>
  </si>
  <si>
    <t>BECCA 2B 2,40</t>
  </si>
  <si>
    <t>BECCA 2B 2,60</t>
  </si>
  <si>
    <t>BECCA 2B 2,80</t>
  </si>
  <si>
    <t>BECCA 2B 3,00</t>
  </si>
  <si>
    <t>BECCA CHAISE</t>
  </si>
  <si>
    <t>0,95</t>
  </si>
  <si>
    <t xml:space="preserve">2,02 </t>
  </si>
  <si>
    <t>BOO - BRUNO FAUCZ</t>
  </si>
  <si>
    <t>BOO POL 0,75</t>
  </si>
  <si>
    <t xml:space="preserve">0,87 </t>
  </si>
  <si>
    <t>BOO SLIM POL 0,75</t>
  </si>
  <si>
    <t xml:space="preserve">0,80 </t>
  </si>
  <si>
    <t>BOW SLIM - BRUNO FAUCZ - base em aço carbono com Lâmina natural</t>
  </si>
  <si>
    <t xml:space="preserve">BOW SLIM 1B 1,90 </t>
  </si>
  <si>
    <t xml:space="preserve">BOW SLIM PUFF </t>
  </si>
  <si>
    <t xml:space="preserve">BOW SLIM S/B 1,90 </t>
  </si>
  <si>
    <t>BOW SLIM S/B C/AV - 2,40</t>
  </si>
  <si>
    <t>0,81</t>
  </si>
  <si>
    <t>BOW SLIM S/B C/AV C/BICO - 2,40</t>
  </si>
  <si>
    <t>CLOV - LUAN DEL SAVIO</t>
  </si>
  <si>
    <t xml:space="preserve">CLOV POL 0,74 COURO PIU </t>
  </si>
  <si>
    <t>0,74</t>
  </si>
  <si>
    <t xml:space="preserve">0,74 </t>
  </si>
  <si>
    <t xml:space="preserve">CLOV POLTRONA 0,74 </t>
  </si>
  <si>
    <t>CORA - LUAN DEL SAVIO - base em aço carbono com pintura</t>
  </si>
  <si>
    <t>CORA 2B 2,00</t>
  </si>
  <si>
    <t>CORA 2B 2,20</t>
  </si>
  <si>
    <t>CORA 2B 2,40</t>
  </si>
  <si>
    <t>CORA 2B 2,60</t>
  </si>
  <si>
    <t>CORA 2B 2,80</t>
  </si>
  <si>
    <t>CORA 2B 3,00</t>
  </si>
  <si>
    <t>DEO - LUAN DEL SAVIO - base em mdf com lâmina natural</t>
  </si>
  <si>
    <t xml:space="preserve">DEO 2B 2,00 </t>
  </si>
  <si>
    <t xml:space="preserve">DEO 2B 2,20 </t>
  </si>
  <si>
    <t xml:space="preserve">DEO 2B 2,40 </t>
  </si>
  <si>
    <t xml:space="preserve">DEO 2B 2,60 </t>
  </si>
  <si>
    <t xml:space="preserve">DEO 2B 2,80 </t>
  </si>
  <si>
    <t xml:space="preserve">DEO 2B 3,00 </t>
  </si>
  <si>
    <t>DEO PUFF 1,00X0,70</t>
  </si>
  <si>
    <t>DEO PUFF 1,00X1,00</t>
  </si>
  <si>
    <t>DEO PUFF 1,20X0,70</t>
  </si>
  <si>
    <t>DEO PUFF 1,20X1,00</t>
  </si>
  <si>
    <t>DEO PUFF 1,40X0,70</t>
  </si>
  <si>
    <t>DEO PUFF 1,40X1,00</t>
  </si>
  <si>
    <t>DEO PUFF 1,60X0,70</t>
  </si>
  <si>
    <t>DEO PUFF 1,60X1,00</t>
  </si>
  <si>
    <t>DEO LARGE - LUAN DEL SAVIO -  base em mdf com lâmina natural</t>
  </si>
  <si>
    <t>DEO LARGE 2B 2,00</t>
  </si>
  <si>
    <t>DEO LARGE 2B 2,20</t>
  </si>
  <si>
    <t>DEO LARGE 2B 2,40</t>
  </si>
  <si>
    <t>DEO LARGE 2B 2,60</t>
  </si>
  <si>
    <t>DEO LARGE 2B 2,80</t>
  </si>
  <si>
    <t>DEO LARGE 2B 3,00</t>
  </si>
  <si>
    <t>ETTRO - LUAN DEL SAVIO</t>
  </si>
  <si>
    <t>ETTRO POL 0,87 (BÇ LAMINADO)</t>
  </si>
  <si>
    <t xml:space="preserve">0,90 </t>
  </si>
  <si>
    <t>ETTRO POL 0,87 (BÇ RECOURO)</t>
  </si>
  <si>
    <t>EVIE - LUAN DEL SAVIO</t>
  </si>
  <si>
    <t>EVIE POL 0,88X0,77</t>
  </si>
  <si>
    <t xml:space="preserve">0,77 </t>
  </si>
  <si>
    <t>0,12</t>
  </si>
  <si>
    <t>FENDA - BRUNO FAUCZ - base em aço carbono com pintura (escolher cor da linha)</t>
  </si>
  <si>
    <t>FENDA 2B 1,05</t>
  </si>
  <si>
    <t xml:space="preserve">0.85 </t>
  </si>
  <si>
    <t>FENDA 2B 1,25</t>
  </si>
  <si>
    <t>FENDA 2B 1,45</t>
  </si>
  <si>
    <t>FENDA 2B 1,70</t>
  </si>
  <si>
    <t>FENDA 2B 1,90</t>
  </si>
  <si>
    <t>FENDA 2B 2,10</t>
  </si>
  <si>
    <t>FENDA 2B 2,30</t>
  </si>
  <si>
    <t>FENDA 2B 2,50</t>
  </si>
  <si>
    <t>FENDA 2B 2,70</t>
  </si>
  <si>
    <t>FENDA 2B 2,90</t>
  </si>
  <si>
    <t>GAL - LUAN DEL SAVIO</t>
  </si>
  <si>
    <t>GAL 2B 2,00</t>
  </si>
  <si>
    <t xml:space="preserve">0,92 </t>
  </si>
  <si>
    <t>GAL 2B 2,20</t>
  </si>
  <si>
    <t>GAL 2B 2,40</t>
  </si>
  <si>
    <t>GAL 2B 2,60</t>
  </si>
  <si>
    <t>GAL 2B 2,80</t>
  </si>
  <si>
    <t>GAL 2B 3,00</t>
  </si>
  <si>
    <t>GAP - BRUNO FAUCZ - base em aço carbono com lâmina natural</t>
  </si>
  <si>
    <t>GAP 2B 2,00</t>
  </si>
  <si>
    <t>GAP 2B 2,20</t>
  </si>
  <si>
    <t>GAP 2B 2,40</t>
  </si>
  <si>
    <t>GAP 2B 2,60</t>
  </si>
  <si>
    <t>GAP 2B 3,00</t>
  </si>
  <si>
    <t>GAP 2B C/ AV 0,60 - 2,60</t>
  </si>
  <si>
    <t>GAP 2B C/ AV 0,60 - 2,80</t>
  </si>
  <si>
    <t>GAP 2B C/ AV 0,60 - 3,00</t>
  </si>
  <si>
    <t>GAP 2B C/ AV 0,60 - 3,20</t>
  </si>
  <si>
    <t>GAP 2B C/ AV 0,60 - 3,40</t>
  </si>
  <si>
    <t>GAP 2B C/ AV 0,60 - 3,60</t>
  </si>
  <si>
    <t>GARD</t>
  </si>
  <si>
    <t>GARD 1B 2,00</t>
  </si>
  <si>
    <t xml:space="preserve">1,10 </t>
  </si>
  <si>
    <t>0,17</t>
  </si>
  <si>
    <t>GARD 1B 2,20</t>
  </si>
  <si>
    <t>GARD 1B 2,90 C/ AV</t>
  </si>
  <si>
    <t>GARD 1B 3,10 C/ AV</t>
  </si>
  <si>
    <t>GARD 1B 3,30 C/ AV</t>
  </si>
  <si>
    <t>GARD MESA 1,02</t>
  </si>
  <si>
    <t>GARD RECAMIER 1,90 C/ AV</t>
  </si>
  <si>
    <t>GARD RECAMIER 2,10 C/ AV</t>
  </si>
  <si>
    <t>GRIZ - LUAN DEL SAVIO - braço em aço carbono com lâmina de madeira</t>
  </si>
  <si>
    <t>GRIZ 1B C/BICO - 2,90</t>
  </si>
  <si>
    <t>GRIZ 1B C/BICO - 3,10</t>
  </si>
  <si>
    <t xml:space="preserve">GRIZ 1B C/BICO - 3,30 </t>
  </si>
  <si>
    <t xml:space="preserve">GRIZ 2B 2,20 </t>
  </si>
  <si>
    <t xml:space="preserve">GRIZ 2B 2,40 </t>
  </si>
  <si>
    <t xml:space="preserve">GRIZ 2B 2,60 </t>
  </si>
  <si>
    <t xml:space="preserve">GRIZ 2B 2,80 </t>
  </si>
  <si>
    <t>HARA 2B 2,00 2AS</t>
  </si>
  <si>
    <t xml:space="preserve">0,98 </t>
  </si>
  <si>
    <t>HARA 2B 2,20 2AS</t>
  </si>
  <si>
    <t>HARA 2B 2,40 2AS</t>
  </si>
  <si>
    <t>HARA 2B 2,60 2AS</t>
  </si>
  <si>
    <t>HARA 2B 2,80 2AS</t>
  </si>
  <si>
    <t>HARA 2B 3,00 2AS</t>
  </si>
  <si>
    <t>HUG POL 0,85</t>
  </si>
  <si>
    <t xml:space="preserve">0,79 </t>
  </si>
  <si>
    <t>0,07</t>
  </si>
  <si>
    <t>KAZZ POLTRONA - LUAN DEL SAVIO - estrutura em aço carbono com pintura e com recouro</t>
  </si>
  <si>
    <t>KAZZ POLTRONA</t>
  </si>
  <si>
    <t>KAZZ PUFF</t>
  </si>
  <si>
    <t>0,72</t>
  </si>
  <si>
    <t xml:space="preserve">0.52 </t>
  </si>
  <si>
    <t>LAY</t>
  </si>
  <si>
    <t>LAY CH 1,22 1AS</t>
  </si>
  <si>
    <t>LAY CH 1,32 1AS</t>
  </si>
  <si>
    <t>1,32</t>
  </si>
  <si>
    <t>LAY CH 1,42 1AS</t>
  </si>
  <si>
    <t>LAY SB 2,10 C/ AV 0,50 1AS</t>
  </si>
  <si>
    <t xml:space="preserve">1,22 </t>
  </si>
  <si>
    <t>LAY SB 2,60 C/ AV 0,88 1AS</t>
  </si>
  <si>
    <t>LAY SB 2,80 C/ AV 0,88 1AS</t>
  </si>
  <si>
    <t>LAY SB 3,00 C/ AV 0,88 1AS</t>
  </si>
  <si>
    <t>LAY 1B 1,98 c/ Aparador C/ AV 0,20 1AS</t>
  </si>
  <si>
    <t>LAY 1B 2,80 c/ Aparador C/ AV 0,60 1AS</t>
  </si>
  <si>
    <t>LAY 1B 3,00 c/ Aparador C/ AV 0,60 1AS</t>
  </si>
  <si>
    <t>LEEZ</t>
  </si>
  <si>
    <t>LEEZ 1B 2,07</t>
  </si>
  <si>
    <t>2,07</t>
  </si>
  <si>
    <t xml:space="preserve">1,85 </t>
  </si>
  <si>
    <t>0,94</t>
  </si>
  <si>
    <t>LEEZ 1B 2,67</t>
  </si>
  <si>
    <t>2,67</t>
  </si>
  <si>
    <t>LEEZ CH 2,05</t>
  </si>
  <si>
    <t>ACESSORIO LEEZ - LAMINA NATURAL</t>
  </si>
  <si>
    <t>ACESSORIO LEEZ - MARMORE</t>
  </si>
  <si>
    <t xml:space="preserve">LORA POLTRONA </t>
  </si>
  <si>
    <t xml:space="preserve">1,15 </t>
  </si>
  <si>
    <t>0,73</t>
  </si>
  <si>
    <t xml:space="preserve">LOREH POLTRONA - LUAN DEL SAVIO - braços com pintura, encosto em aço carbono com lâmina natural </t>
  </si>
  <si>
    <t>LOREH POLTRONA</t>
  </si>
  <si>
    <t xml:space="preserve">0.88 </t>
  </si>
  <si>
    <t>MANTIQUEIRA - LATTOOG - base em alumínio  com lâmina natural</t>
  </si>
  <si>
    <t>MANTIQUEIRA 2B 2,00</t>
  </si>
  <si>
    <t>MANTIQUEIRA 2B 2,20</t>
  </si>
  <si>
    <t>MANTIQUEIRA 2B 2,40</t>
  </si>
  <si>
    <t>MANTIQUEIRA 2B 2,60</t>
  </si>
  <si>
    <t>MANTIQUEIRA 2B 2,80</t>
  </si>
  <si>
    <t>MANTIQUEIRA 2B 3,00</t>
  </si>
  <si>
    <t>MELIA - LUAN DEL SAVIO - base em aço carbono com pintura e encosto com lâminas natural</t>
  </si>
  <si>
    <t>MELIA 2B 2,00</t>
  </si>
  <si>
    <t>MELIA 2B 2,20</t>
  </si>
  <si>
    <t>MELIA 2B 2,40</t>
  </si>
  <si>
    <t>MELIA 2B 2,60</t>
  </si>
  <si>
    <t>MELIA 2B 2,80</t>
  </si>
  <si>
    <t xml:space="preserve">MELIA 2B 3,00 </t>
  </si>
  <si>
    <t>MELIA POL 1,10</t>
  </si>
  <si>
    <t>NARA - LUAN DEL SAVIO</t>
  </si>
  <si>
    <t>NARA 2B 2,30</t>
  </si>
  <si>
    <t>0,89</t>
  </si>
  <si>
    <t>NARA 2B 2,50</t>
  </si>
  <si>
    <t>NARA 2B 2,70</t>
  </si>
  <si>
    <t>NARA 2B 2,90</t>
  </si>
  <si>
    <t>NARA 2B 3,10</t>
  </si>
  <si>
    <t xml:space="preserve">NOBILE POLTRONA - LUAN DEL SAVIO - base em aço carbono com pintura </t>
  </si>
  <si>
    <t>NOBILE POLTRONA (pintura)</t>
  </si>
  <si>
    <t xml:space="preserve">0.67 </t>
  </si>
  <si>
    <t>OBBY</t>
  </si>
  <si>
    <t>OBBY POL 1,02 (CX LATERAL C/ LAMINA)</t>
  </si>
  <si>
    <t xml:space="preserve">0,88 </t>
  </si>
  <si>
    <t>0,10</t>
  </si>
  <si>
    <t>OBBY POL 1,02 (CX LATERAL C/ PINTURA)</t>
  </si>
  <si>
    <t>OLY - LUAN DEL SAVIO</t>
  </si>
  <si>
    <t>OLY PUFF 0,50</t>
  </si>
  <si>
    <t xml:space="preserve">0,50 </t>
  </si>
  <si>
    <t>0,38</t>
  </si>
  <si>
    <t>OLY PUFF 0,60</t>
  </si>
  <si>
    <t xml:space="preserve">0,60 </t>
  </si>
  <si>
    <t>ORIGAMI POLTRONA - BRUNO FAUCZ - Estrutura em aço carbono, base com lamina natural e braços e encosto com couro</t>
  </si>
  <si>
    <t>ORIGAMI POLTRONA</t>
  </si>
  <si>
    <t xml:space="preserve">0.73 </t>
  </si>
  <si>
    <t xml:space="preserve">OSHO POLTRONA </t>
  </si>
  <si>
    <t xml:space="preserve">ROCCO - LUAN DEL SAVIO - base em aço carbono com pintura </t>
  </si>
  <si>
    <t>ROCCO 2B 1,20</t>
  </si>
  <si>
    <t>ROCCO 2B 2,00</t>
  </si>
  <si>
    <t>ROCCO 2B 2,20</t>
  </si>
  <si>
    <t>ROCCO 2B 2,40</t>
  </si>
  <si>
    <t>ROCCO 2B 2,60</t>
  </si>
  <si>
    <t>ROCCO 2B 2,80</t>
  </si>
  <si>
    <t>ROCCO 2B 3,00</t>
  </si>
  <si>
    <t>ROCCO PUFF 1,00X0,70</t>
  </si>
  <si>
    <t>ROCCO PUFF 1,00X1,00</t>
  </si>
  <si>
    <t xml:space="preserve">0.98 </t>
  </si>
  <si>
    <t>SETT</t>
  </si>
  <si>
    <t>SETT 1B AV 2,80 2AS</t>
  </si>
  <si>
    <t>SETT 1B AV 3,00 2AS</t>
  </si>
  <si>
    <t>SETT 1B AV 3,20 2AS</t>
  </si>
  <si>
    <t>SETT 1B AV 3,40 2AS</t>
  </si>
  <si>
    <t>SLITT - LUAN DEL SAVIO</t>
  </si>
  <si>
    <t>SLITT POL 0,78</t>
  </si>
  <si>
    <t xml:space="preserve">0,78 </t>
  </si>
  <si>
    <t>STEND</t>
  </si>
  <si>
    <t>STEND 1B 1,08</t>
  </si>
  <si>
    <t>1,08</t>
  </si>
  <si>
    <t>STEND 1B 1,18</t>
  </si>
  <si>
    <t>STEND 1B 1,28</t>
  </si>
  <si>
    <t>1,28</t>
  </si>
  <si>
    <t>STEND 1B 1,38</t>
  </si>
  <si>
    <t>1,38</t>
  </si>
  <si>
    <t>STEND 1B 1,48</t>
  </si>
  <si>
    <t>STEND 1B 1,58</t>
  </si>
  <si>
    <t>1,58</t>
  </si>
  <si>
    <t>STEND SB 0,90</t>
  </si>
  <si>
    <t>STEND SB 1,00</t>
  </si>
  <si>
    <t>STEND SB 1,10</t>
  </si>
  <si>
    <t>STEND SB 1,20</t>
  </si>
  <si>
    <t>STEND SB 1,30</t>
  </si>
  <si>
    <t>STEND SB 1,40</t>
  </si>
  <si>
    <t>VINCE</t>
  </si>
  <si>
    <t>VINCE  POL  1,18</t>
  </si>
  <si>
    <t xml:space="preserve">1.03 </t>
  </si>
  <si>
    <t>VINCE 1B 1,18</t>
  </si>
  <si>
    <t>VINCE 1B 1,28</t>
  </si>
  <si>
    <t>VINCE 1B 1,38</t>
  </si>
  <si>
    <t>VINCE 1B 1,48</t>
  </si>
  <si>
    <t>VINCE 1B 1,58</t>
  </si>
  <si>
    <t>VINCE CTO 1,03</t>
  </si>
  <si>
    <t>VINCE SB 0,90</t>
  </si>
  <si>
    <t>VINCE SB 1,00</t>
  </si>
  <si>
    <t>VINCE SB 1,10</t>
  </si>
  <si>
    <t>VINCE SB 1,20</t>
  </si>
  <si>
    <t>VINCE SB 1,30</t>
  </si>
  <si>
    <t>VINCE PUFF 1,10</t>
  </si>
  <si>
    <t>VINCE PUFF 1,20</t>
  </si>
  <si>
    <t>VINCE PUFF 1,30</t>
  </si>
  <si>
    <t>VINCE PUFF 1,40</t>
  </si>
  <si>
    <t>VINCE PUFF 1,50</t>
  </si>
  <si>
    <t>VYS</t>
  </si>
  <si>
    <t xml:space="preserve">1,18 </t>
  </si>
  <si>
    <t>ACESSORIO VYS - MARMORE</t>
  </si>
  <si>
    <t xml:space="preserve">ZARAH - LUAN DEL SAVIO - corpo em aço carbono revestido com recouro, base em aço carbono com pintura </t>
  </si>
  <si>
    <t>ZARAH 2B 1,10</t>
  </si>
  <si>
    <t>ZARAH 2B 2,00</t>
  </si>
  <si>
    <t>ZARAH 2B 2,20</t>
  </si>
  <si>
    <t>ZARAH 2B 2,40</t>
  </si>
  <si>
    <t>ZARAH 2B 2,60</t>
  </si>
  <si>
    <t>ZARAH 2B 2,80</t>
  </si>
  <si>
    <t>ZARAH 2B 3,00</t>
  </si>
  <si>
    <t>ZEPHYR - LUAN DEL SAVIO - com pés em aço carbono e lâmina natural</t>
  </si>
  <si>
    <t>ZEPHYR 2B 2,00</t>
  </si>
  <si>
    <t>ZEPHYR 2B 2,20</t>
  </si>
  <si>
    <t>ZEPHYR 2B 2,40</t>
  </si>
  <si>
    <t>ZEPHYR 2B 2,60</t>
  </si>
  <si>
    <t>ZEPHYR 2B 2,80</t>
  </si>
  <si>
    <t>ZEPHYR 2B 3,00</t>
  </si>
  <si>
    <t>ZEPHYR CHAISE 1,30</t>
  </si>
  <si>
    <t xml:space="preserve">ZEPHYR CHAISE 2,00 </t>
  </si>
  <si>
    <t>ALESSIA POLTRONA -  base em aço carbono com pintura</t>
  </si>
  <si>
    <t>ALESSIA POLTRONA</t>
  </si>
  <si>
    <t xml:space="preserve">0.77 </t>
  </si>
  <si>
    <t>BETA CH 1,55 1AS</t>
  </si>
  <si>
    <t>BETA CH 1,85 1AS</t>
  </si>
  <si>
    <t xml:space="preserve">1,70 </t>
  </si>
  <si>
    <t>BETA POL 1,25 1AS</t>
  </si>
  <si>
    <t>DALVA POLTRONA  - giratória</t>
  </si>
  <si>
    <t xml:space="preserve">DALVA POLTRONA </t>
  </si>
  <si>
    <t>DALVA PUFF</t>
  </si>
  <si>
    <t xml:space="preserve">0.50 </t>
  </si>
  <si>
    <t xml:space="preserve">DIELLE POLTRONA - com giro ou fixa, base em madeira natural, mel ou tabaco </t>
  </si>
  <si>
    <t>DIELLE POLTRONA FIXA</t>
  </si>
  <si>
    <t>0,65</t>
  </si>
  <si>
    <t xml:space="preserve">0.75 </t>
  </si>
  <si>
    <t>DIELLE POLTRONA GIRATORIA</t>
  </si>
  <si>
    <t>DIELLE PUFF FIXO</t>
  </si>
  <si>
    <t>DIELLE PUFF GIRATORIA</t>
  </si>
  <si>
    <t>FLÉRS POLTRONA  - giratória - base em aço carbono com pintura</t>
  </si>
  <si>
    <t>FLERS POLTRONA</t>
  </si>
  <si>
    <t>HILMA POLTRONA</t>
  </si>
  <si>
    <t>HILMA POL 0,90X0,90 (GIRATORIA)</t>
  </si>
  <si>
    <t xml:space="preserve">LÓIRE POLTRONA - pés em alumínio com lâmina natural </t>
  </si>
  <si>
    <t xml:space="preserve">LÓIRE POLTRONA </t>
  </si>
  <si>
    <t xml:space="preserve">0.82 </t>
  </si>
  <si>
    <t>MAELLE POLTRONA  - com giro</t>
  </si>
  <si>
    <t>MAELLE POLTRONA</t>
  </si>
  <si>
    <t>NIRO POLTRONA - giratória com base em aço carbono com pintura e pés em madeira</t>
  </si>
  <si>
    <t xml:space="preserve">NIRO POLTRONA </t>
  </si>
  <si>
    <t>NOAH POLTRONA  - com giro</t>
  </si>
  <si>
    <t xml:space="preserve">0.84 </t>
  </si>
  <si>
    <t>RÊ POLTRONA  - com giro ou fixa, base em alumínio com pintura</t>
  </si>
  <si>
    <t>RÊ POLTRONA FIXA</t>
  </si>
  <si>
    <t>0,66</t>
  </si>
  <si>
    <t xml:space="preserve">0.66 </t>
  </si>
  <si>
    <t>RÊ POLTRONA GIRATORIA</t>
  </si>
  <si>
    <t>SEQUOIA POLTRONA - Giratória, detalhes de trás (aço com pintura)</t>
  </si>
  <si>
    <t>SEQUOIA POLTRONA</t>
  </si>
  <si>
    <t xml:space="preserve">TAZZA POLTRONA - giratória </t>
  </si>
  <si>
    <t>TAZZA POLTRONA</t>
  </si>
  <si>
    <t xml:space="preserve">TULIPA LARGE POLTRONA - (alumínio giratória) ou (MDF fixa) </t>
  </si>
  <si>
    <t>TULIPA LARGE POLTRONA FIXA</t>
  </si>
  <si>
    <t>TULIPA LARGE POLTRONA GIRATÓRIA</t>
  </si>
  <si>
    <t>TULIPA POLTRONA -  (alumínio giratória) ou (MDF fixa)</t>
  </si>
  <si>
    <t>TULIPA POLTRONA FIXA</t>
  </si>
  <si>
    <t>TULIPA POLTRONA GIRATÓRIA</t>
  </si>
  <si>
    <t>COURO SOMENTE FORNECIDO E COM AUTORIZAÇÃO PRÉVIA - PREÇO LINHA C</t>
  </si>
  <si>
    <t>REGRAS:    CAMAS COM TECIDO FORNECIDO VALOR DA LINHA A  - SEM DESCONTO</t>
  </si>
  <si>
    <t>ABBY CAMA (ACESS 1 LADO) 1,18X2,28 - COL 0,88X1,88</t>
  </si>
  <si>
    <t>ABBY CAMA (ACESS 1 LADO) 1,88X2,38 - COL 1,58X1,98</t>
  </si>
  <si>
    <t>ABBY CAMA (ACESS 1 LADO) 2,08X2,38 - COL 1,78X1,98</t>
  </si>
  <si>
    <t>ABBY CAMA (ACESS 1 LADO) 2,23X2,43 - COL 1,93X2,03</t>
  </si>
  <si>
    <t>ABBY CAMA 1,10X2,28 - COL 0,88X1,88</t>
  </si>
  <si>
    <t>ABBY CAMA 1,80X2,38 - COL 1,58X1,98</t>
  </si>
  <si>
    <t>ABBY CAMA 2,00X2,38 - COL 1,78X1,98</t>
  </si>
  <si>
    <t>ABBY CAMA 2,15X2,43 - COL 1,93X2,03</t>
  </si>
  <si>
    <t>CAMA LUNA.</t>
  </si>
  <si>
    <t>CAMA RAFA 0,93X2,13 - COLCHÃO 0,88X1,88</t>
  </si>
  <si>
    <t>CAMA RAFA 1,43X2,13 - COLCHÃO 1,38X1,88</t>
  </si>
  <si>
    <t>CAMA RAFA 1,63X2,23 - COLCHÃO 1,58X1,98</t>
  </si>
  <si>
    <t>CAMA RAFA 1,83X2,23 - COLCHÃO 1,78X1,98</t>
  </si>
  <si>
    <t>CAMA RAFA 1,98X2,28 - COLCHÃO 1,93X2,03</t>
  </si>
  <si>
    <t xml:space="preserve">OSHO POLTRONA - LUAN DEL SAVIO -  FIXA --  braço em aço carbono com lâmina natural </t>
  </si>
  <si>
    <t>WILLIAN - base em madeira com pintura: natural - mel - tabaco - ebanizado</t>
  </si>
  <si>
    <t>NOAH POLTRONA</t>
  </si>
  <si>
    <t>EROS 1B 2,05</t>
  </si>
  <si>
    <t>LAPAZ CAMEL</t>
  </si>
  <si>
    <t xml:space="preserve">LAPAZ PINHÃO </t>
  </si>
  <si>
    <t>LAPAZ COFFEE</t>
  </si>
  <si>
    <t>LAPAZ PRETO</t>
  </si>
  <si>
    <t>BETA CHAISE</t>
  </si>
  <si>
    <t>BORA  1,12X1,12 1AS 1ENC 1DEC</t>
  </si>
  <si>
    <t>BORA  1,12X1,50 1AS 1ENC 2DEC</t>
  </si>
  <si>
    <t>BORA  1,12X1,87 1AS 1ENC 2DEC</t>
  </si>
  <si>
    <t>BORA  1,12X2,24 1AS 1ENC 2DEC</t>
  </si>
  <si>
    <t>BORA  2,24X1,12 1AS 2ENC 2DEC</t>
  </si>
  <si>
    <t>BORA  2,24X1,50 1AS 2ENC 4DEC</t>
  </si>
  <si>
    <t>LAMON - pés em alumínio - apoio para braço em aço carbono - acessório em mdf  - todos com lâmina natural</t>
  </si>
  <si>
    <t>ABBY CAMA 1,60X2,28 - COL 1,38X1,88</t>
  </si>
  <si>
    <t>ABBY CAMA (ACESS 1 LADO) 1,68X2,28 - COL 1,38X1,88</t>
  </si>
  <si>
    <t>ABBY CAMA (ACESS 2 LADOS) 1,96X2,38 - COL 1,58X1,93</t>
  </si>
  <si>
    <t>ABBY CAMA (ACESS 2 LADOS) 2,16X2,38 - COL 1,78X1,93</t>
  </si>
  <si>
    <t>ABBY CAMA (ACESS 2 LADOS) 2,31X2,43 - COL 1,93X2,03</t>
  </si>
  <si>
    <t>ABBY CAMA (ACESS 2 LADOS) 1,26X2,28 - COL 0,88X1,88</t>
  </si>
  <si>
    <t>ABBY CAMA (ACESS 2 LADOS) 1,76X2,28 - COL 1,38X1,88</t>
  </si>
  <si>
    <t>ACESSÓRIO MDF LÂMINA NATURAL</t>
  </si>
  <si>
    <t>ACESSÓRIO AÇO CARBONO/COURO</t>
  </si>
  <si>
    <t>BANDEJA SUBSTITUINDO BÇO TAPEÇADO</t>
  </si>
  <si>
    <t>ARCO "S" - DANIEL SIMONINI - base em aço carbono com pintura</t>
  </si>
  <si>
    <t>ARCO - DANIEL SIMONINI - base em aço carbono com pintura</t>
  </si>
  <si>
    <t>LORA POL 0,98X1,15 (FIXA)</t>
  </si>
  <si>
    <t>EROS - pés em aço carbono com lâmina natural</t>
  </si>
  <si>
    <t>CAMA ABBY - Luan Del Savio -- acessório em aço carbono com pintura</t>
  </si>
  <si>
    <t>HARA - LUAN DEL SAVIO - pés em aço carbono com pintura</t>
  </si>
  <si>
    <t>NÃO PODE VENDER AVULSO</t>
  </si>
  <si>
    <t>BETA - com giro</t>
  </si>
  <si>
    <t>HUG - BRUNO FAUCZ - com giro</t>
  </si>
  <si>
    <t>MED. 60 X 60</t>
  </si>
  <si>
    <t>0,15/0,40</t>
  </si>
  <si>
    <t>VYS 2,40</t>
  </si>
  <si>
    <t>VYS 2,40 - KNIT</t>
  </si>
  <si>
    <t>VYS 2,60</t>
  </si>
  <si>
    <t>VYS 2,60 - KNIT</t>
  </si>
  <si>
    <t>VYS 2,80</t>
  </si>
  <si>
    <t>VYS 3,00</t>
  </si>
  <si>
    <t>VYS 3,00 - KNIT</t>
  </si>
  <si>
    <t>VYS 2,80 - KNIT</t>
  </si>
  <si>
    <t>ELLUS -  base aço carbono com lâminas pvc  ---- para substituir a lâmina por pintura acréscimo de R$ 1070,00</t>
  </si>
  <si>
    <t>DINNA - pés Alum.polido ou pintura - para laminar os pés, acrescentar R$ 1070,00</t>
  </si>
  <si>
    <t xml:space="preserve">REGRAS:   TECIDO FORNECIDO :  LINHA A  </t>
  </si>
  <si>
    <t xml:space="preserve">REGRAS:  POLTRONA COM TECIDO FORNECIDO COBRAR LINHA LINHA A </t>
  </si>
  <si>
    <t>REGRAS:  TECIDO FORNECIDO : LINHA A  -- 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</si>
</sst>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color indexed="8"/>
      <name val="Arial"/>
    </font>
    <font>
      <b/>
      <sz val="10"/>
      <color indexed="8"/>
      <name val="Segoe UI"/>
      <family val="2"/>
    </font>
    <font>
      <b/>
      <sz val="10"/>
      <color indexed="10"/>
      <name val="Segoe UI"/>
      <family val="2"/>
    </font>
    <font>
      <b/>
      <sz val="9"/>
      <color indexed="8"/>
      <name val="Segoe UI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8"/>
      <color indexed="8"/>
      <name val="Segoe UI"/>
      <family val="2"/>
    </font>
    <font>
      <b/>
      <sz val="10"/>
      <color indexed="8"/>
      <name val="Arial"/>
      <family val="2"/>
    </font>
    <font>
      <b/>
      <sz val="18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indexed="8"/>
      <name val="Segoe UI"/>
      <family val="2"/>
    </font>
    <font>
      <b/>
      <sz val="10"/>
      <color indexed="10"/>
      <name val="Segoe UI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6"/>
      <color indexed="8"/>
      <name val="Arial"/>
      <family val="2"/>
    </font>
    <font>
      <b/>
      <sz val="15"/>
      <color indexed="8"/>
      <name val="Arial"/>
      <family val="2"/>
    </font>
    <font>
      <b/>
      <sz val="18"/>
      <name val="Arial"/>
      <family val="2"/>
    </font>
    <font>
      <b/>
      <sz val="14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Fill="0" applyProtection="0"/>
  </cellStyleXfs>
  <cellXfs count="129">
    <xf numFmtId="0" fontId="0" fillId="0" borderId="0" xfId="0" applyFill="1" applyProtection="1"/>
    <xf numFmtId="0" fontId="0" fillId="0" borderId="0" xfId="0" applyFill="1" applyBorder="1" applyProtection="1">
      <protection hidden="1"/>
    </xf>
    <xf numFmtId="0" fontId="0" fillId="0" borderId="0" xfId="0" applyFill="1" applyProtection="1">
      <protection hidden="1"/>
    </xf>
    <xf numFmtId="0" fontId="11" fillId="0" borderId="1" xfId="0" applyFont="1" applyFill="1" applyBorder="1" applyAlignment="1" applyProtection="1">
      <alignment horizontal="center"/>
      <protection hidden="1"/>
    </xf>
    <xf numFmtId="0" fontId="11" fillId="0" borderId="1" xfId="0" applyFont="1" applyFill="1" applyBorder="1" applyAlignment="1" applyProtection="1">
      <alignment horizontal="center" vertical="center"/>
      <protection hidden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0" fillId="0" borderId="1" xfId="0" applyFill="1" applyBorder="1" applyProtection="1">
      <protection hidden="1"/>
    </xf>
    <xf numFmtId="0" fontId="7" fillId="0" borderId="1" xfId="0" applyFont="1" applyFill="1" applyBorder="1" applyAlignment="1" applyProtection="1">
      <alignment horizontal="center"/>
      <protection hidden="1"/>
    </xf>
    <xf numFmtId="3" fontId="7" fillId="0" borderId="1" xfId="0" applyNumberFormat="1" applyFont="1" applyFill="1" applyBorder="1" applyAlignment="1" applyProtection="1">
      <alignment horizontal="center"/>
      <protection hidden="1"/>
    </xf>
    <xf numFmtId="3" fontId="7" fillId="0" borderId="2" xfId="0" applyNumberFormat="1" applyFont="1" applyFill="1" applyBorder="1" applyAlignment="1" applyProtection="1">
      <alignment horizontal="center"/>
      <protection hidden="1"/>
    </xf>
    <xf numFmtId="3" fontId="0" fillId="0" borderId="1" xfId="0" applyNumberFormat="1" applyFill="1" applyBorder="1" applyProtection="1">
      <protection hidden="1"/>
    </xf>
    <xf numFmtId="4" fontId="20" fillId="0" borderId="1" xfId="0" applyNumberFormat="1" applyFont="1" applyFill="1" applyBorder="1" applyAlignment="1" applyProtection="1">
      <alignment horizontal="center"/>
      <protection hidden="1"/>
    </xf>
    <xf numFmtId="3" fontId="0" fillId="0" borderId="2" xfId="0" applyNumberFormat="1" applyFill="1" applyBorder="1" applyAlignment="1" applyProtection="1">
      <alignment horizontal="center"/>
      <protection hidden="1"/>
    </xf>
    <xf numFmtId="3" fontId="0" fillId="0" borderId="3" xfId="0" applyNumberFormat="1" applyFill="1" applyBorder="1" applyAlignment="1" applyProtection="1">
      <alignment horizontal="center"/>
      <protection hidden="1"/>
    </xf>
    <xf numFmtId="3" fontId="0" fillId="0" borderId="4" xfId="0" applyNumberFormat="1" applyFill="1" applyBorder="1" applyAlignment="1" applyProtection="1">
      <alignment horizontal="center"/>
      <protection hidden="1"/>
    </xf>
    <xf numFmtId="4" fontId="0" fillId="0" borderId="1" xfId="0" applyNumberFormat="1" applyFill="1" applyBorder="1" applyAlignment="1" applyProtection="1">
      <alignment horizontal="center"/>
      <protection hidden="1"/>
    </xf>
    <xf numFmtId="3" fontId="9" fillId="0" borderId="1" xfId="0" applyNumberFormat="1" applyFont="1" applyFill="1" applyBorder="1" applyProtection="1">
      <protection hidden="1"/>
    </xf>
    <xf numFmtId="0" fontId="0" fillId="0" borderId="1" xfId="0" applyFill="1" applyBorder="1" applyAlignment="1" applyProtection="1">
      <alignment horizontal="center"/>
      <protection hidden="1"/>
    </xf>
    <xf numFmtId="0" fontId="0" fillId="0" borderId="2" xfId="0" applyFill="1" applyBorder="1" applyProtection="1">
      <protection hidden="1"/>
    </xf>
    <xf numFmtId="4" fontId="0" fillId="0" borderId="0" xfId="0" applyNumberFormat="1" applyFill="1" applyBorder="1" applyProtection="1">
      <protection hidden="1"/>
    </xf>
    <xf numFmtId="3" fontId="0" fillId="0" borderId="1" xfId="0" applyNumberFormat="1" applyFill="1" applyBorder="1" applyAlignment="1" applyProtection="1">
      <alignment horizontal="center"/>
      <protection hidden="1"/>
    </xf>
    <xf numFmtId="4" fontId="0" fillId="0" borderId="0" xfId="0" applyNumberFormat="1" applyFill="1" applyBorder="1" applyAlignment="1" applyProtection="1">
      <protection hidden="1"/>
    </xf>
    <xf numFmtId="0" fontId="0" fillId="0" borderId="0" xfId="0" applyFill="1" applyAlignment="1" applyProtection="1">
      <alignment horizontal="center"/>
      <protection hidden="1"/>
    </xf>
    <xf numFmtId="3" fontId="8" fillId="0" borderId="2" xfId="0" applyNumberFormat="1" applyFont="1" applyFill="1" applyBorder="1" applyAlignment="1" applyProtection="1">
      <alignment horizontal="center"/>
      <protection hidden="1"/>
    </xf>
    <xf numFmtId="3" fontId="8" fillId="0" borderId="3" xfId="0" applyNumberFormat="1" applyFont="1" applyFill="1" applyBorder="1" applyAlignment="1" applyProtection="1">
      <alignment horizontal="center"/>
      <protection hidden="1"/>
    </xf>
    <xf numFmtId="3" fontId="8" fillId="0" borderId="4" xfId="0" applyNumberFormat="1" applyFont="1" applyFill="1" applyBorder="1" applyAlignment="1" applyProtection="1">
      <alignment horizontal="center"/>
      <protection hidden="1"/>
    </xf>
    <xf numFmtId="0" fontId="0" fillId="0" borderId="1" xfId="0" applyFill="1" applyBorder="1" applyAlignment="1" applyProtection="1">
      <alignment horizontal="center" vertical="center"/>
      <protection hidden="1"/>
    </xf>
    <xf numFmtId="0" fontId="11" fillId="0" borderId="1" xfId="0" applyFont="1" applyFill="1" applyBorder="1" applyAlignment="1" applyProtection="1">
      <alignment horizontal="center"/>
      <protection hidden="1"/>
    </xf>
    <xf numFmtId="14" fontId="12" fillId="0" borderId="1" xfId="0" applyNumberFormat="1" applyFont="1" applyFill="1" applyBorder="1" applyAlignment="1" applyProtection="1">
      <alignment horizontal="center" vertical="center"/>
      <protection hidden="1"/>
    </xf>
    <xf numFmtId="0" fontId="12" fillId="0" borderId="1" xfId="0" applyFont="1" applyFill="1" applyBorder="1" applyAlignment="1" applyProtection="1">
      <alignment horizontal="center" vertical="center"/>
      <protection hidden="1"/>
    </xf>
    <xf numFmtId="0" fontId="11" fillId="0" borderId="1" xfId="0" applyFont="1" applyFill="1" applyBorder="1" applyAlignment="1" applyProtection="1">
      <alignment horizontal="center" vertical="center"/>
      <protection hidden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3" fontId="0" fillId="0" borderId="2" xfId="0" applyNumberFormat="1" applyFill="1" applyBorder="1" applyAlignment="1" applyProtection="1">
      <alignment horizontal="center"/>
      <protection hidden="1"/>
    </xf>
    <xf numFmtId="3" fontId="0" fillId="0" borderId="3" xfId="0" applyNumberFormat="1" applyFill="1" applyBorder="1" applyAlignment="1" applyProtection="1">
      <alignment horizontal="center"/>
      <protection hidden="1"/>
    </xf>
    <xf numFmtId="3" fontId="0" fillId="0" borderId="4" xfId="0" applyNumberFormat="1" applyFill="1" applyBorder="1" applyAlignment="1" applyProtection="1">
      <alignment horizontal="center"/>
      <protection hidden="1"/>
    </xf>
    <xf numFmtId="3" fontId="16" fillId="0" borderId="2" xfId="0" applyNumberFormat="1" applyFont="1" applyFill="1" applyBorder="1" applyAlignment="1" applyProtection="1">
      <alignment horizontal="center"/>
      <protection hidden="1"/>
    </xf>
    <xf numFmtId="3" fontId="16" fillId="0" borderId="3" xfId="0" applyNumberFormat="1" applyFont="1" applyFill="1" applyBorder="1" applyAlignment="1" applyProtection="1">
      <alignment horizontal="center"/>
      <protection hidden="1"/>
    </xf>
    <xf numFmtId="3" fontId="16" fillId="0" borderId="4" xfId="0" applyNumberFormat="1" applyFont="1" applyFill="1" applyBorder="1" applyAlignment="1" applyProtection="1">
      <alignment horizontal="center"/>
      <protection hidden="1"/>
    </xf>
    <xf numFmtId="3" fontId="0" fillId="0" borderId="1" xfId="0" applyNumberFormat="1" applyFill="1" applyBorder="1" applyAlignment="1" applyProtection="1">
      <alignment horizontal="center"/>
      <protection hidden="1"/>
    </xf>
    <xf numFmtId="3" fontId="19" fillId="0" borderId="2" xfId="0" applyNumberFormat="1" applyFont="1" applyFill="1" applyBorder="1" applyAlignment="1" applyProtection="1">
      <alignment horizontal="center"/>
      <protection hidden="1"/>
    </xf>
    <xf numFmtId="3" fontId="19" fillId="0" borderId="3" xfId="0" applyNumberFormat="1" applyFont="1" applyFill="1" applyBorder="1" applyAlignment="1" applyProtection="1">
      <alignment horizontal="center"/>
      <protection hidden="1"/>
    </xf>
    <xf numFmtId="3" fontId="19" fillId="0" borderId="4" xfId="0" applyNumberFormat="1" applyFont="1" applyFill="1" applyBorder="1" applyAlignment="1" applyProtection="1">
      <alignment horizontal="center"/>
      <protection hidden="1"/>
    </xf>
    <xf numFmtId="0" fontId="0" fillId="0" borderId="5" xfId="0" applyFill="1" applyBorder="1" applyAlignment="1" applyProtection="1">
      <alignment horizontal="center" vertical="center"/>
      <protection hidden="1"/>
    </xf>
    <xf numFmtId="0" fontId="0" fillId="0" borderId="6" xfId="0" applyFill="1" applyBorder="1" applyAlignment="1" applyProtection="1">
      <alignment horizontal="center" vertical="center"/>
      <protection hidden="1"/>
    </xf>
    <xf numFmtId="0" fontId="0" fillId="0" borderId="7" xfId="0" applyFill="1" applyBorder="1" applyAlignment="1" applyProtection="1">
      <alignment horizontal="center" vertical="center"/>
      <protection hidden="1"/>
    </xf>
    <xf numFmtId="0" fontId="0" fillId="0" borderId="8" xfId="0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0" fontId="0" fillId="0" borderId="9" xfId="0" applyFill="1" applyBorder="1" applyAlignment="1" applyProtection="1">
      <alignment horizontal="center" vertical="center"/>
      <protection hidden="1"/>
    </xf>
    <xf numFmtId="0" fontId="0" fillId="0" borderId="10" xfId="0" applyFill="1" applyBorder="1" applyAlignment="1" applyProtection="1">
      <alignment horizontal="center" vertical="center"/>
      <protection hidden="1"/>
    </xf>
    <xf numFmtId="0" fontId="0" fillId="0" borderId="11" xfId="0" applyFill="1" applyBorder="1" applyAlignment="1" applyProtection="1">
      <alignment horizontal="center" vertical="center"/>
      <protection hidden="1"/>
    </xf>
    <xf numFmtId="0" fontId="0" fillId="0" borderId="12" xfId="0" applyFill="1" applyBorder="1" applyAlignment="1" applyProtection="1">
      <alignment horizontal="center" vertical="center"/>
      <protection hidden="1"/>
    </xf>
    <xf numFmtId="0" fontId="1" fillId="0" borderId="2" xfId="0" applyFont="1" applyFill="1" applyBorder="1" applyAlignment="1" applyProtection="1">
      <alignment horizontal="center"/>
      <protection hidden="1"/>
    </xf>
    <xf numFmtId="0" fontId="1" fillId="0" borderId="3" xfId="0" applyFont="1" applyFill="1" applyBorder="1" applyAlignment="1" applyProtection="1">
      <alignment horizontal="center"/>
      <protection hidden="1"/>
    </xf>
    <xf numFmtId="0" fontId="1" fillId="0" borderId="4" xfId="0" applyFont="1" applyFill="1" applyBorder="1" applyAlignment="1" applyProtection="1">
      <alignment horizontal="center"/>
      <protection hidden="1"/>
    </xf>
    <xf numFmtId="14" fontId="2" fillId="0" borderId="1" xfId="0" applyNumberFormat="1" applyFont="1" applyFill="1" applyBorder="1" applyAlignment="1" applyProtection="1">
      <alignment horizontal="center" vertical="center"/>
      <protection hidden="1"/>
    </xf>
    <xf numFmtId="0" fontId="2" fillId="0" borderId="1" xfId="0" applyFont="1" applyFill="1" applyBorder="1" applyAlignment="1" applyProtection="1">
      <alignment horizontal="center" vertical="center"/>
      <protection hidden="1"/>
    </xf>
    <xf numFmtId="0" fontId="1" fillId="0" borderId="2" xfId="0" applyFont="1" applyFill="1" applyBorder="1" applyAlignment="1" applyProtection="1">
      <alignment horizontal="center" vertical="center"/>
      <protection hidden="1"/>
    </xf>
    <xf numFmtId="0" fontId="1" fillId="0" borderId="3" xfId="0" applyFont="1" applyFill="1" applyBorder="1" applyAlignment="1" applyProtection="1">
      <alignment horizontal="center" vertical="center"/>
      <protection hidden="1"/>
    </xf>
    <xf numFmtId="0" fontId="1" fillId="0" borderId="4" xfId="0" applyFont="1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1" fillId="2" borderId="4" xfId="0" applyFont="1" applyFill="1" applyBorder="1" applyAlignment="1" applyProtection="1">
      <alignment horizontal="center" vertical="center"/>
      <protection hidden="1"/>
    </xf>
    <xf numFmtId="0" fontId="3" fillId="0" borderId="1" xfId="0" applyFont="1" applyFill="1" applyBorder="1" applyAlignment="1" applyProtection="1">
      <alignment horizontal="center"/>
      <protection hidden="1"/>
    </xf>
    <xf numFmtId="0" fontId="4" fillId="0" borderId="1" xfId="0" applyFont="1" applyFill="1" applyBorder="1" applyAlignment="1" applyProtection="1">
      <alignment horizontal="center"/>
      <protection hidden="1"/>
    </xf>
    <xf numFmtId="0" fontId="5" fillId="0" borderId="0" xfId="0" applyFont="1" applyFill="1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0" fontId="6" fillId="2" borderId="3" xfId="0" applyFont="1" applyFill="1" applyBorder="1" applyAlignment="1" applyProtection="1">
      <alignment horizontal="center" vertical="center"/>
      <protection hidden="1"/>
    </xf>
    <xf numFmtId="0" fontId="6" fillId="2" borderId="4" xfId="0" applyFont="1" applyFill="1" applyBorder="1" applyAlignment="1" applyProtection="1">
      <alignment horizontal="center" vertical="center"/>
      <protection hidden="1"/>
    </xf>
    <xf numFmtId="0" fontId="11" fillId="0" borderId="2" xfId="0" applyFont="1" applyFill="1" applyBorder="1" applyAlignment="1" applyProtection="1">
      <alignment horizontal="center"/>
      <protection hidden="1"/>
    </xf>
    <xf numFmtId="0" fontId="11" fillId="0" borderId="3" xfId="0" applyFont="1" applyFill="1" applyBorder="1" applyAlignment="1" applyProtection="1">
      <alignment horizontal="center"/>
      <protection hidden="1"/>
    </xf>
    <xf numFmtId="0" fontId="11" fillId="0" borderId="4" xfId="0" applyFont="1" applyFill="1" applyBorder="1" applyAlignment="1" applyProtection="1">
      <alignment horizontal="center"/>
      <protection hidden="1"/>
    </xf>
    <xf numFmtId="14" fontId="12" fillId="0" borderId="2" xfId="0" applyNumberFormat="1" applyFont="1" applyFill="1" applyBorder="1" applyAlignment="1" applyProtection="1">
      <alignment horizontal="center" vertical="center"/>
      <protection hidden="1"/>
    </xf>
    <xf numFmtId="14" fontId="12" fillId="0" borderId="3" xfId="0" applyNumberFormat="1" applyFont="1" applyFill="1" applyBorder="1" applyAlignment="1" applyProtection="1">
      <alignment horizontal="center" vertical="center"/>
      <protection hidden="1"/>
    </xf>
    <xf numFmtId="14" fontId="12" fillId="0" borderId="4" xfId="0" applyNumberFormat="1" applyFont="1" applyFill="1" applyBorder="1" applyAlignment="1" applyProtection="1">
      <alignment horizontal="center" vertical="center"/>
      <protection hidden="1"/>
    </xf>
    <xf numFmtId="14" fontId="12" fillId="0" borderId="0" xfId="0" applyNumberFormat="1" applyFont="1" applyFill="1" applyAlignment="1" applyProtection="1">
      <alignment vertical="center"/>
      <protection hidden="1"/>
    </xf>
    <xf numFmtId="0" fontId="12" fillId="0" borderId="2" xfId="0" applyFont="1" applyFill="1" applyBorder="1" applyAlignment="1" applyProtection="1">
      <alignment horizontal="center" vertical="center"/>
      <protection hidden="1"/>
    </xf>
    <xf numFmtId="0" fontId="12" fillId="0" borderId="3" xfId="0" applyFont="1" applyFill="1" applyBorder="1" applyAlignment="1" applyProtection="1">
      <alignment horizontal="center" vertical="center"/>
      <protection hidden="1"/>
    </xf>
    <xf numFmtId="0" fontId="12" fillId="0" borderId="4" xfId="0" applyFont="1" applyFill="1" applyBorder="1" applyAlignment="1" applyProtection="1">
      <alignment horizontal="center" vertical="center"/>
      <protection hidden="1"/>
    </xf>
    <xf numFmtId="0" fontId="12" fillId="0" borderId="0" xfId="0" applyFont="1" applyFill="1" applyAlignment="1" applyProtection="1">
      <alignment vertical="center"/>
      <protection hidden="1"/>
    </xf>
    <xf numFmtId="0" fontId="11" fillId="0" borderId="2" xfId="0" applyFont="1" applyFill="1" applyBorder="1" applyAlignment="1" applyProtection="1">
      <alignment horizontal="center" vertical="center"/>
      <protection hidden="1"/>
    </xf>
    <xf numFmtId="0" fontId="11" fillId="0" borderId="3" xfId="0" applyFont="1" applyFill="1" applyBorder="1" applyAlignment="1" applyProtection="1">
      <alignment horizontal="center" vertical="center"/>
      <protection hidden="1"/>
    </xf>
    <xf numFmtId="0" fontId="11" fillId="0" borderId="4" xfId="0" applyFont="1" applyFill="1" applyBorder="1" applyAlignment="1" applyProtection="1">
      <alignment horizontal="center" vertical="center"/>
      <protection hidden="1"/>
    </xf>
    <xf numFmtId="0" fontId="11" fillId="2" borderId="3" xfId="0" applyFont="1" applyFill="1" applyBorder="1" applyAlignment="1" applyProtection="1">
      <alignment horizontal="center" vertical="center"/>
      <protection hidden="1"/>
    </xf>
    <xf numFmtId="0" fontId="11" fillId="2" borderId="4" xfId="0" applyFont="1" applyFill="1" applyBorder="1" applyAlignment="1" applyProtection="1">
      <alignment horizontal="center" vertical="center"/>
      <protection hidden="1"/>
    </xf>
    <xf numFmtId="0" fontId="11" fillId="2" borderId="2" xfId="0" applyFont="1" applyFill="1" applyBorder="1" applyAlignment="1" applyProtection="1">
      <alignment horizontal="center" vertical="center"/>
      <protection hidden="1"/>
    </xf>
    <xf numFmtId="3" fontId="9" fillId="0" borderId="1" xfId="0" applyNumberFormat="1" applyFont="1" applyFill="1" applyBorder="1" applyAlignment="1" applyProtection="1">
      <alignment horizontal="center"/>
      <protection hidden="1"/>
    </xf>
    <xf numFmtId="0" fontId="8" fillId="2" borderId="2" xfId="0" applyFont="1" applyFill="1" applyBorder="1" applyAlignment="1" applyProtection="1">
      <alignment horizontal="center" vertical="center"/>
      <protection hidden="1"/>
    </xf>
    <xf numFmtId="0" fontId="8" fillId="2" borderId="3" xfId="0" applyFont="1" applyFill="1" applyBorder="1" applyAlignment="1" applyProtection="1">
      <alignment horizontal="center" vertical="center"/>
      <protection hidden="1"/>
    </xf>
    <xf numFmtId="0" fontId="8" fillId="2" borderId="4" xfId="0" applyFont="1" applyFill="1" applyBorder="1" applyAlignment="1" applyProtection="1">
      <alignment horizontal="center" vertical="center"/>
      <protection hidden="1"/>
    </xf>
    <xf numFmtId="4" fontId="13" fillId="0" borderId="1" xfId="0" applyNumberFormat="1" applyFont="1" applyFill="1" applyBorder="1" applyAlignment="1" applyProtection="1">
      <alignment horizontal="center"/>
      <protection hidden="1"/>
    </xf>
    <xf numFmtId="4" fontId="9" fillId="0" borderId="1" xfId="0" applyNumberFormat="1" applyFont="1" applyFill="1" applyBorder="1" applyAlignment="1" applyProtection="1">
      <alignment horizontal="center"/>
      <protection hidden="1"/>
    </xf>
    <xf numFmtId="3" fontId="13" fillId="0" borderId="1" xfId="0" applyNumberFormat="1" applyFont="1" applyFill="1" applyBorder="1" applyAlignment="1" applyProtection="1">
      <alignment horizontal="center"/>
      <protection hidden="1"/>
    </xf>
    <xf numFmtId="3" fontId="0" fillId="0" borderId="2" xfId="0" applyNumberFormat="1" applyFill="1" applyBorder="1" applyProtection="1">
      <protection hidden="1"/>
    </xf>
    <xf numFmtId="49" fontId="9" fillId="0" borderId="1" xfId="0" applyNumberFormat="1" applyFont="1" applyFill="1" applyBorder="1" applyAlignment="1" applyProtection="1">
      <alignment horizontal="center"/>
      <protection hidden="1"/>
    </xf>
    <xf numFmtId="3" fontId="20" fillId="0" borderId="1" xfId="0" applyNumberFormat="1" applyFont="1" applyFill="1" applyBorder="1" applyProtection="1">
      <protection hidden="1"/>
    </xf>
    <xf numFmtId="3" fontId="5" fillId="0" borderId="1" xfId="0" applyNumberFormat="1" applyFont="1" applyFill="1" applyBorder="1" applyAlignment="1" applyProtection="1">
      <alignment horizontal="center"/>
      <protection hidden="1"/>
    </xf>
    <xf numFmtId="0" fontId="14" fillId="0" borderId="1" xfId="0" applyFont="1" applyFill="1" applyBorder="1" applyProtection="1">
      <protection hidden="1"/>
    </xf>
    <xf numFmtId="3" fontId="15" fillId="0" borderId="1" xfId="0" applyNumberFormat="1" applyFont="1" applyFill="1" applyBorder="1" applyProtection="1">
      <protection hidden="1"/>
    </xf>
    <xf numFmtId="3" fontId="14" fillId="0" borderId="2" xfId="0" applyNumberFormat="1" applyFont="1" applyFill="1" applyBorder="1" applyAlignment="1" applyProtection="1">
      <alignment horizontal="center"/>
      <protection hidden="1"/>
    </xf>
    <xf numFmtId="3" fontId="14" fillId="0" borderId="3" xfId="0" applyNumberFormat="1" applyFont="1" applyFill="1" applyBorder="1" applyAlignment="1" applyProtection="1">
      <alignment horizontal="center"/>
      <protection hidden="1"/>
    </xf>
    <xf numFmtId="3" fontId="14" fillId="0" borderId="4" xfId="0" applyNumberFormat="1" applyFont="1" applyFill="1" applyBorder="1" applyAlignment="1" applyProtection="1">
      <alignment horizontal="center"/>
      <protection hidden="1"/>
    </xf>
    <xf numFmtId="3" fontId="15" fillId="0" borderId="2" xfId="0" applyNumberFormat="1" applyFont="1" applyFill="1" applyBorder="1" applyAlignment="1" applyProtection="1">
      <alignment horizontal="center"/>
      <protection hidden="1"/>
    </xf>
    <xf numFmtId="3" fontId="15" fillId="0" borderId="3" xfId="0" applyNumberFormat="1" applyFont="1" applyFill="1" applyBorder="1" applyAlignment="1" applyProtection="1">
      <alignment horizontal="center"/>
      <protection hidden="1"/>
    </xf>
    <xf numFmtId="3" fontId="15" fillId="0" borderId="4" xfId="0" applyNumberFormat="1" applyFont="1" applyFill="1" applyBorder="1" applyAlignment="1" applyProtection="1">
      <alignment horizontal="center"/>
      <protection hidden="1"/>
    </xf>
    <xf numFmtId="0" fontId="14" fillId="0" borderId="0" xfId="0" applyFont="1" applyFill="1" applyProtection="1">
      <protection hidden="1"/>
    </xf>
    <xf numFmtId="3" fontId="9" fillId="0" borderId="1" xfId="0" applyNumberFormat="1" applyFont="1" applyFill="1" applyBorder="1" applyAlignment="1" applyProtection="1">
      <alignment horizontal="center"/>
      <protection hidden="1"/>
    </xf>
    <xf numFmtId="4" fontId="0" fillId="0" borderId="1" xfId="0" applyNumberFormat="1" applyFill="1" applyBorder="1" applyProtection="1">
      <protection hidden="1"/>
    </xf>
    <xf numFmtId="3" fontId="17" fillId="0" borderId="2" xfId="0" applyNumberFormat="1" applyFont="1" applyFill="1" applyBorder="1" applyAlignment="1" applyProtection="1">
      <alignment horizontal="center"/>
      <protection hidden="1"/>
    </xf>
    <xf numFmtId="3" fontId="17" fillId="0" borderId="3" xfId="0" applyNumberFormat="1" applyFont="1" applyFill="1" applyBorder="1" applyAlignment="1" applyProtection="1">
      <alignment horizontal="center"/>
      <protection hidden="1"/>
    </xf>
    <xf numFmtId="3" fontId="17" fillId="0" borderId="4" xfId="0" applyNumberFormat="1" applyFont="1" applyFill="1" applyBorder="1" applyAlignment="1" applyProtection="1">
      <alignment horizontal="center"/>
      <protection hidden="1"/>
    </xf>
    <xf numFmtId="3" fontId="18" fillId="0" borderId="2" xfId="0" applyNumberFormat="1" applyFont="1" applyFill="1" applyBorder="1" applyAlignment="1" applyProtection="1">
      <alignment horizontal="center"/>
      <protection hidden="1"/>
    </xf>
    <xf numFmtId="3" fontId="18" fillId="0" borderId="3" xfId="0" applyNumberFormat="1" applyFont="1" applyFill="1" applyBorder="1" applyAlignment="1" applyProtection="1">
      <alignment horizontal="center"/>
      <protection hidden="1"/>
    </xf>
    <xf numFmtId="3" fontId="18" fillId="0" borderId="4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Fill="1" applyAlignment="1" applyProtection="1">
      <alignment horizontal="center"/>
      <protection hidden="1"/>
    </xf>
    <xf numFmtId="3" fontId="9" fillId="0" borderId="13" xfId="0" applyNumberFormat="1" applyFont="1" applyFill="1" applyBorder="1" applyProtection="1">
      <protection hidden="1"/>
    </xf>
    <xf numFmtId="3" fontId="10" fillId="0" borderId="14" xfId="0" applyNumberFormat="1" applyFont="1" applyFill="1" applyBorder="1" applyAlignment="1" applyProtection="1">
      <alignment horizontal="center"/>
      <protection hidden="1"/>
    </xf>
    <xf numFmtId="3" fontId="10" fillId="0" borderId="15" xfId="0" applyNumberFormat="1" applyFont="1" applyFill="1" applyBorder="1" applyAlignment="1" applyProtection="1">
      <alignment horizontal="center"/>
      <protection hidden="1"/>
    </xf>
    <xf numFmtId="3" fontId="10" fillId="0" borderId="16" xfId="0" applyNumberFormat="1" applyFont="1" applyFill="1" applyBorder="1" applyAlignment="1" applyProtection="1">
      <alignment horizontal="center"/>
      <protection hidden="1"/>
    </xf>
    <xf numFmtId="3" fontId="15" fillId="0" borderId="14" xfId="0" applyNumberFormat="1" applyFont="1" applyFill="1" applyBorder="1" applyAlignment="1" applyProtection="1">
      <alignment horizontal="center"/>
      <protection hidden="1"/>
    </xf>
    <xf numFmtId="3" fontId="15" fillId="0" borderId="15" xfId="0" applyNumberFormat="1" applyFont="1" applyFill="1" applyBorder="1" applyAlignment="1" applyProtection="1">
      <alignment horizontal="center"/>
      <protection hidden="1"/>
    </xf>
    <xf numFmtId="3" fontId="15" fillId="0" borderId="16" xfId="0" applyNumberFormat="1" applyFont="1" applyFill="1" applyBorder="1" applyAlignment="1" applyProtection="1">
      <alignment horizontal="center"/>
      <protection hidden="1"/>
    </xf>
    <xf numFmtId="3" fontId="13" fillId="0" borderId="2" xfId="0" applyNumberFormat="1" applyFont="1" applyFill="1" applyBorder="1" applyAlignment="1" applyProtection="1">
      <alignment horizontal="center"/>
      <protection hidden="1"/>
    </xf>
    <xf numFmtId="3" fontId="13" fillId="0" borderId="3" xfId="0" applyNumberFormat="1" applyFont="1" applyFill="1" applyBorder="1" applyAlignment="1" applyProtection="1">
      <alignment horizontal="center"/>
      <protection hidden="1"/>
    </xf>
    <xf numFmtId="3" fontId="13" fillId="0" borderId="4" xfId="0" applyNumberFormat="1" applyFont="1" applyFill="1" applyBorder="1" applyAlignment="1" applyProtection="1">
      <alignment horizontal="center"/>
      <protection hidden="1"/>
    </xf>
    <xf numFmtId="3" fontId="15" fillId="0" borderId="1" xfId="0" applyNumberFormat="1" applyFont="1" applyFill="1" applyBorder="1" applyAlignment="1" applyProtection="1">
      <alignment horizontal="center"/>
      <protection hidden="1"/>
    </xf>
    <xf numFmtId="0" fontId="11" fillId="0" borderId="1" xfId="0" applyFont="1" applyFill="1" applyBorder="1" applyAlignment="1" applyProtection="1"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66CC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17</xdr:col>
      <xdr:colOff>131379</xdr:colOff>
      <xdr:row>5</xdr:row>
      <xdr:rowOff>533400</xdr:rowOff>
    </xdr:to>
    <xdr:pic>
      <xdr:nvPicPr>
        <xdr:cNvPr id="2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2086896" cy="1325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10242</xdr:colOff>
      <xdr:row>0</xdr:row>
      <xdr:rowOff>0</xdr:rowOff>
    </xdr:from>
    <xdr:to>
      <xdr:col>16</xdr:col>
      <xdr:colOff>634999</xdr:colOff>
      <xdr:row>5</xdr:row>
      <xdr:rowOff>606425</xdr:rowOff>
    </xdr:to>
    <xdr:pic>
      <xdr:nvPicPr>
        <xdr:cNvPr id="2" name="Imagem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2" y="0"/>
          <a:ext cx="11276370" cy="14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16</xdr:col>
      <xdr:colOff>646339</xdr:colOff>
      <xdr:row>5</xdr:row>
      <xdr:rowOff>571500</xdr:rowOff>
    </xdr:to>
    <xdr:pic>
      <xdr:nvPicPr>
        <xdr:cNvPr id="2" name="Imagem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12873718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510340</xdr:colOff>
      <xdr:row>5</xdr:row>
      <xdr:rowOff>377031</xdr:rowOff>
    </xdr:to>
    <xdr:pic>
      <xdr:nvPicPr>
        <xdr:cNvPr id="103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48269" cy="1170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  <pageSetUpPr fitToPage="1"/>
  </sheetPr>
  <dimension ref="A1:U766"/>
  <sheetViews>
    <sheetView tabSelected="1" view="pageBreakPreview" topLeftCell="B1" zoomScale="87" zoomScaleNormal="100" zoomScaleSheetLayoutView="87" workbookViewId="0">
      <selection activeCell="F15" sqref="F15"/>
    </sheetView>
  </sheetViews>
  <sheetFormatPr defaultRowHeight="12.75" x14ac:dyDescent="0.2"/>
  <cols>
    <col min="1" max="1" width="42.85546875" style="2" hidden="1" customWidth="1"/>
    <col min="2" max="2" width="39.5703125" style="2" customWidth="1"/>
    <col min="3" max="4" width="7.28515625" style="22" customWidth="1"/>
    <col min="5" max="5" width="6.42578125" style="22" customWidth="1"/>
    <col min="6" max="6" width="8.28515625" style="22" customWidth="1"/>
    <col min="7" max="7" width="7.28515625" style="22" customWidth="1"/>
    <col min="8" max="17" width="10.28515625" style="22" customWidth="1"/>
    <col min="18" max="16384" width="9.140625" style="2"/>
  </cols>
  <sheetData>
    <row r="1" spans="1:21" ht="12.75" customHeight="1" x14ac:dyDescent="0.2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4"/>
    </row>
    <row r="2" spans="1:21" ht="12.75" customHeight="1" x14ac:dyDescent="0.2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7"/>
    </row>
    <row r="3" spans="1:21" ht="12.75" customHeight="1" x14ac:dyDescent="0.2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7"/>
    </row>
    <row r="4" spans="1:21" ht="12.75" customHeight="1" x14ac:dyDescent="0.2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7"/>
    </row>
    <row r="5" spans="1:21" ht="12.75" customHeight="1" x14ac:dyDescent="0.2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7"/>
    </row>
    <row r="6" spans="1:21" ht="42.75" customHeight="1" x14ac:dyDescent="0.2">
      <c r="A6" s="48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50"/>
    </row>
    <row r="7" spans="1:21" ht="12.75" customHeight="1" x14ac:dyDescent="0.25">
      <c r="A7" s="69" t="s">
        <v>0</v>
      </c>
      <c r="B7" s="70"/>
      <c r="C7" s="70"/>
      <c r="D7" s="70"/>
      <c r="E7" s="70"/>
      <c r="F7" s="70"/>
      <c r="G7" s="70"/>
      <c r="H7" s="70"/>
      <c r="I7" s="70"/>
      <c r="J7" s="70"/>
      <c r="K7" s="71"/>
      <c r="L7" s="72">
        <v>44927</v>
      </c>
      <c r="M7" s="73"/>
      <c r="N7" s="73"/>
      <c r="O7" s="73"/>
      <c r="P7" s="73"/>
      <c r="Q7" s="74"/>
      <c r="R7" s="75"/>
      <c r="S7" s="75"/>
      <c r="T7" s="75"/>
      <c r="U7" s="75"/>
    </row>
    <row r="8" spans="1:21" ht="12.75" hidden="1" customHeight="1" x14ac:dyDescent="0.25">
      <c r="A8" s="69" t="s">
        <v>1</v>
      </c>
      <c r="B8" s="70"/>
      <c r="C8" s="70"/>
      <c r="D8" s="70"/>
      <c r="E8" s="70"/>
      <c r="F8" s="70"/>
      <c r="G8" s="70"/>
      <c r="H8" s="70"/>
      <c r="I8" s="70"/>
      <c r="J8" s="70"/>
      <c r="K8" s="71"/>
      <c r="L8" s="76">
        <v>5.35</v>
      </c>
      <c r="M8" s="77"/>
      <c r="N8" s="77"/>
      <c r="O8" s="77"/>
      <c r="P8" s="77"/>
      <c r="Q8" s="78"/>
      <c r="R8" s="79"/>
      <c r="S8" s="79"/>
      <c r="T8" s="79"/>
      <c r="U8" s="79"/>
    </row>
    <row r="9" spans="1:21" ht="12.75" customHeight="1" x14ac:dyDescent="0.2">
      <c r="A9" s="80" t="s">
        <v>2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2"/>
    </row>
    <row r="10" spans="1:21" ht="12.75" customHeight="1" x14ac:dyDescent="0.2">
      <c r="A10" s="59" t="s">
        <v>1472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4"/>
    </row>
    <row r="11" spans="1:21" ht="12.75" customHeight="1" x14ac:dyDescent="0.2">
      <c r="A11" s="85" t="s">
        <v>1409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4"/>
    </row>
    <row r="12" spans="1:21" ht="12.75" customHeight="1" x14ac:dyDescent="0.2">
      <c r="A12" s="85" t="s">
        <v>4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4"/>
    </row>
    <row r="13" spans="1:21" ht="30" customHeight="1" x14ac:dyDescent="0.35">
      <c r="A13" s="6"/>
      <c r="B13" s="23" t="s">
        <v>140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</row>
    <row r="14" spans="1:21" ht="12.75" customHeight="1" x14ac:dyDescent="0.2">
      <c r="A14" s="7" t="s">
        <v>6</v>
      </c>
      <c r="B14" s="8" t="s">
        <v>7</v>
      </c>
      <c r="C14" s="8" t="s">
        <v>8</v>
      </c>
      <c r="D14" s="8" t="s">
        <v>9</v>
      </c>
      <c r="E14" s="8" t="s">
        <v>10</v>
      </c>
      <c r="F14" s="8" t="s">
        <v>11</v>
      </c>
      <c r="G14" s="8" t="s">
        <v>12</v>
      </c>
      <c r="H14" s="8" t="s">
        <v>13</v>
      </c>
      <c r="I14" s="8" t="s">
        <v>14</v>
      </c>
      <c r="J14" s="8" t="s">
        <v>15</v>
      </c>
      <c r="K14" s="8" t="s">
        <v>16</v>
      </c>
      <c r="L14" s="8" t="s">
        <v>17</v>
      </c>
      <c r="M14" s="8" t="s">
        <v>18</v>
      </c>
      <c r="N14" s="8" t="s">
        <v>19</v>
      </c>
      <c r="O14" s="8" t="s">
        <v>20</v>
      </c>
      <c r="P14" s="8" t="s">
        <v>21</v>
      </c>
      <c r="Q14" s="8" t="s">
        <v>22</v>
      </c>
    </row>
    <row r="15" spans="1:21" ht="12.75" customHeight="1" x14ac:dyDescent="0.2">
      <c r="A15" s="6"/>
      <c r="B15" s="10" t="s">
        <v>141</v>
      </c>
      <c r="C15" s="86" t="s">
        <v>142</v>
      </c>
      <c r="D15" s="15">
        <v>1.38</v>
      </c>
      <c r="E15" s="86" t="s">
        <v>142</v>
      </c>
      <c r="F15" s="20" t="s">
        <v>27</v>
      </c>
      <c r="G15" s="20" t="s">
        <v>27</v>
      </c>
      <c r="H15" s="20">
        <f>(63*(L8))</f>
        <v>337.04999999999995</v>
      </c>
      <c r="I15" s="20">
        <f>(78*(L8))</f>
        <v>417.29999999999995</v>
      </c>
      <c r="J15" s="20">
        <f>(87*(L8))</f>
        <v>465.45</v>
      </c>
      <c r="K15" s="20">
        <f>(111*(L8))</f>
        <v>593.84999999999991</v>
      </c>
      <c r="L15" s="20">
        <f>(126*(L8))</f>
        <v>674.09999999999991</v>
      </c>
      <c r="M15" s="20">
        <f>(144*(L8))</f>
        <v>770.4</v>
      </c>
      <c r="N15" s="20">
        <f>(165*(L8))</f>
        <v>882.74999999999989</v>
      </c>
      <c r="O15" s="20">
        <f>(195*(L8))</f>
        <v>1043.25</v>
      </c>
      <c r="P15" s="20">
        <f>(210*(L8))</f>
        <v>1123.5</v>
      </c>
      <c r="Q15" s="20">
        <f>(270*(L8))</f>
        <v>1444.5</v>
      </c>
    </row>
    <row r="16" spans="1:21" ht="30.75" customHeight="1" x14ac:dyDescent="0.2">
      <c r="A16" s="6"/>
      <c r="B16" s="87" t="s">
        <v>143</v>
      </c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9"/>
    </row>
    <row r="17" spans="1:17" ht="12.75" customHeight="1" x14ac:dyDescent="0.2">
      <c r="A17" s="6"/>
      <c r="B17" s="63" t="s">
        <v>7</v>
      </c>
      <c r="C17" s="63" t="s">
        <v>8</v>
      </c>
      <c r="D17" s="63" t="s">
        <v>9</v>
      </c>
      <c r="E17" s="63" t="s">
        <v>10</v>
      </c>
      <c r="F17" s="63" t="s">
        <v>11</v>
      </c>
      <c r="G17" s="63" t="s">
        <v>12</v>
      </c>
      <c r="H17" s="63" t="s">
        <v>13</v>
      </c>
      <c r="I17" s="63" t="s">
        <v>14</v>
      </c>
      <c r="J17" s="63" t="s">
        <v>15</v>
      </c>
      <c r="K17" s="63" t="s">
        <v>16</v>
      </c>
      <c r="L17" s="63" t="s">
        <v>17</v>
      </c>
      <c r="M17" s="63" t="s">
        <v>18</v>
      </c>
      <c r="N17" s="63" t="s">
        <v>19</v>
      </c>
      <c r="O17" s="63" t="s">
        <v>20</v>
      </c>
      <c r="P17" s="63" t="s">
        <v>21</v>
      </c>
      <c r="Q17" s="63" t="s">
        <v>22</v>
      </c>
    </row>
    <row r="18" spans="1:17" ht="12.75" customHeight="1" x14ac:dyDescent="0.2">
      <c r="A18" s="6"/>
      <c r="B18" s="16" t="s">
        <v>145</v>
      </c>
      <c r="C18" s="90">
        <v>0.5</v>
      </c>
      <c r="D18" s="90"/>
      <c r="E18" s="91">
        <v>0.5</v>
      </c>
      <c r="F18" s="86" t="s">
        <v>144</v>
      </c>
      <c r="G18" s="90">
        <v>0.8</v>
      </c>
      <c r="H18" s="92">
        <f>(165*($L$8))</f>
        <v>882.74999999999989</v>
      </c>
      <c r="I18" s="92">
        <f>(170*($L$8))</f>
        <v>909.49999999999989</v>
      </c>
      <c r="J18" s="92">
        <f>(175*($L$8))</f>
        <v>936.24999999999989</v>
      </c>
      <c r="K18" s="92">
        <f>(185*($L$8))</f>
        <v>989.74999999999989</v>
      </c>
      <c r="L18" s="92">
        <f>(190*($L$8))</f>
        <v>1016.4999999999999</v>
      </c>
      <c r="M18" s="92">
        <f>(195*($L$8))</f>
        <v>1043.25</v>
      </c>
      <c r="N18" s="92">
        <f>(205*($L$8))</f>
        <v>1096.75</v>
      </c>
      <c r="O18" s="92">
        <f>(215*($L$8))</f>
        <v>1150.25</v>
      </c>
      <c r="P18" s="92">
        <f>(220*($L$8))</f>
        <v>1177</v>
      </c>
      <c r="Q18" s="92">
        <f>(245*($L$8))</f>
        <v>1310.75</v>
      </c>
    </row>
    <row r="19" spans="1:17" ht="12.75" customHeight="1" x14ac:dyDescent="0.2">
      <c r="A19" s="6"/>
      <c r="B19" s="16" t="s">
        <v>1460</v>
      </c>
      <c r="C19" s="90">
        <v>0.6</v>
      </c>
      <c r="D19" s="90"/>
      <c r="E19" s="91">
        <v>0.6</v>
      </c>
      <c r="F19" s="86" t="s">
        <v>144</v>
      </c>
      <c r="G19" s="90">
        <v>0.9</v>
      </c>
      <c r="H19" s="92">
        <f>(175*($L$8))</f>
        <v>936.24999999999989</v>
      </c>
      <c r="I19" s="92">
        <f>(180*($L$8))</f>
        <v>962.99999999999989</v>
      </c>
      <c r="J19" s="92">
        <f>(185*($L$8))</f>
        <v>989.74999999999989</v>
      </c>
      <c r="K19" s="92">
        <f>(195*($L$8))</f>
        <v>1043.25</v>
      </c>
      <c r="L19" s="92">
        <f>(200*($L$8))</f>
        <v>1070</v>
      </c>
      <c r="M19" s="92">
        <f>(210*($L$8))</f>
        <v>1123.5</v>
      </c>
      <c r="N19" s="92">
        <f>(220*($L$8))</f>
        <v>1177</v>
      </c>
      <c r="O19" s="92">
        <f>(230*($L$8))</f>
        <v>1230.5</v>
      </c>
      <c r="P19" s="92">
        <f>(240*($L$8))</f>
        <v>1284</v>
      </c>
      <c r="Q19" s="92">
        <f>(265*($L$8))</f>
        <v>1417.75</v>
      </c>
    </row>
    <row r="20" spans="1:17" ht="12.75" customHeight="1" x14ac:dyDescent="0.2">
      <c r="A20" s="6"/>
      <c r="B20" s="9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4"/>
    </row>
    <row r="21" spans="1:17" ht="30" customHeight="1" x14ac:dyDescent="0.2">
      <c r="A21" s="5"/>
      <c r="B21" s="66" t="s">
        <v>146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</row>
    <row r="22" spans="1:17" s="64" customFormat="1" ht="12.75" customHeight="1" x14ac:dyDescent="0.2">
      <c r="A22" s="62" t="s">
        <v>6</v>
      </c>
      <c r="B22" s="62" t="s">
        <v>7</v>
      </c>
      <c r="C22" s="62" t="s">
        <v>8</v>
      </c>
      <c r="D22" s="62" t="s">
        <v>9</v>
      </c>
      <c r="E22" s="62" t="s">
        <v>10</v>
      </c>
      <c r="F22" s="62" t="s">
        <v>11</v>
      </c>
      <c r="G22" s="62" t="s">
        <v>12</v>
      </c>
      <c r="H22" s="62" t="s">
        <v>13</v>
      </c>
      <c r="I22" s="62" t="s">
        <v>14</v>
      </c>
      <c r="J22" s="62" t="s">
        <v>15</v>
      </c>
      <c r="K22" s="62" t="s">
        <v>16</v>
      </c>
      <c r="L22" s="62" t="s">
        <v>17</v>
      </c>
      <c r="M22" s="62" t="s">
        <v>18</v>
      </c>
      <c r="N22" s="62" t="s">
        <v>19</v>
      </c>
      <c r="O22" s="62" t="s">
        <v>20</v>
      </c>
      <c r="P22" s="63" t="s">
        <v>21</v>
      </c>
      <c r="Q22" s="63" t="s">
        <v>22</v>
      </c>
    </row>
    <row r="23" spans="1:17" ht="12.75" customHeight="1" x14ac:dyDescent="0.2">
      <c r="A23" s="6"/>
      <c r="B23" s="10" t="s">
        <v>147</v>
      </c>
      <c r="C23" s="20" t="s">
        <v>148</v>
      </c>
      <c r="D23" s="20" t="s">
        <v>149</v>
      </c>
      <c r="E23" s="20" t="s">
        <v>150</v>
      </c>
      <c r="F23" s="20" t="s">
        <v>151</v>
      </c>
      <c r="G23" s="20" t="s">
        <v>152</v>
      </c>
      <c r="H23" s="20">
        <f>(6295.22*(L8))</f>
        <v>33679.426999999996</v>
      </c>
      <c r="I23" s="20">
        <f>(6378.55*(L8))</f>
        <v>34125.2425</v>
      </c>
      <c r="J23" s="20">
        <f>(6428.55*(L8))</f>
        <v>34392.7425</v>
      </c>
      <c r="K23" s="20">
        <f>(6561.89*(L8))</f>
        <v>35106.111499999999</v>
      </c>
      <c r="L23" s="20">
        <f>(6645.22*(L8))</f>
        <v>35551.926999999996</v>
      </c>
      <c r="M23" s="20">
        <f>(6745.22*(L8))</f>
        <v>36086.926999999996</v>
      </c>
      <c r="N23" s="20">
        <f>(6861.89*(L8))</f>
        <v>36711.111499999999</v>
      </c>
      <c r="O23" s="20">
        <f>(7028.55*(L8))</f>
        <v>37602.7425</v>
      </c>
      <c r="P23" s="20">
        <f>(7111.89*(L8))</f>
        <v>38048.611499999999</v>
      </c>
      <c r="Q23" s="20">
        <f>(7445.22*(L8))</f>
        <v>39831.926999999996</v>
      </c>
    </row>
    <row r="24" spans="1:17" ht="12.75" customHeight="1" x14ac:dyDescent="0.2">
      <c r="A24" s="6"/>
      <c r="B24" s="10" t="s">
        <v>153</v>
      </c>
      <c r="C24" s="20" t="s">
        <v>127</v>
      </c>
      <c r="D24" s="20" t="s">
        <v>149</v>
      </c>
      <c r="E24" s="20" t="s">
        <v>150</v>
      </c>
      <c r="F24" s="20" t="s">
        <v>151</v>
      </c>
      <c r="G24" s="20" t="s">
        <v>154</v>
      </c>
      <c r="H24" s="20">
        <f>(6620.64*(L8))</f>
        <v>35420.423999999999</v>
      </c>
      <c r="I24" s="20">
        <f>(6708.36*(L8))</f>
        <v>35889.725999999995</v>
      </c>
      <c r="J24" s="20">
        <f>(6760.99*(L8))</f>
        <v>36171.296499999997</v>
      </c>
      <c r="K24" s="20">
        <f>(6901.34*(L8))</f>
        <v>36922.169000000002</v>
      </c>
      <c r="L24" s="20">
        <f>(6989.06*(L8))</f>
        <v>37391.470999999998</v>
      </c>
      <c r="M24" s="20">
        <f>(7094.33*(L8))</f>
        <v>37954.665499999996</v>
      </c>
      <c r="N24" s="20">
        <f>(7217.13*(L8))</f>
        <v>38611.645499999999</v>
      </c>
      <c r="O24" s="20">
        <f>(7392.57*(L8))</f>
        <v>39550.249499999998</v>
      </c>
      <c r="P24" s="20">
        <f>(7480.29*(L8))</f>
        <v>40019.551499999994</v>
      </c>
      <c r="Q24" s="20">
        <f>(7831.17*(L8))</f>
        <v>41896.7595</v>
      </c>
    </row>
    <row r="25" spans="1:17" ht="12.75" customHeight="1" x14ac:dyDescent="0.2">
      <c r="A25" s="6"/>
      <c r="B25" s="10" t="s">
        <v>155</v>
      </c>
      <c r="C25" s="20" t="s">
        <v>156</v>
      </c>
      <c r="D25" s="20" t="s">
        <v>149</v>
      </c>
      <c r="E25" s="20" t="s">
        <v>150</v>
      </c>
      <c r="F25" s="20" t="s">
        <v>151</v>
      </c>
      <c r="G25" s="20" t="s">
        <v>157</v>
      </c>
      <c r="H25" s="20">
        <f>(6945.33*(L8))</f>
        <v>37157.515499999994</v>
      </c>
      <c r="I25" s="20">
        <f>(7037.44*(L8))</f>
        <v>37650.303999999996</v>
      </c>
      <c r="J25" s="20">
        <f>(7092.7*(L8))</f>
        <v>37945.945</v>
      </c>
      <c r="K25" s="20">
        <f>(7240.07*(L8))</f>
        <v>38734.374499999998</v>
      </c>
      <c r="L25" s="20">
        <f>(7332.17*(L8))</f>
        <v>39227.109499999999</v>
      </c>
      <c r="M25" s="20">
        <f>(7442.7*(L8))</f>
        <v>39818.445</v>
      </c>
      <c r="N25" s="20">
        <f>(7571.65*(L8))</f>
        <v>40508.327499999992</v>
      </c>
      <c r="O25" s="20">
        <f>(7755.86*(L8))</f>
        <v>41493.850999999995</v>
      </c>
      <c r="P25" s="20">
        <f>(7847.96*(L8))</f>
        <v>41986.585999999996</v>
      </c>
      <c r="Q25" s="20">
        <f>(8216.38*(L8))</f>
        <v>43957.632999999994</v>
      </c>
    </row>
    <row r="26" spans="1:17" ht="12.75" customHeight="1" x14ac:dyDescent="0.2">
      <c r="A26" s="6"/>
      <c r="B26" s="10" t="s">
        <v>158</v>
      </c>
      <c r="C26" s="20" t="s">
        <v>159</v>
      </c>
      <c r="D26" s="20" t="s">
        <v>149</v>
      </c>
      <c r="E26" s="20" t="s">
        <v>150</v>
      </c>
      <c r="F26" s="20" t="s">
        <v>151</v>
      </c>
      <c r="G26" s="20" t="s">
        <v>160</v>
      </c>
      <c r="H26" s="20">
        <f>(7268.11*(L8))</f>
        <v>38884.388499999994</v>
      </c>
      <c r="I26" s="20">
        <f>(7364.6*(L8))</f>
        <v>39400.61</v>
      </c>
      <c r="J26" s="20">
        <f>(7422.5*(L8))</f>
        <v>39710.375</v>
      </c>
      <c r="K26" s="20">
        <f>(7576.88*(L8))</f>
        <v>40536.307999999997</v>
      </c>
      <c r="L26" s="20">
        <f>(7673.37*(L8))</f>
        <v>41052.529499999997</v>
      </c>
      <c r="M26" s="20">
        <f>(7789.16*(L8))</f>
        <v>41672.005999999994</v>
      </c>
      <c r="N26" s="20">
        <f>(7924.25*(L8))</f>
        <v>42394.737499999996</v>
      </c>
      <c r="O26" s="20">
        <f>(8117.23*(L8))</f>
        <v>43427.180499999995</v>
      </c>
      <c r="P26" s="20">
        <f>(8213.72*(L8))</f>
        <v>43943.401999999995</v>
      </c>
      <c r="Q26" s="20">
        <f>(8599.69*(L8))</f>
        <v>46008.341500000002</v>
      </c>
    </row>
    <row r="27" spans="1:17" ht="12.75" customHeight="1" x14ac:dyDescent="0.2">
      <c r="A27" s="6"/>
      <c r="B27" s="10" t="s">
        <v>161</v>
      </c>
      <c r="C27" s="20" t="s">
        <v>162</v>
      </c>
      <c r="D27" s="20" t="s">
        <v>149</v>
      </c>
      <c r="E27" s="20" t="s">
        <v>150</v>
      </c>
      <c r="F27" s="20" t="s">
        <v>151</v>
      </c>
      <c r="G27" s="20" t="s">
        <v>163</v>
      </c>
      <c r="H27" s="20">
        <f>(7598.14*(L8))</f>
        <v>40650.048999999999</v>
      </c>
      <c r="I27" s="20">
        <f>(7699.02*(L8))</f>
        <v>41189.756999999998</v>
      </c>
      <c r="J27" s="20">
        <f>(7759.54*(L8))</f>
        <v>41513.538999999997</v>
      </c>
      <c r="K27" s="20">
        <f>(7920.95*(L8))</f>
        <v>42377.082499999997</v>
      </c>
      <c r="L27" s="20">
        <f>(8021.82*(L8))</f>
        <v>42916.736999999994</v>
      </c>
      <c r="M27" s="20">
        <f>(8142.88*(L8))</f>
        <v>43564.407999999996</v>
      </c>
      <c r="N27" s="20">
        <f>(8284.11*(L8))</f>
        <v>44319.988499999999</v>
      </c>
      <c r="O27" s="20">
        <f>(8485.86*(L8))</f>
        <v>45399.351000000002</v>
      </c>
      <c r="P27" s="20">
        <f>(8586.74*(L8))</f>
        <v>45939.058999999994</v>
      </c>
      <c r="Q27" s="20">
        <f>(8990.25*(L8))</f>
        <v>48097.837499999994</v>
      </c>
    </row>
    <row r="28" spans="1:17" ht="12.75" customHeight="1" x14ac:dyDescent="0.2">
      <c r="A28" s="6"/>
      <c r="B28" s="10" t="s">
        <v>164</v>
      </c>
      <c r="C28" s="20" t="s">
        <v>165</v>
      </c>
      <c r="D28" s="20" t="s">
        <v>149</v>
      </c>
      <c r="E28" s="20" t="s">
        <v>150</v>
      </c>
      <c r="F28" s="20" t="s">
        <v>151</v>
      </c>
      <c r="G28" s="20" t="s">
        <v>166</v>
      </c>
      <c r="H28" s="20">
        <f>(6730.52*(L8))</f>
        <v>36008.281999999999</v>
      </c>
      <c r="I28" s="20">
        <f>(6813.85*(L8))</f>
        <v>36454.097499999996</v>
      </c>
      <c r="J28" s="20">
        <f>(6863.85*(L8))</f>
        <v>36721.597499999996</v>
      </c>
      <c r="K28" s="20">
        <f>(6997.19*(L8))</f>
        <v>37434.966499999995</v>
      </c>
      <c r="L28" s="20">
        <f>(7080.52*(L8))</f>
        <v>37880.781999999999</v>
      </c>
      <c r="M28" s="20">
        <f>(7180.52*(L8))</f>
        <v>38415.781999999999</v>
      </c>
      <c r="N28" s="20">
        <f>(7297.19*(L8))</f>
        <v>39039.966499999995</v>
      </c>
      <c r="O28" s="20">
        <f>(7463.85*(L8))</f>
        <v>39931.597499999996</v>
      </c>
      <c r="P28" s="20">
        <f>(7547.19*(L8))</f>
        <v>40377.466499999995</v>
      </c>
      <c r="Q28" s="20">
        <f>(7880.52*(L8))</f>
        <v>42160.781999999999</v>
      </c>
    </row>
    <row r="29" spans="1:17" ht="12.75" customHeight="1" x14ac:dyDescent="0.2">
      <c r="A29" s="6"/>
      <c r="B29" s="10" t="s">
        <v>167</v>
      </c>
      <c r="C29" s="20" t="s">
        <v>168</v>
      </c>
      <c r="D29" s="20" t="s">
        <v>149</v>
      </c>
      <c r="E29" s="20" t="s">
        <v>150</v>
      </c>
      <c r="F29" s="20" t="s">
        <v>151</v>
      </c>
      <c r="G29" s="20" t="s">
        <v>154</v>
      </c>
      <c r="H29" s="20">
        <f>(7013.31*(L8))</f>
        <v>37521.208500000001</v>
      </c>
      <c r="I29" s="20">
        <f>(7101.03*(L8))</f>
        <v>37990.510499999997</v>
      </c>
      <c r="J29" s="20">
        <f>(7153.66*(L8))</f>
        <v>38272.080999999998</v>
      </c>
      <c r="K29" s="20">
        <f>(7294.01*(L8))</f>
        <v>39022.953499999996</v>
      </c>
      <c r="L29" s="20">
        <f>(7381.73*(L8))</f>
        <v>39492.255499999992</v>
      </c>
      <c r="M29" s="20">
        <f>(7486.99*(L8))</f>
        <v>40055.396499999995</v>
      </c>
      <c r="N29" s="20">
        <f>(7609.8*(L8))</f>
        <v>40712.43</v>
      </c>
      <c r="O29" s="20">
        <f>(7785.24*(L8))</f>
        <v>41651.034</v>
      </c>
      <c r="P29" s="20">
        <f>(7872.96*(L8))</f>
        <v>42120.335999999996</v>
      </c>
      <c r="Q29" s="20">
        <f>(8223.84*(L8))</f>
        <v>43997.543999999994</v>
      </c>
    </row>
    <row r="30" spans="1:17" ht="12.75" customHeight="1" x14ac:dyDescent="0.2">
      <c r="A30" s="6"/>
      <c r="B30" s="10" t="s">
        <v>169</v>
      </c>
      <c r="C30" s="20" t="s">
        <v>170</v>
      </c>
      <c r="D30" s="20" t="s">
        <v>149</v>
      </c>
      <c r="E30" s="20" t="s">
        <v>150</v>
      </c>
      <c r="F30" s="20" t="s">
        <v>151</v>
      </c>
      <c r="G30" s="20" t="s">
        <v>157</v>
      </c>
      <c r="H30" s="20">
        <f>(7324.49*(L8))</f>
        <v>39186.021499999995</v>
      </c>
      <c r="I30" s="20">
        <f>(7416.59*(L8))</f>
        <v>39678.756499999996</v>
      </c>
      <c r="J30" s="20">
        <f>(7471.86*(L8))</f>
        <v>39974.450999999994</v>
      </c>
      <c r="K30" s="20">
        <f>(7619.23*(L8))</f>
        <v>40762.880499999992</v>
      </c>
      <c r="L30" s="20">
        <f>(7711.33*(L8))</f>
        <v>41255.6155</v>
      </c>
      <c r="M30" s="20">
        <f>(7821.86*(L8))</f>
        <v>41846.950999999994</v>
      </c>
      <c r="N30" s="20">
        <f>(7950.8*(L8))</f>
        <v>42536.78</v>
      </c>
      <c r="O30" s="20">
        <f>(8135.01*(L8))</f>
        <v>43522.303500000002</v>
      </c>
      <c r="P30" s="20">
        <f>(8227.12*(L8))</f>
        <v>44015.092000000004</v>
      </c>
      <c r="Q30" s="20">
        <f>(8595.54*(L8))</f>
        <v>45986.139000000003</v>
      </c>
    </row>
    <row r="31" spans="1:17" ht="12.75" customHeight="1" x14ac:dyDescent="0.2">
      <c r="A31" s="6"/>
      <c r="B31" s="10" t="s">
        <v>171</v>
      </c>
      <c r="C31" s="20" t="s">
        <v>172</v>
      </c>
      <c r="D31" s="20" t="s">
        <v>149</v>
      </c>
      <c r="E31" s="20" t="s">
        <v>150</v>
      </c>
      <c r="F31" s="20" t="s">
        <v>151</v>
      </c>
      <c r="G31" s="20" t="s">
        <v>160</v>
      </c>
      <c r="H31" s="20">
        <f>(7708.67*(L8))</f>
        <v>41241.3845</v>
      </c>
      <c r="I31" s="20">
        <f>(7805.16*(L8))</f>
        <v>41757.606</v>
      </c>
      <c r="J31" s="20">
        <f>(7863.06*(L8))</f>
        <v>42067.370999999999</v>
      </c>
      <c r="K31" s="20">
        <f>(8017.44*(L8))</f>
        <v>42893.303999999996</v>
      </c>
      <c r="L31" s="20">
        <f>(8113.93*(L8))</f>
        <v>43409.525499999996</v>
      </c>
      <c r="M31" s="20">
        <f>(8229.72*(L8))</f>
        <v>44029.001999999993</v>
      </c>
      <c r="N31" s="20">
        <f>(8364.81*(L8))</f>
        <v>44751.733499999995</v>
      </c>
      <c r="O31" s="20">
        <f>(8557.79*(L8))</f>
        <v>45784.176500000001</v>
      </c>
      <c r="P31" s="20">
        <f>(8654.28*(L8))</f>
        <v>46300.398000000001</v>
      </c>
      <c r="Q31" s="20">
        <f>(9040.25*(L8))</f>
        <v>48365.337499999994</v>
      </c>
    </row>
    <row r="32" spans="1:17" ht="12.75" customHeight="1" x14ac:dyDescent="0.2">
      <c r="A32" s="6"/>
      <c r="B32" s="10" t="s">
        <v>173</v>
      </c>
      <c r="C32" s="20" t="s">
        <v>174</v>
      </c>
      <c r="D32" s="20" t="s">
        <v>149</v>
      </c>
      <c r="E32" s="20" t="s">
        <v>150</v>
      </c>
      <c r="F32" s="20" t="s">
        <v>151</v>
      </c>
      <c r="G32" s="20" t="s">
        <v>163</v>
      </c>
      <c r="H32" s="20">
        <f>(8015.89*(L8))</f>
        <v>42885.011500000001</v>
      </c>
      <c r="I32" s="20">
        <f>(8116.77*(L8))</f>
        <v>43424.719499999999</v>
      </c>
      <c r="J32" s="20">
        <f>(8177.3*(L8))</f>
        <v>43748.555</v>
      </c>
      <c r="K32" s="20">
        <f>(8338.7*(L8))</f>
        <v>44612.044999999998</v>
      </c>
      <c r="L32" s="20">
        <f>(8439.58*(L8))</f>
        <v>45151.752999999997</v>
      </c>
      <c r="M32" s="20">
        <f>(8560.63*(L8))</f>
        <v>45799.37049999999</v>
      </c>
      <c r="N32" s="20">
        <f>(8701.86*(L8))</f>
        <v>46554.951000000001</v>
      </c>
      <c r="O32" s="20">
        <f>(8903.61*(L8))</f>
        <v>47634.313499999997</v>
      </c>
      <c r="P32" s="20">
        <f>(9004.49*(L8))</f>
        <v>48174.021499999995</v>
      </c>
      <c r="Q32" s="20">
        <f>(9408*(L8))</f>
        <v>50332.799999999996</v>
      </c>
    </row>
    <row r="33" spans="1:17" ht="12.75" customHeight="1" x14ac:dyDescent="0.2">
      <c r="A33" s="6"/>
      <c r="B33" s="10" t="s">
        <v>175</v>
      </c>
      <c r="C33" s="20" t="s">
        <v>74</v>
      </c>
      <c r="D33" s="20" t="s">
        <v>149</v>
      </c>
      <c r="E33" s="20" t="s">
        <v>150</v>
      </c>
      <c r="F33" s="20" t="s">
        <v>151</v>
      </c>
      <c r="G33" s="20" t="s">
        <v>154</v>
      </c>
      <c r="H33" s="20">
        <f>(6716.91*(L8))</f>
        <v>35935.468499999995</v>
      </c>
      <c r="I33" s="20">
        <f>(6804.63*(L8))</f>
        <v>36404.770499999999</v>
      </c>
      <c r="J33" s="20">
        <f>(6857.26*(L8))</f>
        <v>36686.341</v>
      </c>
      <c r="K33" s="20">
        <f>(6997.61*(L8))</f>
        <v>37437.213499999998</v>
      </c>
      <c r="L33" s="20">
        <f>(7085.33*(L8))</f>
        <v>37906.515499999994</v>
      </c>
      <c r="M33" s="20">
        <f>(7190.6*(L8))</f>
        <v>38469.71</v>
      </c>
      <c r="N33" s="20">
        <f>(7313.4*(L8))</f>
        <v>39126.689999999995</v>
      </c>
      <c r="O33" s="20">
        <f>(7488.84*(L8))</f>
        <v>40065.294000000002</v>
      </c>
      <c r="P33" s="20">
        <f>(7576.56*(L8))</f>
        <v>40534.595999999998</v>
      </c>
      <c r="Q33" s="20">
        <f>(7927.44*(L8))</f>
        <v>42411.803999999996</v>
      </c>
    </row>
    <row r="34" spans="1:17" ht="12.75" customHeight="1" x14ac:dyDescent="0.2">
      <c r="A34" s="6"/>
      <c r="B34" s="10" t="s">
        <v>176</v>
      </c>
      <c r="C34" s="20" t="s">
        <v>177</v>
      </c>
      <c r="D34" s="20" t="s">
        <v>149</v>
      </c>
      <c r="E34" s="20" t="s">
        <v>150</v>
      </c>
      <c r="F34" s="20" t="s">
        <v>151</v>
      </c>
      <c r="G34" s="20" t="s">
        <v>157</v>
      </c>
      <c r="H34" s="20">
        <f>(6921.59*(L8))</f>
        <v>37030.506499999996</v>
      </c>
      <c r="I34" s="20">
        <f>(7013.7*(L8))</f>
        <v>37523.294999999998</v>
      </c>
      <c r="J34" s="20">
        <f>(7068.96*(L8))</f>
        <v>37818.935999999994</v>
      </c>
      <c r="K34" s="20">
        <f>(7216.33*(L8))</f>
        <v>38607.3655</v>
      </c>
      <c r="L34" s="20">
        <f>(7308.43*(L8))</f>
        <v>39100.1005</v>
      </c>
      <c r="M34" s="20">
        <f>(7418.96*(L8))</f>
        <v>39691.435999999994</v>
      </c>
      <c r="N34" s="20">
        <f>(7547.91*(L8))</f>
        <v>40381.318499999994</v>
      </c>
      <c r="O34" s="20">
        <f>(7732.12*(L8))</f>
        <v>41366.841999999997</v>
      </c>
      <c r="P34" s="20">
        <f>(7824.22*(L8))</f>
        <v>41859.576999999997</v>
      </c>
      <c r="Q34" s="20">
        <f>(8192.64*(L8))</f>
        <v>43830.623999999996</v>
      </c>
    </row>
    <row r="35" spans="1:17" ht="12.75" customHeight="1" x14ac:dyDescent="0.2">
      <c r="A35" s="6"/>
      <c r="B35" s="10" t="s">
        <v>178</v>
      </c>
      <c r="C35" s="20" t="s">
        <v>179</v>
      </c>
      <c r="D35" s="20" t="s">
        <v>149</v>
      </c>
      <c r="E35" s="20" t="s">
        <v>150</v>
      </c>
      <c r="F35" s="20" t="s">
        <v>151</v>
      </c>
      <c r="G35" s="20" t="s">
        <v>160</v>
      </c>
      <c r="H35" s="20">
        <f>(7216.8*(L8))</f>
        <v>38609.879999999997</v>
      </c>
      <c r="I35" s="20">
        <f>(7313.3*(L8))</f>
        <v>39126.154999999999</v>
      </c>
      <c r="J35" s="20">
        <f>(7371.19*(L8))</f>
        <v>39435.866499999996</v>
      </c>
      <c r="K35" s="20">
        <f>(7525.58*(L8))</f>
        <v>40261.852999999996</v>
      </c>
      <c r="L35" s="20">
        <f>(7622.07*(L8))</f>
        <v>40778.074499999995</v>
      </c>
      <c r="M35" s="20">
        <f>(7737.86*(L8))</f>
        <v>41397.550999999992</v>
      </c>
      <c r="N35" s="20">
        <f>(7872.94*(L8))</f>
        <v>42120.228999999992</v>
      </c>
      <c r="O35" s="20">
        <f>(8065.93*(L8))</f>
        <v>43152.7255</v>
      </c>
      <c r="P35" s="20">
        <f>(8162.42*(L8))</f>
        <v>43668.947</v>
      </c>
      <c r="Q35" s="20">
        <f>(8548.38*(L8))</f>
        <v>45733.832999999991</v>
      </c>
    </row>
    <row r="36" spans="1:17" ht="12.75" customHeight="1" x14ac:dyDescent="0.2">
      <c r="A36" s="6"/>
      <c r="B36" s="10" t="s">
        <v>180</v>
      </c>
      <c r="C36" s="20" t="s">
        <v>181</v>
      </c>
      <c r="D36" s="20" t="s">
        <v>149</v>
      </c>
      <c r="E36" s="20" t="s">
        <v>150</v>
      </c>
      <c r="F36" s="20" t="s">
        <v>151</v>
      </c>
      <c r="G36" s="20" t="s">
        <v>182</v>
      </c>
      <c r="H36" s="20">
        <f>(7573.02*(L8))</f>
        <v>40515.656999999999</v>
      </c>
      <c r="I36" s="20">
        <f>(7678.28*(L8))</f>
        <v>41078.797999999995</v>
      </c>
      <c r="J36" s="20">
        <f>(7741.44*(L8))</f>
        <v>41416.703999999998</v>
      </c>
      <c r="K36" s="20">
        <f>(7909.86*(L8))</f>
        <v>42317.750999999997</v>
      </c>
      <c r="L36" s="20">
        <f>(8015.13*(L8))</f>
        <v>42880.945499999994</v>
      </c>
      <c r="M36" s="20">
        <f>(8141.44*(L8))</f>
        <v>43556.703999999998</v>
      </c>
      <c r="N36" s="20">
        <f>(8288.81*(L8))</f>
        <v>44345.133499999996</v>
      </c>
      <c r="O36" s="20">
        <f>(8499.34*(L8))</f>
        <v>45471.468999999997</v>
      </c>
      <c r="P36" s="20">
        <f>(8604.6*(L8))</f>
        <v>46034.61</v>
      </c>
      <c r="Q36" s="20">
        <f>(9025.65*(L8))</f>
        <v>48287.227499999994</v>
      </c>
    </row>
    <row r="37" spans="1:17" ht="12.75" customHeight="1" x14ac:dyDescent="0.2">
      <c r="A37" s="6"/>
      <c r="B37" s="10" t="s">
        <v>183</v>
      </c>
      <c r="C37" s="20" t="s">
        <v>184</v>
      </c>
      <c r="D37" s="20" t="s">
        <v>149</v>
      </c>
      <c r="E37" s="20" t="s">
        <v>150</v>
      </c>
      <c r="F37" s="20" t="s">
        <v>151</v>
      </c>
      <c r="G37" s="20" t="s">
        <v>185</v>
      </c>
      <c r="H37" s="20">
        <f>(7943.72*(L8))</f>
        <v>42498.902000000002</v>
      </c>
      <c r="I37" s="20">
        <f>(8053.37*(L8))</f>
        <v>43085.529499999997</v>
      </c>
      <c r="J37" s="20">
        <f>(8119.16*(L8))</f>
        <v>43437.505999999994</v>
      </c>
      <c r="K37" s="20">
        <f>(8294.6*(L8))</f>
        <v>44376.11</v>
      </c>
      <c r="L37" s="20">
        <f>(8404.25*(L8))</f>
        <v>44962.737499999996</v>
      </c>
      <c r="M37" s="20">
        <f>(8535.82*(L8))</f>
        <v>45666.636999999995</v>
      </c>
      <c r="N37" s="20">
        <f>(8689.33*(L8))</f>
        <v>46487.915499999996</v>
      </c>
      <c r="O37" s="20">
        <f>(8908.63*(L8))</f>
        <v>47661.170499999993</v>
      </c>
      <c r="P37" s="20">
        <f>(9018.28*(L8))</f>
        <v>48247.798000000003</v>
      </c>
      <c r="Q37" s="20">
        <f>(9456.88*(L8))</f>
        <v>50594.30799999999</v>
      </c>
    </row>
    <row r="38" spans="1:17" ht="12.75" customHeight="1" x14ac:dyDescent="0.2">
      <c r="A38" s="6"/>
      <c r="B38" s="10" t="s">
        <v>186</v>
      </c>
      <c r="C38" s="20" t="s">
        <v>187</v>
      </c>
      <c r="D38" s="20" t="s">
        <v>149</v>
      </c>
      <c r="E38" s="20" t="s">
        <v>150</v>
      </c>
      <c r="F38" s="20" t="s">
        <v>151</v>
      </c>
      <c r="G38" s="20" t="s">
        <v>154</v>
      </c>
      <c r="H38" s="20">
        <f>(6984.15*(L8))</f>
        <v>37365.202499999992</v>
      </c>
      <c r="I38" s="20">
        <f>(7071.87*(L8))</f>
        <v>37834.504499999995</v>
      </c>
      <c r="J38" s="20">
        <f>(7124.5*(L8))</f>
        <v>38116.074999999997</v>
      </c>
      <c r="K38" s="20">
        <f>(7264.85*(L8))</f>
        <v>38866.947500000002</v>
      </c>
      <c r="L38" s="20">
        <f>(7352.57*(L8))</f>
        <v>39336.249499999998</v>
      </c>
      <c r="M38" s="20">
        <f>(7457.83*(L8))</f>
        <v>39899.390499999994</v>
      </c>
      <c r="N38" s="20">
        <f>(7580.64*(L8))</f>
        <v>40556.423999999999</v>
      </c>
      <c r="O38" s="20">
        <f>(7756.08*(L8))</f>
        <v>41495.027999999998</v>
      </c>
      <c r="P38" s="20">
        <f>(7843.8*(L8))</f>
        <v>41964.33</v>
      </c>
      <c r="Q38" s="20">
        <f>(8194.68*(L8))</f>
        <v>43841.538</v>
      </c>
    </row>
    <row r="39" spans="1:17" ht="12.75" customHeight="1" x14ac:dyDescent="0.2">
      <c r="A39" s="6"/>
      <c r="B39" s="10" t="s">
        <v>188</v>
      </c>
      <c r="C39" s="20" t="s">
        <v>189</v>
      </c>
      <c r="D39" s="20" t="s">
        <v>149</v>
      </c>
      <c r="E39" s="20" t="s">
        <v>150</v>
      </c>
      <c r="F39" s="20" t="s">
        <v>151</v>
      </c>
      <c r="G39" s="20" t="s">
        <v>157</v>
      </c>
      <c r="H39" s="20">
        <f>(7406.51*(L8))</f>
        <v>39624.828499999996</v>
      </c>
      <c r="I39" s="20">
        <f>(7498.61*(L8))</f>
        <v>40117.563499999997</v>
      </c>
      <c r="J39" s="20">
        <f>(7553.88*(L8))</f>
        <v>40413.257999999994</v>
      </c>
      <c r="K39" s="20">
        <f>(7701.25*(L8))</f>
        <v>41201.6875</v>
      </c>
      <c r="L39" s="20">
        <f>(7793.35*(L8))</f>
        <v>41694.422500000001</v>
      </c>
      <c r="M39" s="20">
        <f>(7903.88*(L8))</f>
        <v>42285.757999999994</v>
      </c>
      <c r="N39" s="20">
        <f>(8032.82*(L8))</f>
        <v>42975.586999999992</v>
      </c>
      <c r="O39" s="20">
        <f>(8217.04*(L8))</f>
        <v>43961.164000000004</v>
      </c>
      <c r="P39" s="20">
        <f>(8309.14*(L8))</f>
        <v>44453.89899999999</v>
      </c>
      <c r="Q39" s="20">
        <f>(8677.56*(L8))</f>
        <v>46424.945999999996</v>
      </c>
    </row>
    <row r="40" spans="1:17" ht="12.75" customHeight="1" x14ac:dyDescent="0.2">
      <c r="A40" s="6"/>
      <c r="B40" s="10" t="s">
        <v>190</v>
      </c>
      <c r="C40" s="20" t="s">
        <v>191</v>
      </c>
      <c r="D40" s="20" t="s">
        <v>149</v>
      </c>
      <c r="E40" s="20" t="s">
        <v>150</v>
      </c>
      <c r="F40" s="20" t="s">
        <v>151</v>
      </c>
      <c r="G40" s="20" t="s">
        <v>160</v>
      </c>
      <c r="H40" s="20">
        <f>(7743.23*(L8))</f>
        <v>41426.280499999993</v>
      </c>
      <c r="I40" s="20">
        <f>(7839.72*(L8))</f>
        <v>41942.502</v>
      </c>
      <c r="J40" s="20">
        <f>(7897.61*(L8))</f>
        <v>42252.213499999998</v>
      </c>
      <c r="K40" s="20">
        <f>(8052*(L8))</f>
        <v>43078.2</v>
      </c>
      <c r="L40" s="20">
        <f>(8148.49*(L8))</f>
        <v>43594.421499999997</v>
      </c>
      <c r="M40" s="20">
        <f>(8264.28*(L8))</f>
        <v>44213.898000000001</v>
      </c>
      <c r="N40" s="20">
        <f>(8399.37*(L8))</f>
        <v>44936.629500000003</v>
      </c>
      <c r="O40" s="20">
        <f>(8592.35*(L8))</f>
        <v>45969.072500000002</v>
      </c>
      <c r="P40" s="20">
        <f>(8688.84*(L8))</f>
        <v>46485.293999999994</v>
      </c>
      <c r="Q40" s="20">
        <f>(9074.81*(L8))</f>
        <v>48550.233499999995</v>
      </c>
    </row>
    <row r="41" spans="1:17" ht="12.75" customHeight="1" x14ac:dyDescent="0.2">
      <c r="A41" s="6"/>
      <c r="B41" s="10" t="s">
        <v>192</v>
      </c>
      <c r="C41" s="20" t="s">
        <v>193</v>
      </c>
      <c r="D41" s="20" t="s">
        <v>149</v>
      </c>
      <c r="E41" s="20" t="s">
        <v>150</v>
      </c>
      <c r="F41" s="20" t="s">
        <v>151</v>
      </c>
      <c r="G41" s="20" t="s">
        <v>182</v>
      </c>
      <c r="H41" s="20">
        <f>(8050.93*(L8))</f>
        <v>43072.4755</v>
      </c>
      <c r="I41" s="20">
        <f>(8156.19*(L8))</f>
        <v>43635.616499999996</v>
      </c>
      <c r="J41" s="20">
        <f>(8219.35*(L8))</f>
        <v>43973.522499999999</v>
      </c>
      <c r="K41" s="20">
        <f>(8387.77*(L8))</f>
        <v>44874.569499999998</v>
      </c>
      <c r="L41" s="20">
        <f>(8493.04*(L8))</f>
        <v>45437.764000000003</v>
      </c>
      <c r="M41" s="20">
        <f>(8619.35*(L8))</f>
        <v>46113.522499999999</v>
      </c>
      <c r="N41" s="20">
        <f>(8766.72*(L8))</f>
        <v>46901.95199999999</v>
      </c>
      <c r="O41" s="20">
        <f>(8977.25*(L8))</f>
        <v>48028.287499999999</v>
      </c>
      <c r="P41" s="20">
        <f>(9082.51*(L8))</f>
        <v>48591.428499999995</v>
      </c>
      <c r="Q41" s="20">
        <f>(9503.56*(L8))</f>
        <v>50844.045999999995</v>
      </c>
    </row>
    <row r="42" spans="1:17" ht="12.75" customHeight="1" x14ac:dyDescent="0.2">
      <c r="A42" s="6"/>
      <c r="B42" s="10" t="s">
        <v>194</v>
      </c>
      <c r="C42" s="20" t="s">
        <v>195</v>
      </c>
      <c r="D42" s="20" t="s">
        <v>149</v>
      </c>
      <c r="E42" s="20" t="s">
        <v>150</v>
      </c>
      <c r="F42" s="20" t="s">
        <v>151</v>
      </c>
      <c r="G42" s="20" t="s">
        <v>185</v>
      </c>
      <c r="H42" s="20">
        <f>(8327.58*(L8))</f>
        <v>44552.553</v>
      </c>
      <c r="I42" s="20">
        <f>(8437.23*(L8))</f>
        <v>45139.180499999995</v>
      </c>
      <c r="J42" s="20">
        <f>(8503.02*(L8))</f>
        <v>45491.156999999999</v>
      </c>
      <c r="K42" s="20">
        <f>(8678.46*(L8))</f>
        <v>46429.760999999991</v>
      </c>
      <c r="L42" s="20">
        <f>(8788.11*(L8))</f>
        <v>47016.388500000001</v>
      </c>
      <c r="M42" s="20">
        <f>(8919.68*(L8))</f>
        <v>47720.288</v>
      </c>
      <c r="N42" s="20">
        <f>(9073.19*(L8))</f>
        <v>48541.566500000001</v>
      </c>
      <c r="O42" s="20">
        <f>(9292.49*(L8))</f>
        <v>49714.821499999998</v>
      </c>
      <c r="P42" s="20">
        <f>(9402.14*(L8))</f>
        <v>50301.448999999993</v>
      </c>
      <c r="Q42" s="20">
        <f>(9840.74*(L8))</f>
        <v>52647.958999999995</v>
      </c>
    </row>
    <row r="43" spans="1:17" ht="12.75" customHeight="1" x14ac:dyDescent="0.2">
      <c r="A43" s="6"/>
      <c r="B43" s="10" t="s">
        <v>196</v>
      </c>
      <c r="C43" s="20" t="s">
        <v>197</v>
      </c>
      <c r="D43" s="20" t="s">
        <v>198</v>
      </c>
      <c r="E43" s="20" t="s">
        <v>150</v>
      </c>
      <c r="F43" s="20" t="s">
        <v>151</v>
      </c>
      <c r="G43" s="20" t="s">
        <v>31</v>
      </c>
      <c r="H43" s="20">
        <f>(6111.82*(L8))</f>
        <v>32698.236999999997</v>
      </c>
      <c r="I43" s="20">
        <f>(6164.45*(L8))</f>
        <v>32979.807499999995</v>
      </c>
      <c r="J43" s="20">
        <f>(6196.03*(L8))</f>
        <v>33148.760499999997</v>
      </c>
      <c r="K43" s="20">
        <f>(6280.24*(L8))</f>
        <v>33599.284</v>
      </c>
      <c r="L43" s="20">
        <f>(6332.87*(L8))</f>
        <v>33880.854499999994</v>
      </c>
      <c r="M43" s="20">
        <f>(6396.03*(L8))</f>
        <v>34218.760499999997</v>
      </c>
      <c r="N43" s="20">
        <f>(6469.71*(L8))</f>
        <v>34612.948499999999</v>
      </c>
      <c r="O43" s="20">
        <f>(6574.98*(L8))</f>
        <v>35176.142999999996</v>
      </c>
      <c r="P43" s="20">
        <f>(6627.61*(L8))</f>
        <v>35457.713499999998</v>
      </c>
      <c r="Q43" s="20">
        <f>(6838.13*(L8))</f>
        <v>36583.995499999997</v>
      </c>
    </row>
    <row r="44" spans="1:17" ht="12.75" customHeight="1" x14ac:dyDescent="0.2">
      <c r="A44" s="6"/>
      <c r="B44" s="10" t="s">
        <v>199</v>
      </c>
      <c r="C44" s="20" t="s">
        <v>200</v>
      </c>
      <c r="D44" s="20" t="s">
        <v>198</v>
      </c>
      <c r="E44" s="20" t="s">
        <v>150</v>
      </c>
      <c r="F44" s="20" t="s">
        <v>151</v>
      </c>
      <c r="G44" s="20" t="s">
        <v>54</v>
      </c>
      <c r="H44" s="20">
        <f>(6404.31*(L8))</f>
        <v>34263.058499999999</v>
      </c>
      <c r="I44" s="20">
        <f>(6461.33*(L8))</f>
        <v>34568.1155</v>
      </c>
      <c r="J44" s="20">
        <f>(6495.54*(L8))</f>
        <v>34751.138999999996</v>
      </c>
      <c r="K44" s="20">
        <f>(6586.76*(L8))</f>
        <v>35239.165999999997</v>
      </c>
      <c r="L44" s="20">
        <f>(6643.78*(L8))</f>
        <v>35544.222999999998</v>
      </c>
      <c r="M44" s="20">
        <f>(6712.2*(L8))</f>
        <v>35910.269999999997</v>
      </c>
      <c r="N44" s="20">
        <f>(6792.03*(L8))</f>
        <v>36337.360499999995</v>
      </c>
      <c r="O44" s="20">
        <f>(6906.06*(L8))</f>
        <v>36947.421000000002</v>
      </c>
      <c r="P44" s="20">
        <f>(6963.08*(L8))</f>
        <v>37252.477999999996</v>
      </c>
      <c r="Q44" s="20">
        <f>(7191.15*(L8))</f>
        <v>38472.652499999997</v>
      </c>
    </row>
    <row r="45" spans="1:17" ht="12.75" customHeight="1" x14ac:dyDescent="0.2">
      <c r="A45" s="6"/>
      <c r="B45" s="10" t="s">
        <v>201</v>
      </c>
      <c r="C45" s="20" t="s">
        <v>202</v>
      </c>
      <c r="D45" s="20" t="s">
        <v>198</v>
      </c>
      <c r="E45" s="20" t="s">
        <v>150</v>
      </c>
      <c r="F45" s="20" t="s">
        <v>151</v>
      </c>
      <c r="G45" s="20" t="s">
        <v>38</v>
      </c>
      <c r="H45" s="20">
        <f>(6612.55*(L8))</f>
        <v>35377.142500000002</v>
      </c>
      <c r="I45" s="20">
        <f>(6673.96*(L8))</f>
        <v>35705.685999999994</v>
      </c>
      <c r="J45" s="20">
        <f>(6710.8*(L8))</f>
        <v>35902.78</v>
      </c>
      <c r="K45" s="20">
        <f>(6809.05*(L8))</f>
        <v>36428.417499999996</v>
      </c>
      <c r="L45" s="20">
        <f>(6870.45*(L8))</f>
        <v>36756.907499999994</v>
      </c>
      <c r="M45" s="20">
        <f>(6944.13*(L8))</f>
        <v>37151.095499999996</v>
      </c>
      <c r="N45" s="20">
        <f>(7030.1*(L8))</f>
        <v>37611.034999999996</v>
      </c>
      <c r="O45" s="20">
        <f>(7152.91*(L8))</f>
        <v>38268.068499999994</v>
      </c>
      <c r="P45" s="20">
        <f>(7214.31*(L8))</f>
        <v>38596.558499999999</v>
      </c>
      <c r="Q45" s="20">
        <f>(7459.92*(L8))</f>
        <v>39910.572</v>
      </c>
    </row>
    <row r="46" spans="1:17" ht="12.75" customHeight="1" x14ac:dyDescent="0.2">
      <c r="A46" s="6"/>
      <c r="B46" s="10" t="s">
        <v>203</v>
      </c>
      <c r="C46" s="20" t="s">
        <v>135</v>
      </c>
      <c r="D46" s="20" t="s">
        <v>198</v>
      </c>
      <c r="E46" s="20" t="s">
        <v>150</v>
      </c>
      <c r="F46" s="20" t="s">
        <v>151</v>
      </c>
      <c r="G46" s="20" t="s">
        <v>35</v>
      </c>
      <c r="H46" s="20">
        <f>(6733.47*(L8))</f>
        <v>36024.0645</v>
      </c>
      <c r="I46" s="20">
        <f>(6786.1*(L8))</f>
        <v>36305.635000000002</v>
      </c>
      <c r="J46" s="20">
        <f>(6817.68*(L8))</f>
        <v>36474.587999999996</v>
      </c>
      <c r="K46" s="20">
        <f>(6901.89*(L8))</f>
        <v>36925.111499999999</v>
      </c>
      <c r="L46" s="20">
        <f>(6954.52*(L8))</f>
        <v>37206.682000000001</v>
      </c>
      <c r="M46" s="20">
        <f>(7017.68*(L8))</f>
        <v>37544.587999999996</v>
      </c>
      <c r="N46" s="20">
        <f>(7091.36*(L8))</f>
        <v>37938.775999999998</v>
      </c>
      <c r="O46" s="20">
        <f>(7196.62*(L8))</f>
        <v>38501.916999999994</v>
      </c>
      <c r="P46" s="20">
        <f>(7249.26*(L8))</f>
        <v>38783.540999999997</v>
      </c>
      <c r="Q46" s="20">
        <f>(7459.78*(L8))</f>
        <v>39909.822999999997</v>
      </c>
    </row>
    <row r="47" spans="1:17" ht="12.75" customHeight="1" x14ac:dyDescent="0.2">
      <c r="A47" s="6"/>
      <c r="B47" s="10" t="s">
        <v>204</v>
      </c>
      <c r="C47" s="20" t="s">
        <v>86</v>
      </c>
      <c r="D47" s="20" t="s">
        <v>198</v>
      </c>
      <c r="E47" s="20" t="s">
        <v>150</v>
      </c>
      <c r="F47" s="20" t="s">
        <v>151</v>
      </c>
      <c r="G47" s="20" t="s">
        <v>54</v>
      </c>
      <c r="H47" s="20">
        <f>(6946.68*(L8))</f>
        <v>37164.737999999998</v>
      </c>
      <c r="I47" s="20">
        <f>(7003.7*(L8))</f>
        <v>37469.794999999998</v>
      </c>
      <c r="J47" s="20">
        <f>(7037.91*(L8))</f>
        <v>37652.818499999994</v>
      </c>
      <c r="K47" s="20">
        <f>(7129.13*(L8))</f>
        <v>38140.845499999996</v>
      </c>
      <c r="L47" s="20">
        <f>(7186.15*(L8))</f>
        <v>38445.902499999997</v>
      </c>
      <c r="M47" s="20">
        <f>(7254.57*(L8))</f>
        <v>38811.949499999995</v>
      </c>
      <c r="N47" s="20">
        <f>(7334.4*(L8))</f>
        <v>39239.039999999994</v>
      </c>
      <c r="O47" s="20">
        <f>(7448.43*(L8))</f>
        <v>39849.1005</v>
      </c>
      <c r="P47" s="20">
        <f>(7505.45*(L8))</f>
        <v>40154.157499999994</v>
      </c>
      <c r="Q47" s="20">
        <f>(7733.52*(L8))</f>
        <v>41374.332000000002</v>
      </c>
    </row>
    <row r="48" spans="1:17" ht="12.75" customHeight="1" x14ac:dyDescent="0.2">
      <c r="A48" s="6"/>
      <c r="B48" s="10" t="s">
        <v>205</v>
      </c>
      <c r="C48" s="20" t="s">
        <v>136</v>
      </c>
      <c r="D48" s="20" t="s">
        <v>198</v>
      </c>
      <c r="E48" s="20" t="s">
        <v>150</v>
      </c>
      <c r="F48" s="20" t="s">
        <v>151</v>
      </c>
      <c r="G48" s="20" t="s">
        <v>38</v>
      </c>
      <c r="H48" s="20">
        <f>(7211.06*(L8))</f>
        <v>38579.171000000002</v>
      </c>
      <c r="I48" s="20">
        <f>(7272.47*(L8))</f>
        <v>38907.714500000002</v>
      </c>
      <c r="J48" s="20">
        <f>(7309.31*(L8))</f>
        <v>39104.808499999999</v>
      </c>
      <c r="K48" s="20">
        <f>(7407.55*(L8))</f>
        <v>39630.392500000002</v>
      </c>
      <c r="L48" s="20">
        <f>(7468.96*(L8))</f>
        <v>39958.935999999994</v>
      </c>
      <c r="M48" s="20">
        <f>(7542.64*(L8))</f>
        <v>40353.123999999996</v>
      </c>
      <c r="N48" s="20">
        <f>(7628.61*(L8))</f>
        <v>40813.063499999997</v>
      </c>
      <c r="O48" s="20">
        <f>(7751.41*(L8))</f>
        <v>41470.0435</v>
      </c>
      <c r="P48" s="20">
        <f>(7812.82*(L8))</f>
        <v>41798.586999999992</v>
      </c>
      <c r="Q48" s="20">
        <f>(8058.43*(L8))</f>
        <v>43112.6005</v>
      </c>
    </row>
    <row r="49" spans="1:17" ht="30" customHeight="1" x14ac:dyDescent="0.35">
      <c r="A49" s="6"/>
      <c r="B49" s="23" t="s">
        <v>206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5"/>
    </row>
    <row r="50" spans="1:17" ht="12.75" customHeight="1" x14ac:dyDescent="0.2">
      <c r="A50" s="7" t="s">
        <v>6</v>
      </c>
      <c r="B50" s="8" t="s">
        <v>7</v>
      </c>
      <c r="C50" s="8" t="s">
        <v>8</v>
      </c>
      <c r="D50" s="8" t="s">
        <v>9</v>
      </c>
      <c r="E50" s="8" t="s">
        <v>10</v>
      </c>
      <c r="F50" s="8" t="s">
        <v>11</v>
      </c>
      <c r="G50" s="8" t="s">
        <v>12</v>
      </c>
      <c r="H50" s="8" t="s">
        <v>13</v>
      </c>
      <c r="I50" s="8" t="s">
        <v>14</v>
      </c>
      <c r="J50" s="8" t="s">
        <v>15</v>
      </c>
      <c r="K50" s="8" t="s">
        <v>16</v>
      </c>
      <c r="L50" s="8" t="s">
        <v>17</v>
      </c>
      <c r="M50" s="8" t="s">
        <v>18</v>
      </c>
      <c r="N50" s="8" t="s">
        <v>19</v>
      </c>
      <c r="O50" s="8" t="s">
        <v>20</v>
      </c>
      <c r="P50" s="8" t="s">
        <v>21</v>
      </c>
      <c r="Q50" s="8" t="s">
        <v>22</v>
      </c>
    </row>
    <row r="51" spans="1:17" ht="12.75" customHeight="1" x14ac:dyDescent="0.2">
      <c r="A51" s="6"/>
      <c r="B51" s="10" t="s">
        <v>207</v>
      </c>
      <c r="C51" s="20" t="s">
        <v>168</v>
      </c>
      <c r="D51" s="20" t="s">
        <v>208</v>
      </c>
      <c r="E51" s="20" t="s">
        <v>209</v>
      </c>
      <c r="F51" s="20" t="s">
        <v>210</v>
      </c>
      <c r="G51" s="20" t="s">
        <v>151</v>
      </c>
      <c r="H51" s="20">
        <f>(5835.27*(L8))</f>
        <v>31218.694500000001</v>
      </c>
      <c r="I51" s="20">
        <f>(6015.09*(L8))</f>
        <v>32180.731499999998</v>
      </c>
      <c r="J51" s="20">
        <f>(6122.99*(L8))</f>
        <v>32757.996499999997</v>
      </c>
      <c r="K51" s="20">
        <f>(6410.71*(L8))</f>
        <v>34297.298499999997</v>
      </c>
      <c r="L51" s="20">
        <f>(6590.53*(L8))</f>
        <v>35259.335499999994</v>
      </c>
      <c r="M51" s="20">
        <f>(6806.32*(L8))</f>
        <v>36413.811999999998</v>
      </c>
      <c r="N51" s="20">
        <f>(7058.08*(L8))</f>
        <v>37760.727999999996</v>
      </c>
      <c r="O51" s="20">
        <f>(7417.72*(L8))</f>
        <v>39684.801999999996</v>
      </c>
      <c r="P51" s="20">
        <f>(7597.55*(L8))</f>
        <v>40646.892500000002</v>
      </c>
      <c r="Q51" s="20">
        <f>(8316.85*(L8))</f>
        <v>44495.147499999999</v>
      </c>
    </row>
    <row r="52" spans="1:17" ht="12.75" customHeight="1" x14ac:dyDescent="0.2">
      <c r="A52" s="6"/>
      <c r="B52" s="10" t="s">
        <v>211</v>
      </c>
      <c r="C52" s="20" t="s">
        <v>170</v>
      </c>
      <c r="D52" s="20" t="s">
        <v>208</v>
      </c>
      <c r="E52" s="20" t="s">
        <v>209</v>
      </c>
      <c r="F52" s="20" t="s">
        <v>210</v>
      </c>
      <c r="G52" s="20" t="s">
        <v>212</v>
      </c>
      <c r="H52" s="20">
        <f>(6018.28*(L8))</f>
        <v>32197.797999999995</v>
      </c>
      <c r="I52" s="20">
        <f>(6206.87*(L8))</f>
        <v>33206.754499999995</v>
      </c>
      <c r="J52" s="20">
        <f>(6320.03*(L8))</f>
        <v>33812.160499999998</v>
      </c>
      <c r="K52" s="20">
        <f>(6621.78*(L8))</f>
        <v>35426.522999999994</v>
      </c>
      <c r="L52" s="20">
        <f>(6810.38*(L8))</f>
        <v>36435.532999999996</v>
      </c>
      <c r="M52" s="20">
        <f>(7036.7*(L8))</f>
        <v>37646.344999999994</v>
      </c>
      <c r="N52" s="20">
        <f>(7300.73*(L8))</f>
        <v>39058.905499999993</v>
      </c>
      <c r="O52" s="20">
        <f>(7677.92*(L8))</f>
        <v>41076.871999999996</v>
      </c>
      <c r="P52" s="20">
        <f>(7866.52*(L8))</f>
        <v>42085.881999999998</v>
      </c>
      <c r="Q52" s="20">
        <f>(8620.91*(L8))</f>
        <v>46121.868499999997</v>
      </c>
    </row>
    <row r="53" spans="1:17" ht="12.75" customHeight="1" x14ac:dyDescent="0.2">
      <c r="A53" s="6"/>
      <c r="B53" s="10" t="s">
        <v>213</v>
      </c>
      <c r="C53" s="20" t="s">
        <v>172</v>
      </c>
      <c r="D53" s="20" t="s">
        <v>208</v>
      </c>
      <c r="E53" s="20" t="s">
        <v>209</v>
      </c>
      <c r="F53" s="20" t="s">
        <v>210</v>
      </c>
      <c r="G53" s="20" t="s">
        <v>214</v>
      </c>
      <c r="H53" s="20">
        <f>(6338*(L8))</f>
        <v>33908.299999999996</v>
      </c>
      <c r="I53" s="20">
        <f>(6535.37*(L8))</f>
        <v>34964.229499999994</v>
      </c>
      <c r="J53" s="20">
        <f>(6653.79*(L8))</f>
        <v>35597.7765</v>
      </c>
      <c r="K53" s="20">
        <f>(6969.58*(L8))</f>
        <v>37287.252999999997</v>
      </c>
      <c r="L53" s="20">
        <f>(7166.95*(L8))</f>
        <v>38343.182499999995</v>
      </c>
      <c r="M53" s="20">
        <f>(7403.79*(L8))</f>
        <v>39610.2765</v>
      </c>
      <c r="N53" s="20">
        <f>(7680.11*(L8))</f>
        <v>41088.588499999998</v>
      </c>
      <c r="O53" s="20">
        <f>(8074.84*(L8))</f>
        <v>43200.394</v>
      </c>
      <c r="P53" s="20">
        <f>(8272.21*(L8))</f>
        <v>44256.323499999991</v>
      </c>
      <c r="Q53" s="20">
        <f>(9061.69*(L8))</f>
        <v>48480.041499999999</v>
      </c>
    </row>
    <row r="54" spans="1:17" ht="12.75" customHeight="1" x14ac:dyDescent="0.2">
      <c r="A54" s="6"/>
      <c r="B54" s="10" t="s">
        <v>215</v>
      </c>
      <c r="C54" s="20" t="s">
        <v>174</v>
      </c>
      <c r="D54" s="20" t="s">
        <v>208</v>
      </c>
      <c r="E54" s="20" t="s">
        <v>209</v>
      </c>
      <c r="F54" s="20" t="s">
        <v>210</v>
      </c>
      <c r="G54" s="20" t="s">
        <v>216</v>
      </c>
      <c r="H54" s="20">
        <f>(6808.34*(L8))</f>
        <v>36424.618999999999</v>
      </c>
      <c r="I54" s="20">
        <f>(7014.48*(L8))</f>
        <v>37527.467999999993</v>
      </c>
      <c r="J54" s="20">
        <f>(7138.17*(L8))</f>
        <v>38189.209499999997</v>
      </c>
      <c r="K54" s="20">
        <f>(7467.99*(L8))</f>
        <v>39953.746499999994</v>
      </c>
      <c r="L54" s="20">
        <f>(7674.13*(L8))</f>
        <v>41056.595499999996</v>
      </c>
      <c r="M54" s="20">
        <f>(7921.5*(L8))</f>
        <v>42380.024999999994</v>
      </c>
      <c r="N54" s="20">
        <f>(8210.1*(L8))</f>
        <v>43924.034999999996</v>
      </c>
      <c r="O54" s="20">
        <f>(8622.38*(L8))</f>
        <v>46129.732999999993</v>
      </c>
      <c r="P54" s="20">
        <f>(8828.52*(L8))</f>
        <v>47232.582000000002</v>
      </c>
      <c r="Q54" s="20">
        <f>(9653.08*(L8))</f>
        <v>51643.977999999996</v>
      </c>
    </row>
    <row r="55" spans="1:17" ht="12.75" customHeight="1" x14ac:dyDescent="0.2">
      <c r="A55" s="6"/>
      <c r="B55" s="10" t="s">
        <v>217</v>
      </c>
      <c r="C55" s="20" t="s">
        <v>218</v>
      </c>
      <c r="D55" s="20" t="s">
        <v>208</v>
      </c>
      <c r="E55" s="20" t="s">
        <v>209</v>
      </c>
      <c r="F55" s="20" t="s">
        <v>210</v>
      </c>
      <c r="G55" s="20" t="s">
        <v>219</v>
      </c>
      <c r="H55" s="20">
        <f>(6912.55*(L8))</f>
        <v>36982.142500000002</v>
      </c>
      <c r="I55" s="20">
        <f>(7127.47*(L8))</f>
        <v>38131.964500000002</v>
      </c>
      <c r="J55" s="20">
        <f>(7256.41*(L8))</f>
        <v>38821.7935</v>
      </c>
      <c r="K55" s="20">
        <f>(7600.27*(L8))</f>
        <v>40661.444499999998</v>
      </c>
      <c r="L55" s="20">
        <f>(7815.19*(L8))</f>
        <v>41811.266499999998</v>
      </c>
      <c r="M55" s="20">
        <f>(8073.08*(L8))</f>
        <v>43190.977999999996</v>
      </c>
      <c r="N55" s="20">
        <f>(8373.96*(L8))</f>
        <v>44800.685999999994</v>
      </c>
      <c r="O55" s="20">
        <f>(8803.78*(L8))</f>
        <v>47100.222999999998</v>
      </c>
      <c r="P55" s="20">
        <f>(9018.7*(L8))</f>
        <v>48250.044999999998</v>
      </c>
      <c r="Q55" s="20">
        <f>(9878.34*(L8))</f>
        <v>52849.118999999999</v>
      </c>
    </row>
    <row r="56" spans="1:17" ht="12.75" customHeight="1" x14ac:dyDescent="0.2">
      <c r="A56" s="6"/>
      <c r="B56" s="10" t="s">
        <v>220</v>
      </c>
      <c r="C56" s="20" t="s">
        <v>221</v>
      </c>
      <c r="D56" s="20" t="s">
        <v>208</v>
      </c>
      <c r="E56" s="20" t="s">
        <v>209</v>
      </c>
      <c r="F56" s="20" t="s">
        <v>210</v>
      </c>
      <c r="G56" s="20" t="s">
        <v>222</v>
      </c>
      <c r="H56" s="20">
        <f>(7346.17*(L8))</f>
        <v>39302.0095</v>
      </c>
      <c r="I56" s="20">
        <f>(7569.86*(L8))</f>
        <v>40498.750999999997</v>
      </c>
      <c r="J56" s="20">
        <f>(7704.07*(L8))</f>
        <v>41216.774499999992</v>
      </c>
      <c r="K56" s="20">
        <f>(8061.96*(L8))</f>
        <v>43131.485999999997</v>
      </c>
      <c r="L56" s="20">
        <f>(8285.65*(L8))</f>
        <v>44328.227499999994</v>
      </c>
      <c r="M56" s="20">
        <f>(8554.07*(L8))</f>
        <v>45764.274499999992</v>
      </c>
      <c r="N56" s="20">
        <f>(8867.23*(L8))</f>
        <v>47439.680499999995</v>
      </c>
      <c r="O56" s="20">
        <f>(9314.59*(L8))</f>
        <v>49833.056499999999</v>
      </c>
      <c r="P56" s="20">
        <f>(9538.28*(L8))</f>
        <v>51029.798000000003</v>
      </c>
      <c r="Q56" s="20">
        <f>(10433.01*(L8))</f>
        <v>55816.603499999997</v>
      </c>
    </row>
    <row r="57" spans="1:17" ht="30" customHeight="1" x14ac:dyDescent="0.35">
      <c r="A57" s="6"/>
      <c r="B57" s="23" t="s">
        <v>223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5"/>
    </row>
    <row r="58" spans="1:17" ht="12.75" customHeight="1" x14ac:dyDescent="0.2">
      <c r="A58" s="7" t="s">
        <v>6</v>
      </c>
      <c r="B58" s="8" t="s">
        <v>7</v>
      </c>
      <c r="C58" s="8" t="s">
        <v>8</v>
      </c>
      <c r="D58" s="8" t="s">
        <v>9</v>
      </c>
      <c r="E58" s="8" t="s">
        <v>10</v>
      </c>
      <c r="F58" s="8" t="s">
        <v>11</v>
      </c>
      <c r="G58" s="8" t="s">
        <v>12</v>
      </c>
      <c r="H58" s="8" t="s">
        <v>13</v>
      </c>
      <c r="I58" s="8" t="s">
        <v>14</v>
      </c>
      <c r="J58" s="8" t="s">
        <v>15</v>
      </c>
      <c r="K58" s="8" t="s">
        <v>16</v>
      </c>
      <c r="L58" s="8" t="s">
        <v>17</v>
      </c>
      <c r="M58" s="8" t="s">
        <v>18</v>
      </c>
      <c r="N58" s="8" t="s">
        <v>19</v>
      </c>
      <c r="O58" s="8" t="s">
        <v>20</v>
      </c>
      <c r="P58" s="8" t="s">
        <v>21</v>
      </c>
      <c r="Q58" s="8" t="s">
        <v>22</v>
      </c>
    </row>
    <row r="59" spans="1:17" ht="12.75" customHeight="1" x14ac:dyDescent="0.2">
      <c r="A59" s="6"/>
      <c r="B59" s="10" t="s">
        <v>224</v>
      </c>
      <c r="C59" s="20" t="s">
        <v>137</v>
      </c>
      <c r="D59" s="20" t="s">
        <v>225</v>
      </c>
      <c r="E59" s="20" t="s">
        <v>226</v>
      </c>
      <c r="F59" s="20" t="s">
        <v>210</v>
      </c>
      <c r="G59" s="20" t="s">
        <v>182</v>
      </c>
      <c r="H59" s="20">
        <f>(3971.88*(L8))</f>
        <v>21249.558000000001</v>
      </c>
      <c r="I59" s="20">
        <f>(4059.6*(L8))</f>
        <v>21718.859999999997</v>
      </c>
      <c r="J59" s="20">
        <f>(4112.24*(L8))</f>
        <v>22000.483999999997</v>
      </c>
      <c r="K59" s="20">
        <f>(4252.59*(L8))</f>
        <v>22751.356499999998</v>
      </c>
      <c r="L59" s="20">
        <f>(4340.31*(L8))</f>
        <v>23220.658500000001</v>
      </c>
      <c r="M59" s="20">
        <f>(4445.57*(L8))</f>
        <v>23783.799499999997</v>
      </c>
      <c r="N59" s="20">
        <f>(4568.38*(L8))</f>
        <v>24440.832999999999</v>
      </c>
      <c r="O59" s="20">
        <f>(4743.81*(L8))</f>
        <v>25379.3835</v>
      </c>
      <c r="P59" s="20">
        <f>(4831.53*(L8))</f>
        <v>25848.685499999996</v>
      </c>
      <c r="Q59" s="20">
        <f>(5182.41*(L8))</f>
        <v>27725.893499999998</v>
      </c>
    </row>
    <row r="60" spans="1:17" ht="12.75" customHeight="1" x14ac:dyDescent="0.2">
      <c r="A60" s="6"/>
      <c r="B60" s="10" t="s">
        <v>227</v>
      </c>
      <c r="C60" s="20" t="s">
        <v>228</v>
      </c>
      <c r="D60" s="20" t="s">
        <v>225</v>
      </c>
      <c r="E60" s="20" t="s">
        <v>226</v>
      </c>
      <c r="F60" s="20" t="s">
        <v>210</v>
      </c>
      <c r="G60" s="20" t="s">
        <v>229</v>
      </c>
      <c r="H60" s="20">
        <f>(4248.98*(L8))</f>
        <v>22732.042999999998</v>
      </c>
      <c r="I60" s="20">
        <f>(4345.47*(L8))</f>
        <v>23248.264500000001</v>
      </c>
      <c r="J60" s="20">
        <f>(4403.37*(L8))</f>
        <v>23558.029499999997</v>
      </c>
      <c r="K60" s="20">
        <f>(4557.76*(L8))</f>
        <v>24384.016</v>
      </c>
      <c r="L60" s="20">
        <f>(4654.25*(L8))</f>
        <v>24900.237499999999</v>
      </c>
      <c r="M60" s="20">
        <f>(4770.04*(L8))</f>
        <v>25519.713999999996</v>
      </c>
      <c r="N60" s="20">
        <f>(4905.12*(L8))</f>
        <v>26242.391999999996</v>
      </c>
      <c r="O60" s="20">
        <f>(5098.11*(L8))</f>
        <v>27274.888499999997</v>
      </c>
      <c r="P60" s="20">
        <f>(5194.6*(L8))</f>
        <v>27791.11</v>
      </c>
      <c r="Q60" s="20">
        <f>(5580.56*(L8))</f>
        <v>29855.995999999999</v>
      </c>
    </row>
    <row r="61" spans="1:17" ht="12.75" customHeight="1" x14ac:dyDescent="0.2">
      <c r="A61" s="6"/>
      <c r="B61" s="10" t="s">
        <v>230</v>
      </c>
      <c r="C61" s="20" t="s">
        <v>165</v>
      </c>
      <c r="D61" s="20" t="s">
        <v>225</v>
      </c>
      <c r="E61" s="20" t="s">
        <v>226</v>
      </c>
      <c r="F61" s="20" t="s">
        <v>210</v>
      </c>
      <c r="G61" s="20" t="s">
        <v>231</v>
      </c>
      <c r="H61" s="20">
        <f>(4575.36*(L8))</f>
        <v>24478.175999999996</v>
      </c>
      <c r="I61" s="20">
        <f>(4680.62*(L8))</f>
        <v>25041.316999999999</v>
      </c>
      <c r="J61" s="20">
        <f>(4743.78*(L8))</f>
        <v>25379.222999999998</v>
      </c>
      <c r="K61" s="20">
        <f>(4912.2*(L8))</f>
        <v>26280.269999999997</v>
      </c>
      <c r="L61" s="20">
        <f>(5017.46*(L8))</f>
        <v>26843.411</v>
      </c>
      <c r="M61" s="20">
        <f>(5143.78*(L8))</f>
        <v>27519.222999999998</v>
      </c>
      <c r="N61" s="20">
        <f>(5291.15*(L8))</f>
        <v>28307.652499999997</v>
      </c>
      <c r="O61" s="20">
        <f>(5501.68*(L8))</f>
        <v>29433.988000000001</v>
      </c>
      <c r="P61" s="20">
        <f>(5606.94*(L8))</f>
        <v>29997.128999999997</v>
      </c>
      <c r="Q61" s="20">
        <f>(6027.99*(L8))</f>
        <v>32249.746499999997</v>
      </c>
    </row>
    <row r="62" spans="1:17" ht="12.75" customHeight="1" x14ac:dyDescent="0.2">
      <c r="A62" s="6"/>
      <c r="B62" s="10" t="s">
        <v>232</v>
      </c>
      <c r="C62" s="20" t="s">
        <v>233</v>
      </c>
      <c r="D62" s="20" t="s">
        <v>225</v>
      </c>
      <c r="E62" s="20" t="s">
        <v>226</v>
      </c>
      <c r="F62" s="20" t="s">
        <v>210</v>
      </c>
      <c r="G62" s="20" t="s">
        <v>234</v>
      </c>
      <c r="H62" s="20">
        <f>(4699.83*(L8))</f>
        <v>25144.090499999998</v>
      </c>
      <c r="I62" s="20">
        <f>(4813.86*(L8))</f>
        <v>25754.150999999998</v>
      </c>
      <c r="J62" s="20">
        <f>(4882.28*(L8))</f>
        <v>26120.197999999997</v>
      </c>
      <c r="K62" s="20">
        <f>(5064.74*(L8))</f>
        <v>27096.358999999997</v>
      </c>
      <c r="L62" s="20">
        <f>(5178.77*(L8))</f>
        <v>27706.4195</v>
      </c>
      <c r="M62" s="20">
        <f>(5315.62*(L8))</f>
        <v>28438.566999999999</v>
      </c>
      <c r="N62" s="20">
        <f>(5475.26*(L8))</f>
        <v>29292.641</v>
      </c>
      <c r="O62" s="20">
        <f>(5703.33*(L8))</f>
        <v>30512.815499999997</v>
      </c>
      <c r="P62" s="20">
        <f>(5817.37*(L8))</f>
        <v>31122.929499999998</v>
      </c>
      <c r="Q62" s="20">
        <f>(6273.51*(L8))</f>
        <v>33563.2785</v>
      </c>
    </row>
    <row r="63" spans="1:17" ht="12.75" customHeight="1" x14ac:dyDescent="0.2">
      <c r="A63" s="6"/>
      <c r="B63" s="10" t="s">
        <v>235</v>
      </c>
      <c r="C63" s="20" t="s">
        <v>236</v>
      </c>
      <c r="D63" s="20" t="s">
        <v>225</v>
      </c>
      <c r="E63" s="20" t="s">
        <v>226</v>
      </c>
      <c r="F63" s="20" t="s">
        <v>210</v>
      </c>
      <c r="G63" s="20" t="s">
        <v>237</v>
      </c>
      <c r="H63" s="20">
        <f>(4974.64*(L8))</f>
        <v>26614.324000000001</v>
      </c>
      <c r="I63" s="20">
        <f>(5097.44*(L8))</f>
        <v>27271.303999999996</v>
      </c>
      <c r="J63" s="20">
        <f>(5171.13*(L8))</f>
        <v>27665.5455</v>
      </c>
      <c r="K63" s="20">
        <f>(5367.62*(L8))</f>
        <v>28716.766999999996</v>
      </c>
      <c r="L63" s="20">
        <f>(5490.43*(L8))</f>
        <v>29373.800500000001</v>
      </c>
      <c r="M63" s="20">
        <f>(5637.79*(L8))</f>
        <v>30162.176499999998</v>
      </c>
      <c r="N63" s="20">
        <f>(5809.72*(L8))</f>
        <v>31082.002</v>
      </c>
      <c r="O63" s="20">
        <f>(6055.34*(L8))</f>
        <v>32396.069</v>
      </c>
      <c r="P63" s="20">
        <f>(6178.14*(L8))</f>
        <v>33053.048999999999</v>
      </c>
      <c r="Q63" s="20">
        <f>(6669.37*(L8))</f>
        <v>35681.129499999995</v>
      </c>
    </row>
    <row r="64" spans="1:17" ht="12.75" customHeight="1" x14ac:dyDescent="0.2">
      <c r="A64" s="6"/>
      <c r="B64" s="10" t="s">
        <v>238</v>
      </c>
      <c r="C64" s="20" t="s">
        <v>137</v>
      </c>
      <c r="D64" s="20" t="s">
        <v>225</v>
      </c>
      <c r="E64" s="20" t="s">
        <v>226</v>
      </c>
      <c r="F64" s="20" t="s">
        <v>210</v>
      </c>
      <c r="G64" s="20" t="s">
        <v>229</v>
      </c>
      <c r="H64" s="20">
        <f>(3927.76*(L8))</f>
        <v>21013.516</v>
      </c>
      <c r="I64" s="20">
        <f>(4015.48*(L8))</f>
        <v>21482.817999999999</v>
      </c>
      <c r="J64" s="20">
        <f>(4068.11*(L8))</f>
        <v>21764.388500000001</v>
      </c>
      <c r="K64" s="20">
        <f>(4208.46*(L8))</f>
        <v>22515.260999999999</v>
      </c>
      <c r="L64" s="20">
        <f>(4296.18*(L8))</f>
        <v>22984.562999999998</v>
      </c>
      <c r="M64" s="20">
        <f>(4401.45*(L8))</f>
        <v>23547.757499999996</v>
      </c>
      <c r="N64" s="20">
        <f>(4524.25*(L8))</f>
        <v>24204.737499999999</v>
      </c>
      <c r="O64" s="20">
        <f>(4699.69*(L8))</f>
        <v>25143.341499999995</v>
      </c>
      <c r="P64" s="20">
        <f>(4787.41*(L8))</f>
        <v>25612.643499999998</v>
      </c>
      <c r="Q64" s="20">
        <f>(5138.29*(L8))</f>
        <v>27489.851499999997</v>
      </c>
    </row>
    <row r="65" spans="1:17" ht="12.75" customHeight="1" x14ac:dyDescent="0.2">
      <c r="A65" s="6"/>
      <c r="B65" s="10" t="s">
        <v>239</v>
      </c>
      <c r="C65" s="20" t="s">
        <v>228</v>
      </c>
      <c r="D65" s="20" t="s">
        <v>225</v>
      </c>
      <c r="E65" s="20" t="s">
        <v>226</v>
      </c>
      <c r="F65" s="20" t="s">
        <v>210</v>
      </c>
      <c r="G65" s="20" t="s">
        <v>231</v>
      </c>
      <c r="H65" s="20">
        <f>(4186.97*(L8))</f>
        <v>22400.289499999999</v>
      </c>
      <c r="I65" s="20">
        <f>(4283.46*(L8))</f>
        <v>22916.510999999999</v>
      </c>
      <c r="J65" s="20">
        <f>(4341.35*(L8))</f>
        <v>23226.2225</v>
      </c>
      <c r="K65" s="20">
        <f>(4495.74*(L8))</f>
        <v>24052.208999999999</v>
      </c>
      <c r="L65" s="20">
        <f>(4592.23*(L8))</f>
        <v>24568.430499999995</v>
      </c>
      <c r="M65" s="20">
        <f>(4708.02*(L8))</f>
        <v>25187.906999999999</v>
      </c>
      <c r="N65" s="20">
        <f>(4843.11*(L8))</f>
        <v>25910.638499999997</v>
      </c>
      <c r="O65" s="20">
        <f>(5036.09*(L8))</f>
        <v>26943.0815</v>
      </c>
      <c r="P65" s="20">
        <f>(5132.58*(L8))</f>
        <v>27459.302999999996</v>
      </c>
      <c r="Q65" s="20">
        <f>(5518.54*(L8))</f>
        <v>29524.188999999998</v>
      </c>
    </row>
    <row r="66" spans="1:17" ht="12.75" customHeight="1" x14ac:dyDescent="0.2">
      <c r="A66" s="6"/>
      <c r="B66" s="10" t="s">
        <v>240</v>
      </c>
      <c r="C66" s="20" t="s">
        <v>165</v>
      </c>
      <c r="D66" s="20" t="s">
        <v>225</v>
      </c>
      <c r="E66" s="20" t="s">
        <v>226</v>
      </c>
      <c r="F66" s="20" t="s">
        <v>210</v>
      </c>
      <c r="G66" s="20" t="s">
        <v>237</v>
      </c>
      <c r="H66" s="20">
        <f>(4414.32*(L8))</f>
        <v>23616.611999999997</v>
      </c>
      <c r="I66" s="20">
        <f>(4519.59*(L8))</f>
        <v>24179.806499999999</v>
      </c>
      <c r="J66" s="20">
        <f>(4582.75*(L8))</f>
        <v>24517.712499999998</v>
      </c>
      <c r="K66" s="20">
        <f>(4751.17*(L8))</f>
        <v>25418.7595</v>
      </c>
      <c r="L66" s="20">
        <f>(4856.43*(L8))</f>
        <v>25981.9005</v>
      </c>
      <c r="M66" s="20">
        <f>(4982.75*(L8))</f>
        <v>26657.712499999998</v>
      </c>
      <c r="N66" s="20">
        <f>(5130.11*(L8))</f>
        <v>27446.088499999998</v>
      </c>
      <c r="O66" s="20">
        <f>(5340.64*(L8))</f>
        <v>28572.423999999999</v>
      </c>
      <c r="P66" s="20">
        <f>(5445.9*(L8))</f>
        <v>29135.564999999995</v>
      </c>
      <c r="Q66" s="20">
        <f>(5866.96*(L8))</f>
        <v>31388.235999999997</v>
      </c>
    </row>
    <row r="67" spans="1:17" ht="12.75" customHeight="1" x14ac:dyDescent="0.2">
      <c r="A67" s="6"/>
      <c r="B67" s="10" t="s">
        <v>241</v>
      </c>
      <c r="C67" s="20" t="s">
        <v>233</v>
      </c>
      <c r="D67" s="20" t="s">
        <v>225</v>
      </c>
      <c r="E67" s="20" t="s">
        <v>226</v>
      </c>
      <c r="F67" s="20" t="s">
        <v>210</v>
      </c>
      <c r="G67" s="20" t="s">
        <v>234</v>
      </c>
      <c r="H67" s="20">
        <f>(4629.91*(L8))</f>
        <v>24770.018499999998</v>
      </c>
      <c r="I67" s="20">
        <f>(4743.95*(L8))</f>
        <v>25380.132499999996</v>
      </c>
      <c r="J67" s="20">
        <f>(4812.37*(L8))</f>
        <v>25746.179499999998</v>
      </c>
      <c r="K67" s="20">
        <f>(4994.83*(L8))</f>
        <v>26722.340499999998</v>
      </c>
      <c r="L67" s="20">
        <f>(5108.86*(L8))</f>
        <v>27332.400999999998</v>
      </c>
      <c r="M67" s="20">
        <f>(5245.7*(L8))</f>
        <v>28064.494999999995</v>
      </c>
      <c r="N67" s="20">
        <f>(5405.35*(L8))</f>
        <v>28918.622500000001</v>
      </c>
      <c r="O67" s="20">
        <f>(5633.42*(L8))</f>
        <v>30138.796999999999</v>
      </c>
      <c r="P67" s="20">
        <f>(5747.46*(L8))</f>
        <v>30748.910999999996</v>
      </c>
      <c r="Q67" s="20">
        <f>(6203.6*(L8))</f>
        <v>33189.26</v>
      </c>
    </row>
    <row r="68" spans="1:17" ht="12.75" customHeight="1" x14ac:dyDescent="0.2">
      <c r="A68" s="6"/>
      <c r="B68" s="10" t="s">
        <v>242</v>
      </c>
      <c r="C68" s="20" t="s">
        <v>236</v>
      </c>
      <c r="D68" s="20" t="s">
        <v>225</v>
      </c>
      <c r="E68" s="20" t="s">
        <v>226</v>
      </c>
      <c r="F68" s="20" t="s">
        <v>210</v>
      </c>
      <c r="G68" s="20" t="s">
        <v>243</v>
      </c>
      <c r="H68" s="20">
        <f>(4855.46*(L8))</f>
        <v>25976.710999999999</v>
      </c>
      <c r="I68" s="20">
        <f>(4978.27*(L8))</f>
        <v>26633.744500000001</v>
      </c>
      <c r="J68" s="20">
        <f>(5051.95*(L8))</f>
        <v>27027.932499999999</v>
      </c>
      <c r="K68" s="20">
        <f>(5248.44*(L8))</f>
        <v>28079.153999999995</v>
      </c>
      <c r="L68" s="20">
        <f>(5371.25*(L8))</f>
        <v>28736.187499999996</v>
      </c>
      <c r="M68" s="20">
        <f>(5518.62*(L8))</f>
        <v>29524.616999999998</v>
      </c>
      <c r="N68" s="20">
        <f>(5690.55*(L8))</f>
        <v>30444.442499999997</v>
      </c>
      <c r="O68" s="20">
        <f>(5936.16*(L8))</f>
        <v>31758.455999999998</v>
      </c>
      <c r="P68" s="20">
        <f>(6058.97*(L8))</f>
        <v>32415.4895</v>
      </c>
      <c r="Q68" s="20">
        <f>(6550.2*(L8))</f>
        <v>35043.57</v>
      </c>
    </row>
    <row r="69" spans="1:17" ht="12.75" customHeight="1" x14ac:dyDescent="0.2">
      <c r="A69" s="6"/>
      <c r="B69" s="10" t="s">
        <v>244</v>
      </c>
      <c r="C69" s="20" t="s">
        <v>245</v>
      </c>
      <c r="D69" s="20" t="s">
        <v>225</v>
      </c>
      <c r="E69" s="20" t="s">
        <v>246</v>
      </c>
      <c r="F69" s="20" t="s">
        <v>27</v>
      </c>
      <c r="G69" s="20" t="s">
        <v>247</v>
      </c>
      <c r="H69" s="20">
        <f>(1920.64*(L8))</f>
        <v>10275.423999999999</v>
      </c>
      <c r="I69" s="20">
        <f>(1946.95*(L8))</f>
        <v>10416.182499999999</v>
      </c>
      <c r="J69" s="20">
        <f>(1962.74*(L8))</f>
        <v>10500.659</v>
      </c>
      <c r="K69" s="20">
        <f>(2004.85*(L8))</f>
        <v>10725.947499999998</v>
      </c>
      <c r="L69" s="20">
        <f>(2031.17*(L8))</f>
        <v>10866.7595</v>
      </c>
      <c r="M69" s="20">
        <f>(2062.74*(L8))</f>
        <v>11035.658999999998</v>
      </c>
      <c r="N69" s="20">
        <f>(2099.59*(L8))</f>
        <v>11232.806500000001</v>
      </c>
      <c r="O69" s="20">
        <f>(2152.22*(L8))</f>
        <v>11514.376999999999</v>
      </c>
      <c r="P69" s="20">
        <f>(2178.53*(L8))</f>
        <v>11655.1355</v>
      </c>
      <c r="Q69" s="20">
        <f>(2283.8*(L8))</f>
        <v>12218.33</v>
      </c>
    </row>
    <row r="70" spans="1:17" ht="12.75" customHeight="1" x14ac:dyDescent="0.2">
      <c r="A70" s="6"/>
      <c r="B70" s="10" t="s">
        <v>248</v>
      </c>
      <c r="C70" s="20" t="s">
        <v>33</v>
      </c>
      <c r="D70" s="20" t="s">
        <v>225</v>
      </c>
      <c r="E70" s="20" t="s">
        <v>226</v>
      </c>
      <c r="F70" s="20" t="s">
        <v>27</v>
      </c>
      <c r="G70" s="20" t="s">
        <v>154</v>
      </c>
      <c r="H70" s="20">
        <f>(3537.68*(L8))</f>
        <v>18926.587999999996</v>
      </c>
      <c r="I70" s="20">
        <f>(3616.63*(L8))</f>
        <v>19348.970499999999</v>
      </c>
      <c r="J70" s="20">
        <f>(3664*(L8))</f>
        <v>19602.399999999998</v>
      </c>
      <c r="K70" s="20">
        <f>(3790.31*(L8))</f>
        <v>20278.158499999998</v>
      </c>
      <c r="L70" s="20">
        <f>(3869.26*(L8))</f>
        <v>20700.541000000001</v>
      </c>
      <c r="M70" s="20">
        <f>(3964*(L8))</f>
        <v>21207.399999999998</v>
      </c>
      <c r="N70" s="20">
        <f>(4074.52*(L8))</f>
        <v>21798.681999999997</v>
      </c>
      <c r="O70" s="20">
        <f>(4232.42*(L8))</f>
        <v>22643.447</v>
      </c>
      <c r="P70" s="20">
        <f>(4311.37*(L8))</f>
        <v>23065.829499999996</v>
      </c>
      <c r="Q70" s="20">
        <f>(4627.15*(L8))</f>
        <v>24755.252499999995</v>
      </c>
    </row>
    <row r="71" spans="1:17" ht="12.75" customHeight="1" x14ac:dyDescent="0.2">
      <c r="A71" s="6"/>
      <c r="B71" s="10" t="s">
        <v>249</v>
      </c>
      <c r="C71" s="20" t="s">
        <v>137</v>
      </c>
      <c r="D71" s="20" t="s">
        <v>225</v>
      </c>
      <c r="E71" s="20" t="s">
        <v>226</v>
      </c>
      <c r="F71" s="20" t="s">
        <v>27</v>
      </c>
      <c r="G71" s="20" t="s">
        <v>154</v>
      </c>
      <c r="H71" s="20">
        <f>(3499.43*(L8))</f>
        <v>18721.950499999999</v>
      </c>
      <c r="I71" s="20">
        <f>(3569.6*(L8))</f>
        <v>19097.359999999997</v>
      </c>
      <c r="J71" s="20">
        <f>(3611.71*(L8))</f>
        <v>19322.648499999999</v>
      </c>
      <c r="K71" s="20">
        <f>(3723.99*(L8))</f>
        <v>19923.346499999996</v>
      </c>
      <c r="L71" s="20">
        <f>(3794.17*(L8))</f>
        <v>20298.809499999999</v>
      </c>
      <c r="M71" s="20">
        <f>(3878.38*(L8))</f>
        <v>20749.332999999999</v>
      </c>
      <c r="N71" s="20">
        <f>(3976.62*(L8))</f>
        <v>21274.916999999998</v>
      </c>
      <c r="O71" s="20">
        <f>(4116.97*(L8))</f>
        <v>22025.789499999999</v>
      </c>
      <c r="P71" s="20">
        <f>(4187.15*(L8))</f>
        <v>22401.252499999995</v>
      </c>
      <c r="Q71" s="20">
        <f>(4467.85*(L8))</f>
        <v>23902.997500000001</v>
      </c>
    </row>
    <row r="72" spans="1:17" ht="12.75" customHeight="1" x14ac:dyDescent="0.2">
      <c r="A72" s="6"/>
      <c r="B72" s="10" t="s">
        <v>250</v>
      </c>
      <c r="C72" s="20" t="s">
        <v>165</v>
      </c>
      <c r="D72" s="20" t="s">
        <v>225</v>
      </c>
      <c r="E72" s="20" t="s">
        <v>226</v>
      </c>
      <c r="F72" s="20" t="s">
        <v>27</v>
      </c>
      <c r="G72" s="20" t="s">
        <v>160</v>
      </c>
      <c r="H72" s="20">
        <f>(3991.39*(L8))</f>
        <v>21353.936499999996</v>
      </c>
      <c r="I72" s="20">
        <f>(4079.11*(L8))</f>
        <v>21823.238499999999</v>
      </c>
      <c r="J72" s="20">
        <f>(4131.74*(L8))</f>
        <v>22104.808999999997</v>
      </c>
      <c r="K72" s="20">
        <f>(4272.09*(L8))</f>
        <v>22855.681499999999</v>
      </c>
      <c r="L72" s="20">
        <f>(4359.81*(L8))</f>
        <v>23324.983500000002</v>
      </c>
      <c r="M72" s="20">
        <f>(4465.07*(L8))</f>
        <v>23888.124499999998</v>
      </c>
      <c r="N72" s="20">
        <f>(4587.88*(L8))</f>
        <v>24545.157999999999</v>
      </c>
      <c r="O72" s="20">
        <f>(4763.32*(L8))</f>
        <v>25483.761999999995</v>
      </c>
      <c r="P72" s="20">
        <f>(4851.04*(L8))</f>
        <v>25953.063999999998</v>
      </c>
      <c r="Q72" s="20">
        <f>(5201.91*(L8))</f>
        <v>27830.218499999999</v>
      </c>
    </row>
    <row r="73" spans="1:17" ht="12.75" customHeight="1" x14ac:dyDescent="0.2">
      <c r="A73" s="6"/>
      <c r="B73" s="10" t="s">
        <v>251</v>
      </c>
      <c r="C73" s="20" t="s">
        <v>233</v>
      </c>
      <c r="D73" s="20" t="s">
        <v>225</v>
      </c>
      <c r="E73" s="20" t="s">
        <v>226</v>
      </c>
      <c r="F73" s="20" t="s">
        <v>27</v>
      </c>
      <c r="G73" s="20" t="s">
        <v>182</v>
      </c>
      <c r="H73" s="20">
        <f>(4147.22*(L8))</f>
        <v>22187.627</v>
      </c>
      <c r="I73" s="20">
        <f>(4243.71*(L8))</f>
        <v>22703.8485</v>
      </c>
      <c r="J73" s="20">
        <f>(4301.6*(L8))</f>
        <v>23013.56</v>
      </c>
      <c r="K73" s="20">
        <f>(4455.99*(L8))</f>
        <v>23839.546499999997</v>
      </c>
      <c r="L73" s="20">
        <f>(4552.48*(L8))</f>
        <v>24355.767999999996</v>
      </c>
      <c r="M73" s="20">
        <f>(4668.27*(L8))</f>
        <v>24975.244500000001</v>
      </c>
      <c r="N73" s="20">
        <f>(4803.36*(L8))</f>
        <v>25697.975999999995</v>
      </c>
      <c r="O73" s="20">
        <f>(4996.34*(L8))</f>
        <v>26730.418999999998</v>
      </c>
      <c r="P73" s="20">
        <f>(5092.83*(L8))</f>
        <v>27246.640499999998</v>
      </c>
      <c r="Q73" s="20">
        <f>(5478.8*(L8))</f>
        <v>29311.579999999998</v>
      </c>
    </row>
    <row r="74" spans="1:17" ht="12.75" customHeight="1" x14ac:dyDescent="0.2">
      <c r="A74" s="6"/>
      <c r="B74" s="10" t="s">
        <v>252</v>
      </c>
      <c r="C74" s="20" t="s">
        <v>236</v>
      </c>
      <c r="D74" s="20" t="s">
        <v>225</v>
      </c>
      <c r="E74" s="20" t="s">
        <v>226</v>
      </c>
      <c r="F74" s="20" t="s">
        <v>27</v>
      </c>
      <c r="G74" s="20" t="s">
        <v>229</v>
      </c>
      <c r="H74" s="20">
        <f>(4429.28*(L8))</f>
        <v>23696.647999999997</v>
      </c>
      <c r="I74" s="20">
        <f>(4534.55*(L8))</f>
        <v>24259.842499999999</v>
      </c>
      <c r="J74" s="20">
        <f>(4597.7*(L8))</f>
        <v>24597.694999999996</v>
      </c>
      <c r="K74" s="20">
        <f>(4766.12*(L8))</f>
        <v>25498.741999999998</v>
      </c>
      <c r="L74" s="20">
        <f>(4871.39*(L8))</f>
        <v>26061.9365</v>
      </c>
      <c r="M74" s="20">
        <f>(4997.7*(L8))</f>
        <v>26737.694999999996</v>
      </c>
      <c r="N74" s="20">
        <f>(5145.07*(L8))</f>
        <v>27526.124499999998</v>
      </c>
      <c r="O74" s="20">
        <f>(5355.6*(L8))</f>
        <v>28652.46</v>
      </c>
      <c r="P74" s="20">
        <f>(5460.86*(L8))</f>
        <v>29215.600999999995</v>
      </c>
      <c r="Q74" s="20">
        <f>(5881.91*(L8))</f>
        <v>31468.218499999995</v>
      </c>
    </row>
    <row r="75" spans="1:17" ht="69" customHeight="1" x14ac:dyDescent="0.35">
      <c r="A75" s="6"/>
      <c r="B75" s="23" t="s">
        <v>253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5"/>
    </row>
    <row r="76" spans="1:17" ht="12.75" customHeight="1" x14ac:dyDescent="0.2">
      <c r="A76" s="7" t="s">
        <v>6</v>
      </c>
      <c r="B76" s="8" t="s">
        <v>7</v>
      </c>
      <c r="C76" s="8" t="s">
        <v>8</v>
      </c>
      <c r="D76" s="8" t="s">
        <v>9</v>
      </c>
      <c r="E76" s="8" t="s">
        <v>10</v>
      </c>
      <c r="F76" s="8" t="s">
        <v>11</v>
      </c>
      <c r="G76" s="8" t="s">
        <v>12</v>
      </c>
      <c r="H76" s="8" t="s">
        <v>13</v>
      </c>
      <c r="I76" s="8" t="s">
        <v>14</v>
      </c>
      <c r="J76" s="8" t="s">
        <v>15</v>
      </c>
      <c r="K76" s="8" t="s">
        <v>16</v>
      </c>
      <c r="L76" s="8" t="s">
        <v>17</v>
      </c>
      <c r="M76" s="8" t="s">
        <v>18</v>
      </c>
      <c r="N76" s="8" t="s">
        <v>19</v>
      </c>
      <c r="O76" s="8" t="s">
        <v>20</v>
      </c>
      <c r="P76" s="8" t="s">
        <v>21</v>
      </c>
      <c r="Q76" s="8" t="s">
        <v>22</v>
      </c>
    </row>
    <row r="77" spans="1:17" ht="12.75" customHeight="1" x14ac:dyDescent="0.2">
      <c r="A77" s="6"/>
      <c r="B77" s="10" t="s">
        <v>254</v>
      </c>
      <c r="C77" s="20" t="s">
        <v>87</v>
      </c>
      <c r="D77" s="20" t="s">
        <v>255</v>
      </c>
      <c r="E77" s="20" t="s">
        <v>256</v>
      </c>
      <c r="F77" s="20" t="s">
        <v>210</v>
      </c>
      <c r="G77" s="20" t="s">
        <v>54</v>
      </c>
      <c r="H77" s="20">
        <f>(4609.53*(L8))</f>
        <v>24660.985499999995</v>
      </c>
      <c r="I77" s="20">
        <f>(4666.55*(L8))</f>
        <v>24966.0425</v>
      </c>
      <c r="J77" s="20">
        <f>(4700.76*(L8))</f>
        <v>25149.065999999999</v>
      </c>
      <c r="K77" s="20">
        <f>(4791.99*(L8))</f>
        <v>25637.146499999999</v>
      </c>
      <c r="L77" s="20">
        <f>(4849.01*(L8))</f>
        <v>25942.2035</v>
      </c>
      <c r="M77" s="20">
        <f>(4917.43*(L8))</f>
        <v>26308.250499999998</v>
      </c>
      <c r="N77" s="20">
        <f>(4997.25*(L8))</f>
        <v>26735.287499999999</v>
      </c>
      <c r="O77" s="20">
        <f>(5111.29*(L8))</f>
        <v>27345.401499999996</v>
      </c>
      <c r="P77" s="20">
        <f>(5168.3*(L8))</f>
        <v>27650.404999999999</v>
      </c>
      <c r="Q77" s="20">
        <f>(5396.37*(L8))</f>
        <v>28870.579499999996</v>
      </c>
    </row>
    <row r="78" spans="1:17" ht="12.75" customHeight="1" x14ac:dyDescent="0.2">
      <c r="A78" s="6"/>
      <c r="B78" s="10" t="s">
        <v>257</v>
      </c>
      <c r="C78" s="20" t="s">
        <v>40</v>
      </c>
      <c r="D78" s="20" t="s">
        <v>255</v>
      </c>
      <c r="E78" s="20" t="s">
        <v>256</v>
      </c>
      <c r="F78" s="20" t="s">
        <v>210</v>
      </c>
      <c r="G78" s="20" t="s">
        <v>38</v>
      </c>
      <c r="H78" s="20">
        <f>(4926*(L8))</f>
        <v>26354.1</v>
      </c>
      <c r="I78" s="20">
        <f>(4987.4*(L8))</f>
        <v>26682.589999999997</v>
      </c>
      <c r="J78" s="20">
        <f>(5024.24*(L8))</f>
        <v>26879.683999999997</v>
      </c>
      <c r="K78" s="20">
        <f>(5122.49*(L8))</f>
        <v>27405.321499999998</v>
      </c>
      <c r="L78" s="20">
        <f>(5183.89*(L8))</f>
        <v>27733.8115</v>
      </c>
      <c r="M78" s="20">
        <f>(5257.57*(L8))</f>
        <v>28127.999499999998</v>
      </c>
      <c r="N78" s="20">
        <f>(5343.54*(L8))</f>
        <v>28587.938999999998</v>
      </c>
      <c r="O78" s="20">
        <f>(5466.35*(L8))</f>
        <v>29244.9725</v>
      </c>
      <c r="P78" s="20">
        <f>(5527.75*(L8))</f>
        <v>29573.462499999998</v>
      </c>
      <c r="Q78" s="20">
        <f>(5773.36*(L8))</f>
        <v>30887.475999999995</v>
      </c>
    </row>
    <row r="79" spans="1:17" ht="12.75" customHeight="1" x14ac:dyDescent="0.2">
      <c r="A79" s="6"/>
      <c r="B79" s="10" t="s">
        <v>258</v>
      </c>
      <c r="C79" s="20" t="s">
        <v>259</v>
      </c>
      <c r="D79" s="20" t="s">
        <v>255</v>
      </c>
      <c r="E79" s="20" t="s">
        <v>256</v>
      </c>
      <c r="F79" s="20" t="s">
        <v>210</v>
      </c>
      <c r="G79" s="20" t="s">
        <v>60</v>
      </c>
      <c r="H79" s="20">
        <f>(5183.77*(L8))</f>
        <v>27733.1695</v>
      </c>
      <c r="I79" s="20">
        <f>(5249.56*(L8))</f>
        <v>28085.146000000001</v>
      </c>
      <c r="J79" s="20">
        <f>(5289.03*(L8))</f>
        <v>28296.310499999996</v>
      </c>
      <c r="K79" s="20">
        <f>(5394.3*(L8))</f>
        <v>28859.504999999997</v>
      </c>
      <c r="L79" s="20">
        <f>(5460.09*(L8))</f>
        <v>29211.481499999998</v>
      </c>
      <c r="M79" s="20">
        <f>(5539.03*(L8))</f>
        <v>29633.810499999996</v>
      </c>
      <c r="N79" s="20">
        <f>(5631.14*(L8))</f>
        <v>30126.598999999998</v>
      </c>
      <c r="O79" s="20">
        <f>(5762.72*(L8))</f>
        <v>30830.552</v>
      </c>
      <c r="P79" s="20">
        <f>(5828.51*(L8))</f>
        <v>31182.5285</v>
      </c>
      <c r="Q79" s="20">
        <f>(6091.66*(L8))</f>
        <v>32590.380999999998</v>
      </c>
    </row>
    <row r="80" spans="1:17" ht="12.75" customHeight="1" x14ac:dyDescent="0.2">
      <c r="A80" s="6"/>
      <c r="B80" s="10" t="s">
        <v>260</v>
      </c>
      <c r="C80" s="20" t="s">
        <v>165</v>
      </c>
      <c r="D80" s="20" t="s">
        <v>255</v>
      </c>
      <c r="E80" s="20" t="s">
        <v>256</v>
      </c>
      <c r="F80" s="20" t="s">
        <v>210</v>
      </c>
      <c r="G80" s="20" t="s">
        <v>42</v>
      </c>
      <c r="H80" s="20">
        <f>(5443.34*(L8))</f>
        <v>29121.868999999999</v>
      </c>
      <c r="I80" s="20">
        <f>(5513.51*(L8))</f>
        <v>29497.2785</v>
      </c>
      <c r="J80" s="20">
        <f>(5555.62*(L8))</f>
        <v>29722.566999999999</v>
      </c>
      <c r="K80" s="20">
        <f>(5667.9*(L8))</f>
        <v>30323.264999999996</v>
      </c>
      <c r="L80" s="20">
        <f>(5738.08*(L8))</f>
        <v>30698.727999999999</v>
      </c>
      <c r="M80" s="20">
        <f>(5822.29*(L8))</f>
        <v>31149.251499999998</v>
      </c>
      <c r="N80" s="20">
        <f>(5920.53*(L8))</f>
        <v>31674.835499999997</v>
      </c>
      <c r="O80" s="20">
        <f>(6060.88*(L8))</f>
        <v>32425.707999999999</v>
      </c>
      <c r="P80" s="20">
        <f>(6131.06*(L8))</f>
        <v>32801.171000000002</v>
      </c>
      <c r="Q80" s="20">
        <f>(6411.76*(L8))</f>
        <v>34302.915999999997</v>
      </c>
    </row>
    <row r="81" spans="1:17" ht="12.75" customHeight="1" x14ac:dyDescent="0.2">
      <c r="A81" s="6"/>
      <c r="B81" s="10" t="s">
        <v>261</v>
      </c>
      <c r="C81" s="20" t="s">
        <v>168</v>
      </c>
      <c r="D81" s="20" t="s">
        <v>255</v>
      </c>
      <c r="E81" s="20" t="s">
        <v>256</v>
      </c>
      <c r="F81" s="20" t="s">
        <v>210</v>
      </c>
      <c r="G81" s="20" t="s">
        <v>262</v>
      </c>
      <c r="H81" s="20">
        <f>(5706.19*(L8))</f>
        <v>30528.116499999996</v>
      </c>
      <c r="I81" s="20">
        <f>(5780.75*(L8))</f>
        <v>30927.012499999997</v>
      </c>
      <c r="J81" s="20">
        <f>(5825.49*(L8))</f>
        <v>31166.371499999997</v>
      </c>
      <c r="K81" s="20">
        <f>(5944.78*(L8))</f>
        <v>31804.572999999997</v>
      </c>
      <c r="L81" s="20">
        <f>(6019.35*(L8))</f>
        <v>32203.522499999999</v>
      </c>
      <c r="M81" s="20">
        <f>(6108.82*(L8))</f>
        <v>32682.186999999998</v>
      </c>
      <c r="N81" s="20">
        <f>(6213.21*(L8))</f>
        <v>33240.673499999997</v>
      </c>
      <c r="O81" s="20">
        <f>(6362.33*(L8))</f>
        <v>34038.465499999998</v>
      </c>
      <c r="P81" s="20">
        <f>(6436.89*(L8))</f>
        <v>34437.361499999999</v>
      </c>
      <c r="Q81" s="20">
        <f>(6735.14*(L8))</f>
        <v>36032.998999999996</v>
      </c>
    </row>
    <row r="82" spans="1:17" ht="12.75" customHeight="1" x14ac:dyDescent="0.2">
      <c r="A82" s="6"/>
      <c r="B82" s="10" t="s">
        <v>263</v>
      </c>
      <c r="C82" s="20" t="s">
        <v>170</v>
      </c>
      <c r="D82" s="20" t="s">
        <v>255</v>
      </c>
      <c r="E82" s="20" t="s">
        <v>256</v>
      </c>
      <c r="F82" s="20" t="s">
        <v>210</v>
      </c>
      <c r="G82" s="20" t="s">
        <v>152</v>
      </c>
      <c r="H82" s="20">
        <f>(5969.09*(L8))</f>
        <v>31934.6315</v>
      </c>
      <c r="I82" s="20">
        <f>(6048.04*(L8))</f>
        <v>32357.013999999999</v>
      </c>
      <c r="J82" s="20">
        <f>(6095.41*(L8))</f>
        <v>32610.443499999998</v>
      </c>
      <c r="K82" s="20">
        <f>(6221.72*(L8))</f>
        <v>33286.201999999997</v>
      </c>
      <c r="L82" s="20">
        <f>(6300.67*(L8))</f>
        <v>33708.584499999997</v>
      </c>
      <c r="M82" s="20">
        <f>(6395.41*(L8))</f>
        <v>34215.443499999994</v>
      </c>
      <c r="N82" s="20">
        <f>(6505.93*(L8))</f>
        <v>34806.7255</v>
      </c>
      <c r="O82" s="20">
        <f>(6663.83*(L8))</f>
        <v>35651.4905</v>
      </c>
      <c r="P82" s="20">
        <f>(6742.77*(L8))</f>
        <v>36073.819499999998</v>
      </c>
      <c r="Q82" s="20">
        <f>(7058.56*(L8))</f>
        <v>37763.296000000002</v>
      </c>
    </row>
    <row r="83" spans="1:17" ht="12.75" customHeight="1" x14ac:dyDescent="0.2">
      <c r="A83" s="6"/>
      <c r="B83" s="10" t="s">
        <v>264</v>
      </c>
      <c r="C83" s="20" t="s">
        <v>265</v>
      </c>
      <c r="D83" s="20" t="s">
        <v>255</v>
      </c>
      <c r="E83" s="20" t="s">
        <v>256</v>
      </c>
      <c r="F83" s="20" t="s">
        <v>210</v>
      </c>
      <c r="G83" s="20" t="s">
        <v>247</v>
      </c>
      <c r="H83" s="20">
        <f>(3932.94*(L8))</f>
        <v>21041.228999999999</v>
      </c>
      <c r="I83" s="20">
        <f>(3968.02*(L8))</f>
        <v>21228.906999999999</v>
      </c>
      <c r="J83" s="20">
        <f>(3989.08*(L8))</f>
        <v>21341.577999999998</v>
      </c>
      <c r="K83" s="20">
        <f>(4045.22*(L8))</f>
        <v>21641.926999999996</v>
      </c>
      <c r="L83" s="20">
        <f>(4080.3*(L8))</f>
        <v>21829.605</v>
      </c>
      <c r="M83" s="20">
        <f>(4122.41*(L8))</f>
        <v>22054.893499999998</v>
      </c>
      <c r="N83" s="20">
        <f>(4171.53*(L8))</f>
        <v>22317.685499999996</v>
      </c>
      <c r="O83" s="20">
        <f>(4241.71*(L8))</f>
        <v>22693.148499999999</v>
      </c>
      <c r="P83" s="20">
        <f>(4276.79*(L8))</f>
        <v>22880.826499999999</v>
      </c>
      <c r="Q83" s="20">
        <f>(4417.15*(L8))</f>
        <v>23631.752499999995</v>
      </c>
    </row>
    <row r="84" spans="1:17" ht="12.75" customHeight="1" x14ac:dyDescent="0.2">
      <c r="A84" s="6"/>
      <c r="B84" s="10" t="s">
        <v>266</v>
      </c>
      <c r="C84" s="20" t="s">
        <v>267</v>
      </c>
      <c r="D84" s="20" t="s">
        <v>255</v>
      </c>
      <c r="E84" s="20" t="s">
        <v>256</v>
      </c>
      <c r="F84" s="20" t="s">
        <v>210</v>
      </c>
      <c r="G84" s="20" t="s">
        <v>268</v>
      </c>
      <c r="H84" s="20">
        <f>(4073.02*(L8))</f>
        <v>21790.656999999999</v>
      </c>
      <c r="I84" s="20">
        <f>(4108.11*(L8))</f>
        <v>21978.388499999997</v>
      </c>
      <c r="J84" s="20">
        <f>(4129.16*(L8))</f>
        <v>22091.005999999998</v>
      </c>
      <c r="K84" s="20">
        <f>(4185.3*(L8))</f>
        <v>22391.355</v>
      </c>
      <c r="L84" s="20">
        <f>(4220.39*(L8))</f>
        <v>22579.086500000001</v>
      </c>
      <c r="M84" s="20">
        <f>(4262.5*(L8))</f>
        <v>22804.375</v>
      </c>
      <c r="N84" s="20">
        <f>(4311.62*(L8))</f>
        <v>23067.166999999998</v>
      </c>
      <c r="O84" s="20">
        <f>(4381.79*(L8))</f>
        <v>23442.576499999999</v>
      </c>
      <c r="P84" s="20">
        <f>(4416.88*(L8))</f>
        <v>23630.307999999997</v>
      </c>
      <c r="Q84" s="20">
        <f>(4557.23*(L8))</f>
        <v>24381.180499999995</v>
      </c>
    </row>
    <row r="85" spans="1:17" ht="12.75" customHeight="1" x14ac:dyDescent="0.2">
      <c r="A85" s="6"/>
      <c r="B85" s="10" t="s">
        <v>269</v>
      </c>
      <c r="C85" s="20" t="s">
        <v>270</v>
      </c>
      <c r="D85" s="20" t="s">
        <v>255</v>
      </c>
      <c r="E85" s="20" t="s">
        <v>256</v>
      </c>
      <c r="F85" s="20" t="s">
        <v>210</v>
      </c>
      <c r="G85" s="20" t="s">
        <v>28</v>
      </c>
      <c r="H85" s="20">
        <f>(4201.15*(L8))</f>
        <v>22476.152499999997</v>
      </c>
      <c r="I85" s="20">
        <f>(4236.23*(L8))</f>
        <v>22663.830499999996</v>
      </c>
      <c r="J85" s="20">
        <f>(4257.29*(L8))</f>
        <v>22776.501499999998</v>
      </c>
      <c r="K85" s="20">
        <f>(4313.43*(L8))</f>
        <v>23076.8505</v>
      </c>
      <c r="L85" s="20">
        <f>(4348.51*(L8))</f>
        <v>23264.5285</v>
      </c>
      <c r="M85" s="20">
        <f>(4390.62*(L8))</f>
        <v>23489.816999999999</v>
      </c>
      <c r="N85" s="20">
        <f>(4439.74*(L8))</f>
        <v>23752.608999999997</v>
      </c>
      <c r="O85" s="20">
        <f>(4509.92*(L8))</f>
        <v>24128.072</v>
      </c>
      <c r="P85" s="20">
        <f>(4545.01*(L8))</f>
        <v>24315.803499999998</v>
      </c>
      <c r="Q85" s="20">
        <f>(4685.36*(L8))</f>
        <v>25066.675999999996</v>
      </c>
    </row>
    <row r="86" spans="1:17" ht="30" customHeight="1" x14ac:dyDescent="0.35">
      <c r="A86" s="6"/>
      <c r="B86" s="23" t="s">
        <v>271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5"/>
    </row>
    <row r="87" spans="1:17" ht="12.75" customHeight="1" x14ac:dyDescent="0.2">
      <c r="A87" s="7" t="s">
        <v>6</v>
      </c>
      <c r="B87" s="8" t="s">
        <v>7</v>
      </c>
      <c r="C87" s="8" t="s">
        <v>8</v>
      </c>
      <c r="D87" s="8" t="s">
        <v>9</v>
      </c>
      <c r="E87" s="8" t="s">
        <v>10</v>
      </c>
      <c r="F87" s="8" t="s">
        <v>11</v>
      </c>
      <c r="G87" s="8" t="s">
        <v>12</v>
      </c>
      <c r="H87" s="8" t="s">
        <v>13</v>
      </c>
      <c r="I87" s="8" t="s">
        <v>14</v>
      </c>
      <c r="J87" s="8" t="s">
        <v>15</v>
      </c>
      <c r="K87" s="8" t="s">
        <v>16</v>
      </c>
      <c r="L87" s="8" t="s">
        <v>17</v>
      </c>
      <c r="M87" s="8" t="s">
        <v>18</v>
      </c>
      <c r="N87" s="8" t="s">
        <v>19</v>
      </c>
      <c r="O87" s="8" t="s">
        <v>20</v>
      </c>
      <c r="P87" s="8" t="s">
        <v>21</v>
      </c>
      <c r="Q87" s="8" t="s">
        <v>22</v>
      </c>
    </row>
    <row r="88" spans="1:17" ht="12.75" customHeight="1" x14ac:dyDescent="0.2">
      <c r="A88" s="6"/>
      <c r="B88" s="10" t="s">
        <v>272</v>
      </c>
      <c r="C88" s="20" t="s">
        <v>273</v>
      </c>
      <c r="D88" s="20" t="s">
        <v>274</v>
      </c>
      <c r="E88" s="20" t="s">
        <v>275</v>
      </c>
      <c r="F88" s="20" t="s">
        <v>276</v>
      </c>
      <c r="G88" s="20" t="s">
        <v>237</v>
      </c>
      <c r="H88" s="20">
        <f>(4120*(L8))</f>
        <v>22042</v>
      </c>
      <c r="I88" s="20">
        <f>(4234.04*(L8))</f>
        <v>22652.113999999998</v>
      </c>
      <c r="J88" s="20">
        <f>(4302.46*(L8))</f>
        <v>23018.161</v>
      </c>
      <c r="K88" s="20">
        <f>(4484.92*(L8))</f>
        <v>23994.322</v>
      </c>
      <c r="L88" s="20">
        <f>(4598.95*(L8))</f>
        <v>24604.382499999996</v>
      </c>
      <c r="M88" s="20">
        <f>(4735.79*(L8))</f>
        <v>25336.476499999997</v>
      </c>
      <c r="N88" s="20">
        <f>(4895.44*(L8))</f>
        <v>26190.603999999996</v>
      </c>
      <c r="O88" s="20">
        <f>(5123.51*(L8))</f>
        <v>27410.7785</v>
      </c>
      <c r="P88" s="20">
        <f>(5237.55*(L8))</f>
        <v>28020.892499999998</v>
      </c>
      <c r="Q88" s="20">
        <f>(5693.69*(L8))</f>
        <v>30461.241499999996</v>
      </c>
    </row>
    <row r="89" spans="1:17" ht="12.75" customHeight="1" x14ac:dyDescent="0.2">
      <c r="A89" s="6"/>
      <c r="B89" s="10" t="s">
        <v>277</v>
      </c>
      <c r="C89" s="20" t="s">
        <v>278</v>
      </c>
      <c r="D89" s="20" t="s">
        <v>274</v>
      </c>
      <c r="E89" s="20" t="s">
        <v>275</v>
      </c>
      <c r="F89" s="20" t="s">
        <v>276</v>
      </c>
      <c r="G89" s="20" t="s">
        <v>234</v>
      </c>
      <c r="H89" s="20">
        <f>(4273.15*(L8))</f>
        <v>22861.352499999997</v>
      </c>
      <c r="I89" s="20">
        <f>(4391.57*(L8))</f>
        <v>23494.899499999996</v>
      </c>
      <c r="J89" s="20">
        <f>(4462.62*(L8))</f>
        <v>23875.016999999996</v>
      </c>
      <c r="K89" s="20">
        <f>(4652.09*(L8))</f>
        <v>24888.681499999999</v>
      </c>
      <c r="L89" s="20">
        <f>(4770.51*(L8))</f>
        <v>25522.228500000001</v>
      </c>
      <c r="M89" s="20">
        <f>(4912.62*(L8))</f>
        <v>26282.516999999996</v>
      </c>
      <c r="N89" s="20">
        <f>(5078.41*(L8))</f>
        <v>27169.493499999997</v>
      </c>
      <c r="O89" s="20">
        <f>(5315.25*(L8))</f>
        <v>28436.587499999998</v>
      </c>
      <c r="P89" s="20">
        <f>(5433.67*(L8))</f>
        <v>29070.1345</v>
      </c>
      <c r="Q89" s="20">
        <f>(5907.36*(L8))</f>
        <v>31604.375999999997</v>
      </c>
    </row>
    <row r="90" spans="1:17" ht="12.75" customHeight="1" x14ac:dyDescent="0.2">
      <c r="A90" s="6"/>
      <c r="B90" s="10" t="s">
        <v>279</v>
      </c>
      <c r="C90" s="20" t="s">
        <v>280</v>
      </c>
      <c r="D90" s="20" t="s">
        <v>274</v>
      </c>
      <c r="E90" s="20" t="s">
        <v>275</v>
      </c>
      <c r="F90" s="20" t="s">
        <v>276</v>
      </c>
      <c r="G90" s="20" t="s">
        <v>243</v>
      </c>
      <c r="H90" s="20">
        <f>(4428.45*(L8))</f>
        <v>23692.207499999997</v>
      </c>
      <c r="I90" s="20">
        <f>(4551.26*(L8))</f>
        <v>24349.240999999998</v>
      </c>
      <c r="J90" s="20">
        <f>(4624.94*(L8))</f>
        <v>24743.428999999996</v>
      </c>
      <c r="K90" s="20">
        <f>(4821.43*(L8))</f>
        <v>25794.6505</v>
      </c>
      <c r="L90" s="20">
        <f>(4944.24*(L8))</f>
        <v>26451.683999999997</v>
      </c>
      <c r="M90" s="20">
        <f>(5091.61*(L8))</f>
        <v>27240.113499999996</v>
      </c>
      <c r="N90" s="20">
        <f>(5263.54*(L8))</f>
        <v>28159.938999999998</v>
      </c>
      <c r="O90" s="20">
        <f>(5509.15*(L8))</f>
        <v>29473.952499999996</v>
      </c>
      <c r="P90" s="20">
        <f>(5631.96*(L8))</f>
        <v>30130.985999999997</v>
      </c>
      <c r="Q90" s="20">
        <f>(6123.19*(L8))</f>
        <v>32759.066499999997</v>
      </c>
    </row>
    <row r="91" spans="1:17" ht="12.75" customHeight="1" x14ac:dyDescent="0.2">
      <c r="A91" s="6"/>
      <c r="B91" s="10" t="s">
        <v>281</v>
      </c>
      <c r="C91" s="20" t="s">
        <v>282</v>
      </c>
      <c r="D91" s="20" t="s">
        <v>274</v>
      </c>
      <c r="E91" s="20" t="s">
        <v>275</v>
      </c>
      <c r="F91" s="20" t="s">
        <v>276</v>
      </c>
      <c r="G91" s="20" t="s">
        <v>283</v>
      </c>
      <c r="H91" s="20">
        <f>(4771.32*(L8))</f>
        <v>25526.561999999998</v>
      </c>
      <c r="I91" s="20">
        <f>(4911.67*(L8))</f>
        <v>26277.434499999999</v>
      </c>
      <c r="J91" s="20">
        <f>(4995.88*(L8))</f>
        <v>26727.957999999999</v>
      </c>
      <c r="K91" s="20">
        <f>(5220.44*(L8))</f>
        <v>27929.353999999996</v>
      </c>
      <c r="L91" s="20">
        <f>(5360.79*(L8))</f>
        <v>28680.226499999997</v>
      </c>
      <c r="M91" s="20">
        <f>(5529.22*(L8))</f>
        <v>29581.327000000001</v>
      </c>
      <c r="N91" s="20">
        <f>(5725.71*(L8))</f>
        <v>30632.548499999997</v>
      </c>
      <c r="O91" s="20">
        <f>(6006.41*(L8))</f>
        <v>32134.293499999996</v>
      </c>
      <c r="P91" s="20">
        <f>(6146.76*(L8))</f>
        <v>32885.165999999997</v>
      </c>
      <c r="Q91" s="20">
        <f>(6708.16*(L8))</f>
        <v>35888.655999999995</v>
      </c>
    </row>
    <row r="92" spans="1:17" ht="12.75" customHeight="1" x14ac:dyDescent="0.2">
      <c r="A92" s="6"/>
      <c r="B92" s="10" t="s">
        <v>284</v>
      </c>
      <c r="C92" s="20" t="s">
        <v>285</v>
      </c>
      <c r="D92" s="20" t="s">
        <v>274</v>
      </c>
      <c r="E92" s="20" t="s">
        <v>275</v>
      </c>
      <c r="F92" s="20" t="s">
        <v>276</v>
      </c>
      <c r="G92" s="20" t="s">
        <v>286</v>
      </c>
      <c r="H92" s="20">
        <f>(4932.29*(L8))</f>
        <v>26387.751499999998</v>
      </c>
      <c r="I92" s="20">
        <f>(5077.03*(L8))</f>
        <v>27162.110499999995</v>
      </c>
      <c r="J92" s="20">
        <f>(5163.87*(L8))</f>
        <v>27626.704499999996</v>
      </c>
      <c r="K92" s="20">
        <f>(5395.45*(L8))</f>
        <v>28865.657499999998</v>
      </c>
      <c r="L92" s="20">
        <f>(5540.19*(L8))</f>
        <v>29640.016499999994</v>
      </c>
      <c r="M92" s="20">
        <f>(5713.87*(L8))</f>
        <v>30569.204499999996</v>
      </c>
      <c r="N92" s="20">
        <f>(5916.5*(L8))</f>
        <v>31653.274999999998</v>
      </c>
      <c r="O92" s="20">
        <f>(6205.98*(L8))</f>
        <v>33201.992999999995</v>
      </c>
      <c r="P92" s="20">
        <f>(6350.71*(L8))</f>
        <v>33976.298499999997</v>
      </c>
      <c r="Q92" s="20">
        <f>(6929.66*(L8))</f>
        <v>37073.680999999997</v>
      </c>
    </row>
    <row r="93" spans="1:17" ht="12.75" customHeight="1" x14ac:dyDescent="0.2">
      <c r="A93" s="6"/>
      <c r="B93" s="10" t="s">
        <v>287</v>
      </c>
      <c r="C93" s="20" t="s">
        <v>288</v>
      </c>
      <c r="D93" s="20" t="s">
        <v>274</v>
      </c>
      <c r="E93" s="20" t="s">
        <v>275</v>
      </c>
      <c r="F93" s="20" t="s">
        <v>276</v>
      </c>
      <c r="G93" s="20" t="s">
        <v>289</v>
      </c>
      <c r="H93" s="20">
        <f>(5122*(L8))</f>
        <v>27402.699999999997</v>
      </c>
      <c r="I93" s="20">
        <f>(5275.51*(L8))</f>
        <v>28223.978500000001</v>
      </c>
      <c r="J93" s="20">
        <f>(5367.62*(L8))</f>
        <v>28716.766999999996</v>
      </c>
      <c r="K93" s="20">
        <f>(5613.23*(L8))</f>
        <v>30030.780499999997</v>
      </c>
      <c r="L93" s="20">
        <f>(5766.74*(L8))</f>
        <v>30852.058999999997</v>
      </c>
      <c r="M93" s="20">
        <f>(5950.95*(L8))</f>
        <v>31837.582499999997</v>
      </c>
      <c r="N93" s="20">
        <f>(6165.86*(L8))</f>
        <v>32987.350999999995</v>
      </c>
      <c r="O93" s="20">
        <f>(6472.88*(L8))</f>
        <v>34629.907999999996</v>
      </c>
      <c r="P93" s="20">
        <f>(6626.39*(L8))</f>
        <v>35451.186499999996</v>
      </c>
      <c r="Q93" s="20">
        <f>(7240.42*(L8))</f>
        <v>38736.246999999996</v>
      </c>
    </row>
    <row r="94" spans="1:17" ht="12.75" customHeight="1" x14ac:dyDescent="0.2">
      <c r="A94" s="6"/>
      <c r="B94" s="10" t="s">
        <v>290</v>
      </c>
      <c r="C94" s="20" t="s">
        <v>137</v>
      </c>
      <c r="D94" s="20" t="s">
        <v>274</v>
      </c>
      <c r="E94" s="20" t="s">
        <v>275</v>
      </c>
      <c r="F94" s="20" t="s">
        <v>276</v>
      </c>
      <c r="G94" s="20" t="s">
        <v>231</v>
      </c>
      <c r="H94" s="20">
        <f>(3969.1*(L8))</f>
        <v>21234.684999999998</v>
      </c>
      <c r="I94" s="20">
        <f>(4074.36*(L8))</f>
        <v>21797.826000000001</v>
      </c>
      <c r="J94" s="20">
        <f>(4137.52*(L8))</f>
        <v>22135.732</v>
      </c>
      <c r="K94" s="20">
        <f>(4305.94*(L8))</f>
        <v>23036.778999999995</v>
      </c>
      <c r="L94" s="20">
        <f>(4411.21*(L8))</f>
        <v>23599.9735</v>
      </c>
      <c r="M94" s="20">
        <f>(4537.52*(L8))</f>
        <v>24275.732</v>
      </c>
      <c r="N94" s="20">
        <f>(4684.89*(L8))</f>
        <v>25064.161499999998</v>
      </c>
      <c r="O94" s="20">
        <f>(4895.42*(L8))</f>
        <v>26190.496999999999</v>
      </c>
      <c r="P94" s="20">
        <f>(5000.68*(L8))</f>
        <v>26753.637999999999</v>
      </c>
      <c r="Q94" s="20">
        <f>(5421.73*(L8))</f>
        <v>29006.255499999996</v>
      </c>
    </row>
    <row r="95" spans="1:17" ht="12.75" customHeight="1" x14ac:dyDescent="0.2">
      <c r="A95" s="6"/>
      <c r="B95" s="10" t="s">
        <v>291</v>
      </c>
      <c r="C95" s="20" t="s">
        <v>292</v>
      </c>
      <c r="D95" s="20" t="s">
        <v>274</v>
      </c>
      <c r="E95" s="20" t="s">
        <v>275</v>
      </c>
      <c r="F95" s="20" t="s">
        <v>276</v>
      </c>
      <c r="G95" s="20" t="s">
        <v>237</v>
      </c>
      <c r="H95" s="20">
        <f>(4146.61*(L8))</f>
        <v>22184.363499999996</v>
      </c>
      <c r="I95" s="20">
        <f>(4256.26*(L8))</f>
        <v>22770.990999999998</v>
      </c>
      <c r="J95" s="20">
        <f>(4322.05*(L8))</f>
        <v>23122.967499999999</v>
      </c>
      <c r="K95" s="20">
        <f>(4497.49*(L8))</f>
        <v>24061.571499999998</v>
      </c>
      <c r="L95" s="20">
        <f>(4607.14*(L8))</f>
        <v>24648.199000000001</v>
      </c>
      <c r="M95" s="20">
        <f>(4738.72*(L8))</f>
        <v>25352.151999999998</v>
      </c>
      <c r="N95" s="20">
        <f>(4892.23*(L8))</f>
        <v>26173.430499999995</v>
      </c>
      <c r="O95" s="20">
        <f>(5111.52*(L8))</f>
        <v>27346.632000000001</v>
      </c>
      <c r="P95" s="20">
        <f>(5221.17*(L8))</f>
        <v>27933.2595</v>
      </c>
      <c r="Q95" s="20">
        <f>(5659.77*(L8))</f>
        <v>30279.769499999999</v>
      </c>
    </row>
    <row r="96" spans="1:17" ht="12.75" customHeight="1" x14ac:dyDescent="0.2">
      <c r="A96" s="6"/>
      <c r="B96" s="10" t="s">
        <v>293</v>
      </c>
      <c r="C96" s="20" t="s">
        <v>273</v>
      </c>
      <c r="D96" s="20" t="s">
        <v>274</v>
      </c>
      <c r="E96" s="94" t="s">
        <v>275</v>
      </c>
      <c r="F96" s="20" t="s">
        <v>276</v>
      </c>
      <c r="G96" s="20" t="s">
        <v>234</v>
      </c>
      <c r="H96" s="20">
        <f>(4344.99*(L8))</f>
        <v>23245.696499999998</v>
      </c>
      <c r="I96" s="20">
        <f>(4463.41*(L8))</f>
        <v>23879.243499999997</v>
      </c>
      <c r="J96" s="20">
        <f>(4534.46*(L8))</f>
        <v>24259.360999999997</v>
      </c>
      <c r="K96" s="20">
        <f>(4723.94*(L8))</f>
        <v>25273.078999999998</v>
      </c>
      <c r="L96" s="20">
        <f>(4842.36*(L8))</f>
        <v>25906.625999999997</v>
      </c>
      <c r="M96" s="20">
        <f>(4984.46*(L8))</f>
        <v>26666.860999999997</v>
      </c>
      <c r="N96" s="20">
        <f>(5150.25*(L8))</f>
        <v>27553.837499999998</v>
      </c>
      <c r="O96" s="20">
        <f>(5387.09*(L8))</f>
        <v>28820.931499999999</v>
      </c>
      <c r="P96" s="20">
        <f>(5505.51*(L8))</f>
        <v>29454.478499999997</v>
      </c>
      <c r="Q96" s="20">
        <f>(5979.2*(L8))</f>
        <v>31988.719999999998</v>
      </c>
    </row>
    <row r="97" spans="1:17" ht="12.75" customHeight="1" x14ac:dyDescent="0.2">
      <c r="A97" s="6"/>
      <c r="B97" s="10" t="s">
        <v>294</v>
      </c>
      <c r="C97" s="20" t="s">
        <v>278</v>
      </c>
      <c r="D97" s="20" t="s">
        <v>274</v>
      </c>
      <c r="E97" s="20" t="s">
        <v>275</v>
      </c>
      <c r="F97" s="20" t="s">
        <v>276</v>
      </c>
      <c r="G97" s="20" t="s">
        <v>243</v>
      </c>
      <c r="H97" s="20">
        <f>(4505.22*(L8))</f>
        <v>24102.927</v>
      </c>
      <c r="I97" s="20">
        <f>(4636.8*(L8))</f>
        <v>24806.880000000001</v>
      </c>
      <c r="J97" s="20">
        <f>(4715.75*(L8))</f>
        <v>25229.262499999997</v>
      </c>
      <c r="K97" s="20">
        <f>(4926.28*(L8))</f>
        <v>26355.597999999998</v>
      </c>
      <c r="L97" s="20">
        <f>(5057.85*(L8))</f>
        <v>27059.497500000001</v>
      </c>
      <c r="M97" s="20">
        <f>(5215.75*(L8))</f>
        <v>27904.262499999997</v>
      </c>
      <c r="N97" s="20">
        <f>(5399.96*(L8))</f>
        <v>28889.786</v>
      </c>
      <c r="O97" s="20">
        <f>(5663.12*(L8))</f>
        <v>30297.691999999999</v>
      </c>
      <c r="P97" s="20">
        <f>(5794.7*(L8))</f>
        <v>31001.644999999997</v>
      </c>
      <c r="Q97" s="20">
        <f>(6321.01*(L8))</f>
        <v>33817.4035</v>
      </c>
    </row>
    <row r="98" spans="1:17" ht="12.75" customHeight="1" x14ac:dyDescent="0.2">
      <c r="A98" s="6"/>
      <c r="B98" s="10" t="s">
        <v>295</v>
      </c>
      <c r="C98" s="20" t="s">
        <v>280</v>
      </c>
      <c r="D98" s="20" t="s">
        <v>274</v>
      </c>
      <c r="E98" s="20" t="s">
        <v>275</v>
      </c>
      <c r="F98" s="20" t="s">
        <v>276</v>
      </c>
      <c r="G98" s="20" t="s">
        <v>283</v>
      </c>
      <c r="H98" s="20">
        <f>(4676.86*(L8))</f>
        <v>25021.200999999997</v>
      </c>
      <c r="I98" s="20">
        <f>(4817.21*(L8))</f>
        <v>25772.073499999999</v>
      </c>
      <c r="J98" s="20">
        <f>(4901.42*(L8))</f>
        <v>26222.596999999998</v>
      </c>
      <c r="K98" s="20">
        <f>(5125.98*(L8))</f>
        <v>27423.992999999995</v>
      </c>
      <c r="L98" s="20">
        <f>(5266.33*(L8))</f>
        <v>28174.865499999996</v>
      </c>
      <c r="M98" s="20">
        <f>(5434.76*(L8))</f>
        <v>29075.966</v>
      </c>
      <c r="N98" s="20">
        <f>(5631.25*(L8))</f>
        <v>30127.187499999996</v>
      </c>
      <c r="O98" s="20">
        <f>(5911.95*(L8))</f>
        <v>31628.932499999995</v>
      </c>
      <c r="P98" s="20">
        <f>(6052.3*(L8))</f>
        <v>32379.805</v>
      </c>
      <c r="Q98" s="20">
        <f>(6613.7*(L8))</f>
        <v>35383.294999999998</v>
      </c>
    </row>
    <row r="99" spans="1:17" ht="12.75" customHeight="1" x14ac:dyDescent="0.2">
      <c r="A99" s="6"/>
      <c r="B99" s="10" t="s">
        <v>296</v>
      </c>
      <c r="C99" s="20" t="s">
        <v>236</v>
      </c>
      <c r="D99" s="20" t="s">
        <v>274</v>
      </c>
      <c r="E99" s="20" t="s">
        <v>275</v>
      </c>
      <c r="F99" s="20" t="s">
        <v>276</v>
      </c>
      <c r="G99" s="20" t="s">
        <v>286</v>
      </c>
      <c r="H99" s="20">
        <f>(4888.69*(L8))</f>
        <v>26154.491499999996</v>
      </c>
      <c r="I99" s="20">
        <f>(5037.82*(L8))</f>
        <v>26952.336999999996</v>
      </c>
      <c r="J99" s="20">
        <f>(5127.29*(L8))</f>
        <v>27431.001499999998</v>
      </c>
      <c r="K99" s="20">
        <f>(5365.89*(L8))</f>
        <v>28707.511500000001</v>
      </c>
      <c r="L99" s="20">
        <f>(5515.01*(L8))</f>
        <v>29505.303499999998</v>
      </c>
      <c r="M99" s="20">
        <f>(5693.96*(L8))</f>
        <v>30462.685999999998</v>
      </c>
      <c r="N99" s="20">
        <f>(5902.73*(L8))</f>
        <v>31579.605499999994</v>
      </c>
      <c r="O99" s="20">
        <f>(6200.98*(L8))</f>
        <v>33175.242999999995</v>
      </c>
      <c r="P99" s="20">
        <f>(6350.1*(L8))</f>
        <v>33973.034999999996</v>
      </c>
      <c r="Q99" s="20">
        <f>(6946.59*(L8))</f>
        <v>37164.256499999996</v>
      </c>
    </row>
    <row r="100" spans="1:17" ht="30" customHeight="1" x14ac:dyDescent="0.35">
      <c r="A100" s="6"/>
      <c r="B100" s="23" t="s">
        <v>297</v>
      </c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5"/>
    </row>
    <row r="101" spans="1:17" ht="12.75" customHeight="1" x14ac:dyDescent="0.2">
      <c r="A101" s="7" t="s">
        <v>6</v>
      </c>
      <c r="B101" s="8" t="s">
        <v>7</v>
      </c>
      <c r="C101" s="8" t="s">
        <v>8</v>
      </c>
      <c r="D101" s="8" t="s">
        <v>9</v>
      </c>
      <c r="E101" s="8" t="s">
        <v>10</v>
      </c>
      <c r="F101" s="8" t="s">
        <v>11</v>
      </c>
      <c r="G101" s="8" t="s">
        <v>12</v>
      </c>
      <c r="H101" s="8" t="s">
        <v>13</v>
      </c>
      <c r="I101" s="8" t="s">
        <v>14</v>
      </c>
      <c r="J101" s="8" t="s">
        <v>15</v>
      </c>
      <c r="K101" s="8" t="s">
        <v>16</v>
      </c>
      <c r="L101" s="8" t="s">
        <v>17</v>
      </c>
      <c r="M101" s="8" t="s">
        <v>18</v>
      </c>
      <c r="N101" s="8" t="s">
        <v>19</v>
      </c>
      <c r="O101" s="8" t="s">
        <v>20</v>
      </c>
      <c r="P101" s="8" t="s">
        <v>21</v>
      </c>
      <c r="Q101" s="8" t="s">
        <v>22</v>
      </c>
    </row>
    <row r="102" spans="1:17" ht="12.75" customHeight="1" x14ac:dyDescent="0.2">
      <c r="A102" s="6"/>
      <c r="B102" s="10" t="s">
        <v>298</v>
      </c>
      <c r="C102" s="20" t="s">
        <v>135</v>
      </c>
      <c r="D102" s="20" t="s">
        <v>299</v>
      </c>
      <c r="E102" s="20" t="s">
        <v>265</v>
      </c>
      <c r="F102" s="20" t="s">
        <v>300</v>
      </c>
      <c r="G102" s="20" t="s">
        <v>38</v>
      </c>
      <c r="H102" s="20">
        <f>(2900.96*(L8))</f>
        <v>15520.135999999999</v>
      </c>
      <c r="I102" s="20">
        <f>(2962.36*(L8))</f>
        <v>15848.626</v>
      </c>
      <c r="J102" s="20">
        <f>(2999.2*(L8))</f>
        <v>16045.719999999998</v>
      </c>
      <c r="K102" s="20">
        <f>(3097.45*(L8))</f>
        <v>16571.357499999998</v>
      </c>
      <c r="L102" s="20">
        <f>(3158.85*(L8))</f>
        <v>16899.8475</v>
      </c>
      <c r="M102" s="20">
        <f>(3232.53*(L8))</f>
        <v>17294.035499999998</v>
      </c>
      <c r="N102" s="20">
        <f>(3318.5*(L8))</f>
        <v>17753.974999999999</v>
      </c>
      <c r="O102" s="20">
        <f>(3441.31*(L8))</f>
        <v>18411.0085</v>
      </c>
      <c r="P102" s="20">
        <f>(3502.71*(L8))</f>
        <v>18739.498499999998</v>
      </c>
      <c r="Q102" s="20">
        <f>(3748.32*(L8))</f>
        <v>20053.511999999999</v>
      </c>
    </row>
    <row r="103" spans="1:17" ht="12.75" customHeight="1" x14ac:dyDescent="0.2">
      <c r="A103" s="6"/>
      <c r="B103" s="10" t="s">
        <v>301</v>
      </c>
      <c r="C103" s="20" t="s">
        <v>137</v>
      </c>
      <c r="D103" s="20" t="s">
        <v>299</v>
      </c>
      <c r="E103" s="20" t="s">
        <v>265</v>
      </c>
      <c r="F103" s="20" t="s">
        <v>300</v>
      </c>
      <c r="G103" s="20" t="s">
        <v>152</v>
      </c>
      <c r="H103" s="20">
        <f>(3210.88*(L8))</f>
        <v>17178.207999999999</v>
      </c>
      <c r="I103" s="20">
        <f>(3285.44*(L8))</f>
        <v>17577.103999999999</v>
      </c>
      <c r="J103" s="20">
        <f>(3330.18*(L8))</f>
        <v>17816.463</v>
      </c>
      <c r="K103" s="20">
        <f>(3449.48*(L8))</f>
        <v>18454.717999999997</v>
      </c>
      <c r="L103" s="20">
        <f>(3524.04*(L8))</f>
        <v>18853.613999999998</v>
      </c>
      <c r="M103" s="20">
        <f>(3613.51*(L8))</f>
        <v>19332.2785</v>
      </c>
      <c r="N103" s="20">
        <f>(3717.9*(L8))</f>
        <v>19890.764999999999</v>
      </c>
      <c r="O103" s="20">
        <f>(3867.02*(L8))</f>
        <v>20688.556999999997</v>
      </c>
      <c r="P103" s="20">
        <f>(3941.58*(L8))</f>
        <v>21087.452999999998</v>
      </c>
      <c r="Q103" s="20">
        <f>(4239.83*(L8))</f>
        <v>22683.090499999998</v>
      </c>
    </row>
    <row r="104" spans="1:17" ht="30" customHeight="1" x14ac:dyDescent="0.35">
      <c r="A104" s="6"/>
      <c r="B104" s="23" t="s">
        <v>302</v>
      </c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5"/>
    </row>
    <row r="105" spans="1:17" ht="12.75" customHeight="1" x14ac:dyDescent="0.2">
      <c r="A105" s="7" t="s">
        <v>6</v>
      </c>
      <c r="B105" s="8" t="s">
        <v>7</v>
      </c>
      <c r="C105" s="8" t="s">
        <v>8</v>
      </c>
      <c r="D105" s="8" t="s">
        <v>9</v>
      </c>
      <c r="E105" s="8" t="s">
        <v>10</v>
      </c>
      <c r="F105" s="8" t="s">
        <v>11</v>
      </c>
      <c r="G105" s="8" t="s">
        <v>12</v>
      </c>
      <c r="H105" s="8" t="s">
        <v>13</v>
      </c>
      <c r="I105" s="8" t="s">
        <v>14</v>
      </c>
      <c r="J105" s="8" t="s">
        <v>15</v>
      </c>
      <c r="K105" s="8" t="s">
        <v>16</v>
      </c>
      <c r="L105" s="8" t="s">
        <v>17</v>
      </c>
      <c r="M105" s="8" t="s">
        <v>18</v>
      </c>
      <c r="N105" s="8" t="s">
        <v>19</v>
      </c>
      <c r="O105" s="8" t="s">
        <v>20</v>
      </c>
      <c r="P105" s="8" t="s">
        <v>21</v>
      </c>
      <c r="Q105" s="8" t="s">
        <v>22</v>
      </c>
    </row>
    <row r="106" spans="1:17" ht="12.75" customHeight="1" x14ac:dyDescent="0.2">
      <c r="A106" s="6"/>
      <c r="B106" s="10" t="s">
        <v>303</v>
      </c>
      <c r="C106" s="20" t="s">
        <v>136</v>
      </c>
      <c r="D106" s="20" t="s">
        <v>304</v>
      </c>
      <c r="E106" s="20" t="s">
        <v>305</v>
      </c>
      <c r="F106" s="20" t="s">
        <v>27</v>
      </c>
      <c r="G106" s="20" t="s">
        <v>247</v>
      </c>
      <c r="H106" s="20">
        <f>(3033.32*(L8))</f>
        <v>16228.262000000001</v>
      </c>
      <c r="I106" s="20">
        <f>(3068.41*(L8))</f>
        <v>16415.993499999997</v>
      </c>
      <c r="J106" s="20">
        <f>(3089.46*(L8))</f>
        <v>16528.611000000001</v>
      </c>
      <c r="K106" s="20">
        <f>(3145.6*(L8))</f>
        <v>16828.96</v>
      </c>
      <c r="L106" s="20">
        <f>(3180.69*(L8))</f>
        <v>17016.691500000001</v>
      </c>
      <c r="M106" s="20">
        <f>(3222.79*(L8))</f>
        <v>17241.926499999998</v>
      </c>
      <c r="N106" s="20">
        <f>(3271.92*(L8))</f>
        <v>17504.772000000001</v>
      </c>
      <c r="O106" s="20">
        <f>(3342.09*(L8))</f>
        <v>17880.181499999999</v>
      </c>
      <c r="P106" s="20">
        <f>(3377.18*(L8))</f>
        <v>18067.912999999997</v>
      </c>
      <c r="Q106" s="20">
        <f>(3517.53*(L8))</f>
        <v>18818.785499999998</v>
      </c>
    </row>
    <row r="107" spans="1:17" ht="30" customHeight="1" x14ac:dyDescent="0.35">
      <c r="A107" s="6"/>
      <c r="B107" s="23" t="s">
        <v>1433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5"/>
    </row>
    <row r="108" spans="1:17" ht="12.75" customHeight="1" x14ac:dyDescent="0.2">
      <c r="A108" s="7" t="s">
        <v>6</v>
      </c>
      <c r="B108" s="8" t="s">
        <v>7</v>
      </c>
      <c r="C108" s="8" t="s">
        <v>8</v>
      </c>
      <c r="D108" s="8" t="s">
        <v>9</v>
      </c>
      <c r="E108" s="8" t="s">
        <v>10</v>
      </c>
      <c r="F108" s="8" t="s">
        <v>11</v>
      </c>
      <c r="G108" s="8" t="s">
        <v>12</v>
      </c>
      <c r="H108" s="8" t="s">
        <v>13</v>
      </c>
      <c r="I108" s="8" t="s">
        <v>14</v>
      </c>
      <c r="J108" s="8" t="s">
        <v>15</v>
      </c>
      <c r="K108" s="8" t="s">
        <v>16</v>
      </c>
      <c r="L108" s="8" t="s">
        <v>17</v>
      </c>
      <c r="M108" s="8" t="s">
        <v>18</v>
      </c>
      <c r="N108" s="8" t="s">
        <v>19</v>
      </c>
      <c r="O108" s="8" t="s">
        <v>20</v>
      </c>
      <c r="P108" s="8" t="s">
        <v>21</v>
      </c>
      <c r="Q108" s="8" t="s">
        <v>22</v>
      </c>
    </row>
    <row r="109" spans="1:17" ht="12.75" customHeight="1" x14ac:dyDescent="0.2">
      <c r="A109" s="6"/>
      <c r="B109" s="10" t="s">
        <v>1366</v>
      </c>
      <c r="C109" s="20" t="s">
        <v>30</v>
      </c>
      <c r="D109" s="20" t="s">
        <v>404</v>
      </c>
      <c r="E109" s="20" t="s">
        <v>256</v>
      </c>
      <c r="F109" s="20" t="s">
        <v>27</v>
      </c>
      <c r="G109" s="20" t="s">
        <v>185</v>
      </c>
      <c r="H109" s="20">
        <f>(4705.09*($L$8))</f>
        <v>25172.231499999998</v>
      </c>
      <c r="I109" s="20">
        <f>(4794.56*($L$8))</f>
        <v>25650.896000000001</v>
      </c>
      <c r="J109" s="20">
        <f>(4848.25*($L$8))</f>
        <v>25938.137499999997</v>
      </c>
      <c r="K109" s="20">
        <f>(4991.4*($L$8))</f>
        <v>26703.989999999998</v>
      </c>
      <c r="L109" s="20">
        <f>(5080.88*($L$8))</f>
        <v>27182.707999999999</v>
      </c>
      <c r="M109" s="20">
        <f>(5188.25*($L$8))</f>
        <v>27757.137499999997</v>
      </c>
      <c r="N109" s="20">
        <f>(5313.51*($L$8))</f>
        <v>28427.2785</v>
      </c>
      <c r="O109" s="20">
        <f>(5492.46*($L$8))</f>
        <v>29384.661</v>
      </c>
      <c r="P109" s="20">
        <f>(5581.93*($L$8))</f>
        <v>29863.325499999999</v>
      </c>
      <c r="Q109" s="20">
        <f>(5939.82*($L$8))</f>
        <v>31778.036999999997</v>
      </c>
    </row>
    <row r="110" spans="1:17" ht="12.75" customHeight="1" x14ac:dyDescent="0.2">
      <c r="A110" s="6"/>
      <c r="B110" s="10" t="s">
        <v>1367</v>
      </c>
      <c r="C110" s="20" t="s">
        <v>843</v>
      </c>
      <c r="D110" s="20" t="s">
        <v>1368</v>
      </c>
      <c r="E110" s="20" t="s">
        <v>256</v>
      </c>
      <c r="F110" s="20" t="s">
        <v>27</v>
      </c>
      <c r="G110" s="20" t="s">
        <v>185</v>
      </c>
      <c r="H110" s="20">
        <f>(5967.76*($L$8))</f>
        <v>31927.516</v>
      </c>
      <c r="I110" s="20">
        <f>(6073.02*($L$8))</f>
        <v>32490.656999999999</v>
      </c>
      <c r="J110" s="20">
        <f>(6136.18*($L$8))</f>
        <v>32828.563000000002</v>
      </c>
      <c r="K110" s="20">
        <f>(6304.6*($L$8))</f>
        <v>33729.61</v>
      </c>
      <c r="L110" s="20">
        <f>(6409.86*($L$8))</f>
        <v>34292.750999999997</v>
      </c>
      <c r="M110" s="20">
        <f>(6536.18*($L$8))</f>
        <v>34968.563000000002</v>
      </c>
      <c r="N110" s="20">
        <f>(6683.55*($L$8))</f>
        <v>35756.9925</v>
      </c>
      <c r="O110" s="20">
        <f>(6894.07*($L$8))</f>
        <v>36883.2745</v>
      </c>
      <c r="P110" s="20">
        <f>(6999.33*($L$8))</f>
        <v>37446.415499999996</v>
      </c>
      <c r="Q110" s="20">
        <f>(7420.39*($L$8))</f>
        <v>39699.086499999998</v>
      </c>
    </row>
    <row r="111" spans="1:17" ht="30" customHeight="1" x14ac:dyDescent="0.35">
      <c r="A111" s="6"/>
      <c r="B111" s="23" t="s">
        <v>306</v>
      </c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5"/>
    </row>
    <row r="112" spans="1:17" ht="12.75" customHeight="1" x14ac:dyDescent="0.2">
      <c r="A112" s="7" t="s">
        <v>6</v>
      </c>
      <c r="B112" s="8" t="s">
        <v>7</v>
      </c>
      <c r="C112" s="8" t="s">
        <v>8</v>
      </c>
      <c r="D112" s="8" t="s">
        <v>9</v>
      </c>
      <c r="E112" s="8" t="s">
        <v>10</v>
      </c>
      <c r="F112" s="8" t="s">
        <v>11</v>
      </c>
      <c r="G112" s="8" t="s">
        <v>12</v>
      </c>
      <c r="H112" s="8" t="s">
        <v>13</v>
      </c>
      <c r="I112" s="8" t="s">
        <v>14</v>
      </c>
      <c r="J112" s="8" t="s">
        <v>15</v>
      </c>
      <c r="K112" s="8" t="s">
        <v>16</v>
      </c>
      <c r="L112" s="8" t="s">
        <v>17</v>
      </c>
      <c r="M112" s="8" t="s">
        <v>18</v>
      </c>
      <c r="N112" s="8" t="s">
        <v>19</v>
      </c>
      <c r="O112" s="8" t="s">
        <v>20</v>
      </c>
      <c r="P112" s="8" t="s">
        <v>21</v>
      </c>
      <c r="Q112" s="8" t="s">
        <v>22</v>
      </c>
    </row>
    <row r="113" spans="1:17" ht="12.75" customHeight="1" x14ac:dyDescent="0.2">
      <c r="A113" s="6"/>
      <c r="B113" s="16" t="s">
        <v>1434</v>
      </c>
      <c r="C113" s="90">
        <v>1.1200000000000001</v>
      </c>
      <c r="D113" s="90">
        <v>1.1200000000000001</v>
      </c>
      <c r="E113" s="90">
        <v>0.9</v>
      </c>
      <c r="F113" s="20" t="s">
        <v>27</v>
      </c>
      <c r="G113" s="20" t="s">
        <v>67</v>
      </c>
      <c r="H113" s="20">
        <f>(2825.55*(L8))</f>
        <v>15116.692499999999</v>
      </c>
      <c r="I113" s="20">
        <f>(2865.02*(L8))</f>
        <v>15327.856999999998</v>
      </c>
      <c r="J113" s="20">
        <f>(2888.7*(L8))</f>
        <v>15454.544999999998</v>
      </c>
      <c r="K113" s="20">
        <f>(2951.86*(L8))</f>
        <v>15792.450999999999</v>
      </c>
      <c r="L113" s="20">
        <f>(2991.33*(L8))</f>
        <v>16003.615499999998</v>
      </c>
      <c r="M113" s="20">
        <f>(3038.7*(L8))</f>
        <v>16257.044999999998</v>
      </c>
      <c r="N113" s="20">
        <f>(3093.97*(L8))</f>
        <v>16552.739499999996</v>
      </c>
      <c r="O113" s="20">
        <f>(3172.91*(L8))</f>
        <v>16975.068499999998</v>
      </c>
      <c r="P113" s="20">
        <f>(3212.39*(L8))</f>
        <v>17186.286499999998</v>
      </c>
      <c r="Q113" s="20">
        <f>(3370.28*(L8))</f>
        <v>18030.998</v>
      </c>
    </row>
    <row r="114" spans="1:17" ht="12.75" customHeight="1" x14ac:dyDescent="0.2">
      <c r="A114" s="6"/>
      <c r="B114" s="16" t="s">
        <v>1435</v>
      </c>
      <c r="C114" s="90">
        <v>1.1200000000000001</v>
      </c>
      <c r="D114" s="90">
        <v>1.5</v>
      </c>
      <c r="E114" s="90">
        <v>0.9</v>
      </c>
      <c r="F114" s="20" t="s">
        <v>27</v>
      </c>
      <c r="G114" s="20" t="s">
        <v>35</v>
      </c>
      <c r="H114" s="20">
        <f>(3161.73*(L8))</f>
        <v>16915.255499999999</v>
      </c>
      <c r="I114" s="20">
        <f>(3211.73*(L8))</f>
        <v>17182.755499999999</v>
      </c>
      <c r="J114" s="20">
        <f>(3241.73*(L8))</f>
        <v>17343.255499999999</v>
      </c>
      <c r="K114" s="20">
        <f>(3321.73*(L8))</f>
        <v>17771.255499999999</v>
      </c>
      <c r="L114" s="20">
        <f>(3371.73*(L8))</f>
        <v>18038.755499999999</v>
      </c>
      <c r="M114" s="20">
        <f>(3431.73*(L8))</f>
        <v>18359.755499999999</v>
      </c>
      <c r="N114" s="20">
        <f>(3501.73*(L8))</f>
        <v>18734.255499999999</v>
      </c>
      <c r="O114" s="20">
        <f>(3601.73*(L8))</f>
        <v>19269.255499999999</v>
      </c>
      <c r="P114" s="20">
        <f>(3651.73*(L8))</f>
        <v>19536.755499999999</v>
      </c>
      <c r="Q114" s="20">
        <f>(3851.73*(L8))</f>
        <v>20606.755499999999</v>
      </c>
    </row>
    <row r="115" spans="1:17" ht="12.75" customHeight="1" x14ac:dyDescent="0.2">
      <c r="A115" s="6"/>
      <c r="B115" s="16" t="s">
        <v>1436</v>
      </c>
      <c r="C115" s="90">
        <v>1.1200000000000001</v>
      </c>
      <c r="D115" s="90">
        <v>1.87</v>
      </c>
      <c r="E115" s="90">
        <v>0.9</v>
      </c>
      <c r="F115" s="20" t="s">
        <v>27</v>
      </c>
      <c r="G115" s="20" t="s">
        <v>38</v>
      </c>
      <c r="H115" s="20">
        <f>(3427.1*(L8))</f>
        <v>18334.984999999997</v>
      </c>
      <c r="I115" s="20">
        <f>(3486.75*(L8))</f>
        <v>18654.112499999999</v>
      </c>
      <c r="J115" s="20">
        <f>(3522.54*(L8))</f>
        <v>18845.589</v>
      </c>
      <c r="K115" s="20">
        <f>(3617.98*(L8))</f>
        <v>19356.192999999999</v>
      </c>
      <c r="L115" s="20">
        <f>(3677.63*(L8))</f>
        <v>19675.320499999998</v>
      </c>
      <c r="M115" s="20">
        <f>(3749.21*(L8))</f>
        <v>20058.273499999999</v>
      </c>
      <c r="N115" s="20">
        <f>(3832.72*(L8))</f>
        <v>20505.051999999996</v>
      </c>
      <c r="O115" s="20">
        <f>(3952.02*(L8))</f>
        <v>21143.306999999997</v>
      </c>
      <c r="P115" s="20">
        <f>(4011.66*(L8))</f>
        <v>21462.380999999998</v>
      </c>
      <c r="Q115" s="20">
        <f>(4250.26*(L8))</f>
        <v>22738.891</v>
      </c>
    </row>
    <row r="116" spans="1:17" ht="12.75" customHeight="1" x14ac:dyDescent="0.2">
      <c r="A116" s="6"/>
      <c r="B116" s="16" t="s">
        <v>1437</v>
      </c>
      <c r="C116" s="90">
        <v>1.1200000000000001</v>
      </c>
      <c r="D116" s="90">
        <v>2.2400000000000002</v>
      </c>
      <c r="E116" s="90">
        <v>0.9</v>
      </c>
      <c r="F116" s="20" t="s">
        <v>27</v>
      </c>
      <c r="G116" s="20" t="s">
        <v>60</v>
      </c>
      <c r="H116" s="20">
        <f>(3690.64*(L8))</f>
        <v>19744.923999999999</v>
      </c>
      <c r="I116" s="20">
        <f>(3752.92*(L8))</f>
        <v>20078.121999999999</v>
      </c>
      <c r="J116" s="20">
        <f>(3790.29*(L8))</f>
        <v>20278.051499999998</v>
      </c>
      <c r="K116" s="20">
        <f>(3889.94*(L8))</f>
        <v>20811.179</v>
      </c>
      <c r="L116" s="20">
        <f>(3952.22*(L8))</f>
        <v>21144.376999999997</v>
      </c>
      <c r="M116" s="20">
        <f>(4026.96*(L8))</f>
        <v>21544.235999999997</v>
      </c>
      <c r="N116" s="20">
        <f>(4114.15*(L8))</f>
        <v>22010.702499999996</v>
      </c>
      <c r="O116" s="20">
        <f>(4238.71*(L8))</f>
        <v>22677.0985</v>
      </c>
      <c r="P116" s="20">
        <f>(4300.99*(L8))</f>
        <v>23010.296499999997</v>
      </c>
      <c r="Q116" s="20">
        <f>(4550.12*(L8))</f>
        <v>24343.141999999996</v>
      </c>
    </row>
    <row r="117" spans="1:17" ht="12.75" customHeight="1" x14ac:dyDescent="0.2">
      <c r="A117" s="6"/>
      <c r="B117" s="16" t="s">
        <v>1438</v>
      </c>
      <c r="C117" s="90">
        <v>2.2400000000000002</v>
      </c>
      <c r="D117" s="90">
        <v>1.1200000000000001</v>
      </c>
      <c r="E117" s="90">
        <v>0.9</v>
      </c>
      <c r="F117" s="20" t="s">
        <v>27</v>
      </c>
      <c r="G117" s="20" t="s">
        <v>42</v>
      </c>
      <c r="H117" s="20">
        <f>(3834.98*(L8))</f>
        <v>20517.143</v>
      </c>
      <c r="I117" s="20">
        <f>(3903.4*(L8))</f>
        <v>20883.189999999999</v>
      </c>
      <c r="J117" s="20">
        <f>(3944.46*(L8))</f>
        <v>21102.860999999997</v>
      </c>
      <c r="K117" s="20">
        <f>(4053.93*(L8))</f>
        <v>21688.525499999996</v>
      </c>
      <c r="L117" s="20">
        <f>(4122.35*(L8))</f>
        <v>22054.572500000002</v>
      </c>
      <c r="M117" s="20">
        <f>(4204.46*(L8))</f>
        <v>22493.860999999997</v>
      </c>
      <c r="N117" s="20">
        <f>(4300.25*(L8))</f>
        <v>23006.337499999998</v>
      </c>
      <c r="O117" s="20">
        <f>(4437.09*(L8))</f>
        <v>23738.431499999999</v>
      </c>
      <c r="P117" s="20">
        <f>(4505.51*(L8))</f>
        <v>24104.478500000001</v>
      </c>
      <c r="Q117" s="20">
        <f>(4779.19*(L8))</f>
        <v>25568.666499999996</v>
      </c>
    </row>
    <row r="118" spans="1:17" ht="12.75" customHeight="1" x14ac:dyDescent="0.2">
      <c r="A118" s="6"/>
      <c r="B118" s="16" t="s">
        <v>1439</v>
      </c>
      <c r="C118" s="90">
        <v>2.2400000000000002</v>
      </c>
      <c r="D118" s="90">
        <v>1.5</v>
      </c>
      <c r="E118" s="90">
        <v>0.9</v>
      </c>
      <c r="F118" s="20" t="s">
        <v>27</v>
      </c>
      <c r="G118" s="20" t="s">
        <v>154</v>
      </c>
      <c r="H118" s="20">
        <f>(4326.44*(L8))</f>
        <v>23146.453999999998</v>
      </c>
      <c r="I118" s="20">
        <f>(4412.4*(L8))</f>
        <v>23606.339999999997</v>
      </c>
      <c r="J118" s="20">
        <f>(4463.98*(L8))</f>
        <v>23882.292999999998</v>
      </c>
      <c r="K118" s="20">
        <f>(4601.53*(L8))</f>
        <v>24618.185499999996</v>
      </c>
      <c r="L118" s="20">
        <f>(4687.49*(L8))</f>
        <v>25078.071499999998</v>
      </c>
      <c r="M118" s="20">
        <f>(4790.65*(L8))</f>
        <v>25629.977499999997</v>
      </c>
      <c r="N118" s="20">
        <f>(4911*(L8))</f>
        <v>26273.85</v>
      </c>
      <c r="O118" s="20">
        <f>(5082.93*(L8))</f>
        <v>27193.675500000001</v>
      </c>
      <c r="P118" s="20">
        <f>(5168.89*(L8))</f>
        <v>27653.5615</v>
      </c>
      <c r="Q118" s="20">
        <f>(5512.75*(L8))</f>
        <v>29493.212499999998</v>
      </c>
    </row>
    <row r="119" spans="1:17" ht="12.75" customHeight="1" x14ac:dyDescent="0.2">
      <c r="A119" s="6"/>
      <c r="B119" s="95" t="s">
        <v>308</v>
      </c>
      <c r="C119" s="32" t="s">
        <v>1457</v>
      </c>
      <c r="D119" s="33"/>
      <c r="E119" s="33"/>
      <c r="F119" s="34"/>
      <c r="G119" s="20" t="s">
        <v>218</v>
      </c>
      <c r="H119" s="20">
        <f>(385.67*(L8))</f>
        <v>2063.3344999999999</v>
      </c>
      <c r="I119" s="20">
        <f>(405.85*(L8))</f>
        <v>2171.2975000000001</v>
      </c>
      <c r="J119" s="20">
        <f>(417.95*(L8))</f>
        <v>2236.0324999999998</v>
      </c>
      <c r="K119" s="20">
        <f>(450.23*(L8))</f>
        <v>2408.7305000000001</v>
      </c>
      <c r="L119" s="20">
        <f>(470.41*(L8))</f>
        <v>2516.6934999999999</v>
      </c>
      <c r="M119" s="20">
        <f>(494.62*(L8))</f>
        <v>2646.2169999999996</v>
      </c>
      <c r="N119" s="20">
        <f>(522.86*(L8))</f>
        <v>2797.3009999999999</v>
      </c>
      <c r="O119" s="20">
        <f>(563.21*(L8))</f>
        <v>3013.1734999999999</v>
      </c>
      <c r="P119" s="20">
        <f>(583.39*(L8))</f>
        <v>3121.1364999999996</v>
      </c>
      <c r="Q119" s="20">
        <f>(664.09*(L8))</f>
        <v>3552.8815</v>
      </c>
    </row>
    <row r="120" spans="1:17" ht="30" customHeight="1" x14ac:dyDescent="0.35">
      <c r="A120" s="6"/>
      <c r="B120" s="23" t="s">
        <v>309</v>
      </c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5"/>
    </row>
    <row r="121" spans="1:17" ht="12.75" customHeight="1" x14ac:dyDescent="0.2">
      <c r="A121" s="7" t="s">
        <v>6</v>
      </c>
      <c r="B121" s="8" t="s">
        <v>7</v>
      </c>
      <c r="C121" s="8" t="s">
        <v>8</v>
      </c>
      <c r="D121" s="8" t="s">
        <v>9</v>
      </c>
      <c r="E121" s="8" t="s">
        <v>10</v>
      </c>
      <c r="F121" s="8" t="s">
        <v>11</v>
      </c>
      <c r="G121" s="8" t="s">
        <v>12</v>
      </c>
      <c r="H121" s="8" t="s">
        <v>13</v>
      </c>
      <c r="I121" s="8" t="s">
        <v>14</v>
      </c>
      <c r="J121" s="8" t="s">
        <v>15</v>
      </c>
      <c r="K121" s="8" t="s">
        <v>16</v>
      </c>
      <c r="L121" s="8" t="s">
        <v>17</v>
      </c>
      <c r="M121" s="8" t="s">
        <v>18</v>
      </c>
      <c r="N121" s="8" t="s">
        <v>19</v>
      </c>
      <c r="O121" s="8" t="s">
        <v>20</v>
      </c>
      <c r="P121" s="8" t="s">
        <v>21</v>
      </c>
      <c r="Q121" s="8" t="s">
        <v>22</v>
      </c>
    </row>
    <row r="122" spans="1:17" ht="12.75" customHeight="1" x14ac:dyDescent="0.2">
      <c r="A122" s="6"/>
      <c r="B122" s="10" t="s">
        <v>310</v>
      </c>
      <c r="C122" s="20" t="s">
        <v>26</v>
      </c>
      <c r="D122" s="96" t="s">
        <v>311</v>
      </c>
      <c r="E122" s="20" t="s">
        <v>312</v>
      </c>
      <c r="F122" s="20" t="s">
        <v>276</v>
      </c>
      <c r="G122" s="20" t="s">
        <v>38</v>
      </c>
      <c r="H122" s="20">
        <f>(3098.5*(L8))</f>
        <v>16576.974999999999</v>
      </c>
      <c r="I122" s="20">
        <f>(3168.68*(L8))</f>
        <v>16952.437999999998</v>
      </c>
      <c r="J122" s="20">
        <f>(3210.79*(L8))</f>
        <v>17177.726499999997</v>
      </c>
      <c r="K122" s="20">
        <f>(3323.07*(L8))</f>
        <v>17778.424500000001</v>
      </c>
      <c r="L122" s="20">
        <f>(3393.24*(L8))</f>
        <v>18153.833999999999</v>
      </c>
      <c r="M122" s="20">
        <f>(3477.45*(L8))</f>
        <v>18604.357499999998</v>
      </c>
      <c r="N122" s="20">
        <f>(3575.7*(L8))</f>
        <v>19129.994999999999</v>
      </c>
      <c r="O122" s="20">
        <f>(3716.05*(L8))</f>
        <v>19880.8675</v>
      </c>
      <c r="P122" s="20">
        <f>(3786.22*(L8))</f>
        <v>20256.276999999998</v>
      </c>
      <c r="Q122" s="20">
        <f>(4066.93*(L8))</f>
        <v>21758.075499999999</v>
      </c>
    </row>
    <row r="123" spans="1:17" ht="12.75" customHeight="1" x14ac:dyDescent="0.2">
      <c r="A123" s="6"/>
      <c r="B123" s="10" t="s">
        <v>313</v>
      </c>
      <c r="C123" s="20" t="s">
        <v>314</v>
      </c>
      <c r="D123" s="96" t="s">
        <v>311</v>
      </c>
      <c r="E123" s="20" t="s">
        <v>312</v>
      </c>
      <c r="F123" s="20" t="s">
        <v>276</v>
      </c>
      <c r="G123" s="20" t="s">
        <v>42</v>
      </c>
      <c r="H123" s="20">
        <f>(3256.01*(L8))</f>
        <v>17419.6535</v>
      </c>
      <c r="I123" s="20">
        <f>(3334.96*(L8))</f>
        <v>17842.036</v>
      </c>
      <c r="J123" s="20">
        <f>(3382.33*(L8))</f>
        <v>18095.465499999998</v>
      </c>
      <c r="K123" s="20">
        <f>(3508.64*(L8))</f>
        <v>18771.223999999998</v>
      </c>
      <c r="L123" s="20">
        <f>(3587.59*(L8))</f>
        <v>19193.606499999998</v>
      </c>
      <c r="M123" s="20">
        <f>(3682.33*(L8))</f>
        <v>19700.465499999998</v>
      </c>
      <c r="N123" s="20">
        <f>(3792.86*(L8))</f>
        <v>20291.800999999999</v>
      </c>
      <c r="O123" s="20">
        <f>(3950.75*(L8))</f>
        <v>21136.512499999997</v>
      </c>
      <c r="P123" s="20">
        <f>(4029.7*(L8))</f>
        <v>21558.894999999997</v>
      </c>
      <c r="Q123" s="20">
        <f>(4345.49*(L8))</f>
        <v>23248.371499999997</v>
      </c>
    </row>
    <row r="124" spans="1:17" ht="12.75" customHeight="1" x14ac:dyDescent="0.2">
      <c r="A124" s="6"/>
      <c r="B124" s="10" t="s">
        <v>315</v>
      </c>
      <c r="C124" s="20" t="s">
        <v>316</v>
      </c>
      <c r="D124" s="96" t="s">
        <v>311</v>
      </c>
      <c r="E124" s="20" t="s">
        <v>312</v>
      </c>
      <c r="F124" s="20" t="s">
        <v>276</v>
      </c>
      <c r="G124" s="20" t="s">
        <v>152</v>
      </c>
      <c r="H124" s="20">
        <f>(3400.04*(L8))</f>
        <v>18190.214</v>
      </c>
      <c r="I124" s="20">
        <f>(3487.76*(L8))</f>
        <v>18659.516</v>
      </c>
      <c r="J124" s="20">
        <f>(3540.39*(L8))</f>
        <v>18941.086499999998</v>
      </c>
      <c r="K124" s="20">
        <f>(3680.74*(L8))</f>
        <v>19691.958999999999</v>
      </c>
      <c r="L124" s="20">
        <f>(3768.46*(L8))</f>
        <v>20161.260999999999</v>
      </c>
      <c r="M124" s="20">
        <f>(3873.72*(L8))</f>
        <v>20724.401999999998</v>
      </c>
      <c r="N124" s="20">
        <f>(3996.53*(L8))</f>
        <v>21381.4355</v>
      </c>
      <c r="O124" s="20">
        <f>(4171.97*(L8))</f>
        <v>22320.039499999999</v>
      </c>
      <c r="P124" s="20">
        <f>(4259.69*(L8))</f>
        <v>22789.341499999995</v>
      </c>
      <c r="Q124" s="20">
        <f>(4610.57*(L8))</f>
        <v>24666.549499999997</v>
      </c>
    </row>
    <row r="125" spans="1:17" ht="12.75" customHeight="1" x14ac:dyDescent="0.2">
      <c r="A125" s="6"/>
      <c r="B125" s="10" t="s">
        <v>317</v>
      </c>
      <c r="C125" s="20" t="s">
        <v>318</v>
      </c>
      <c r="D125" s="96" t="s">
        <v>311</v>
      </c>
      <c r="E125" s="20" t="s">
        <v>312</v>
      </c>
      <c r="F125" s="20" t="s">
        <v>276</v>
      </c>
      <c r="G125" s="20" t="s">
        <v>154</v>
      </c>
      <c r="H125" s="20">
        <f>(3530.29*(L8))</f>
        <v>18887.051499999998</v>
      </c>
      <c r="I125" s="20">
        <f>(3618.01*(L8))</f>
        <v>19356.353500000001</v>
      </c>
      <c r="J125" s="20">
        <f>(3670.64*(L8))</f>
        <v>19637.923999999999</v>
      </c>
      <c r="K125" s="20">
        <f>(3810.99*(L8))</f>
        <v>20388.796499999997</v>
      </c>
      <c r="L125" s="20">
        <f>(3898.71*(L8))</f>
        <v>20858.0985</v>
      </c>
      <c r="M125" s="20">
        <f>(4003.98*(L8))</f>
        <v>21421.292999999998</v>
      </c>
      <c r="N125" s="20">
        <f>(4126.78*(L8))</f>
        <v>22078.272999999997</v>
      </c>
      <c r="O125" s="20">
        <f>(4302.22*(L8))</f>
        <v>23016.877</v>
      </c>
      <c r="P125" s="20">
        <f>(4389.94*(L8))</f>
        <v>23486.178999999996</v>
      </c>
      <c r="Q125" s="20">
        <f>(4740.82*(L8))</f>
        <v>25363.386999999995</v>
      </c>
    </row>
    <row r="126" spans="1:17" ht="12.75" customHeight="1" x14ac:dyDescent="0.2">
      <c r="A126" s="6"/>
      <c r="B126" s="10" t="s">
        <v>319</v>
      </c>
      <c r="C126" s="20" t="s">
        <v>320</v>
      </c>
      <c r="D126" s="96" t="s">
        <v>321</v>
      </c>
      <c r="E126" s="20" t="s">
        <v>312</v>
      </c>
      <c r="F126" s="20" t="s">
        <v>276</v>
      </c>
      <c r="G126" s="20" t="s">
        <v>152</v>
      </c>
      <c r="H126" s="20">
        <f>(3356.12*(L8))</f>
        <v>17955.241999999998</v>
      </c>
      <c r="I126" s="20">
        <f>(3439.45*(L8))</f>
        <v>18401.057499999999</v>
      </c>
      <c r="J126" s="20">
        <f>(3489.45*(L8))</f>
        <v>18668.557499999999</v>
      </c>
      <c r="K126" s="20">
        <f>(3622.78*(L8))</f>
        <v>19381.873</v>
      </c>
      <c r="L126" s="20">
        <f>(3706.12*(L8))</f>
        <v>19827.741999999998</v>
      </c>
      <c r="M126" s="20">
        <f>(3806.12*(L8))</f>
        <v>20362.741999999998</v>
      </c>
      <c r="N126" s="20">
        <f>(3922.78*(L8))</f>
        <v>20986.873</v>
      </c>
      <c r="O126" s="20">
        <f>(4089.45*(L8))</f>
        <v>21878.557499999999</v>
      </c>
      <c r="P126" s="20">
        <f>(4172.78*(L8))</f>
        <v>22324.372999999996</v>
      </c>
      <c r="Q126" s="20">
        <f>(4506.12*(L8))</f>
        <v>24107.741999999998</v>
      </c>
    </row>
    <row r="127" spans="1:17" ht="12.75" customHeight="1" x14ac:dyDescent="0.2">
      <c r="A127" s="6"/>
      <c r="B127" s="10" t="s">
        <v>322</v>
      </c>
      <c r="C127" s="20" t="s">
        <v>26</v>
      </c>
      <c r="D127" s="96" t="s">
        <v>323</v>
      </c>
      <c r="E127" s="20" t="s">
        <v>312</v>
      </c>
      <c r="F127" s="20" t="s">
        <v>276</v>
      </c>
      <c r="G127" s="20" t="s">
        <v>42</v>
      </c>
      <c r="H127" s="20">
        <f>(3304.09*(L8))</f>
        <v>17676.8815</v>
      </c>
      <c r="I127" s="20">
        <f>(3378.65*(L8))</f>
        <v>18075.7775</v>
      </c>
      <c r="J127" s="20">
        <f>(3423.39*(L8))</f>
        <v>18315.136499999997</v>
      </c>
      <c r="K127" s="20">
        <f>(3542.69*(L8))</f>
        <v>18953.391499999998</v>
      </c>
      <c r="L127" s="20">
        <f>(3617.25*(L8))</f>
        <v>19352.287499999999</v>
      </c>
      <c r="M127" s="20">
        <f>(3706.72*(L8))</f>
        <v>19830.951999999997</v>
      </c>
      <c r="N127" s="20">
        <f>(3811.11*(L8))</f>
        <v>20389.4385</v>
      </c>
      <c r="O127" s="20">
        <f>(3960.23*(L8))</f>
        <v>21187.230499999998</v>
      </c>
      <c r="P127" s="20">
        <f>(4034.79*(L8))</f>
        <v>21586.126499999998</v>
      </c>
      <c r="Q127" s="20">
        <f>(4333.04*(L8))</f>
        <v>23181.763999999999</v>
      </c>
    </row>
    <row r="128" spans="1:17" ht="12.75" customHeight="1" x14ac:dyDescent="0.2">
      <c r="A128" s="6"/>
      <c r="B128" s="10" t="s">
        <v>324</v>
      </c>
      <c r="C128" s="20" t="s">
        <v>314</v>
      </c>
      <c r="D128" s="96" t="s">
        <v>323</v>
      </c>
      <c r="E128" s="20" t="s">
        <v>312</v>
      </c>
      <c r="F128" s="20" t="s">
        <v>276</v>
      </c>
      <c r="G128" s="20" t="s">
        <v>152</v>
      </c>
      <c r="H128" s="20">
        <f>(3489.5*(L8))</f>
        <v>18668.824999999997</v>
      </c>
      <c r="I128" s="20">
        <f>(3568.45*(L8))</f>
        <v>19091.207499999997</v>
      </c>
      <c r="J128" s="20">
        <f>(3615.82*(L8))</f>
        <v>19344.636999999999</v>
      </c>
      <c r="K128" s="20">
        <f>(3742.13*(L8))</f>
        <v>20020.395499999999</v>
      </c>
      <c r="L128" s="20">
        <f>(3821.08*(L8))</f>
        <v>20442.777999999998</v>
      </c>
      <c r="M128" s="20">
        <f>(3915.82*(L8))</f>
        <v>20949.636999999999</v>
      </c>
      <c r="N128" s="20">
        <f>(4026.34*(L8))</f>
        <v>21540.918999999998</v>
      </c>
      <c r="O128" s="20">
        <f>(4184.24*(L8))</f>
        <v>22385.683999999997</v>
      </c>
      <c r="P128" s="20">
        <f>(4263.19*(L8))</f>
        <v>22808.066499999997</v>
      </c>
      <c r="Q128" s="20">
        <f>(4578.97*(L8))</f>
        <v>24497.4895</v>
      </c>
    </row>
    <row r="129" spans="1:17" ht="12.75" customHeight="1" x14ac:dyDescent="0.2">
      <c r="A129" s="6"/>
      <c r="B129" s="10" t="s">
        <v>325</v>
      </c>
      <c r="C129" s="20" t="s">
        <v>316</v>
      </c>
      <c r="D129" s="96" t="s">
        <v>323</v>
      </c>
      <c r="E129" s="20" t="s">
        <v>312</v>
      </c>
      <c r="F129" s="20" t="s">
        <v>276</v>
      </c>
      <c r="G129" s="20" t="s">
        <v>154</v>
      </c>
      <c r="H129" s="20">
        <f>(3606.28*(L8))</f>
        <v>19293.597999999998</v>
      </c>
      <c r="I129" s="20">
        <f>(3694*(L8))</f>
        <v>19762.899999999998</v>
      </c>
      <c r="J129" s="20">
        <f>(3746.64*(L8))</f>
        <v>20044.523999999998</v>
      </c>
      <c r="K129" s="20">
        <f>(3886.99*(L8))</f>
        <v>20795.396499999999</v>
      </c>
      <c r="L129" s="20">
        <f>(3974.71*(L8))</f>
        <v>21264.698499999999</v>
      </c>
      <c r="M129" s="20">
        <f>(4079.97*(L8))</f>
        <v>21827.839499999998</v>
      </c>
      <c r="N129" s="20">
        <f>(4202.78*(L8))</f>
        <v>22484.872999999996</v>
      </c>
      <c r="O129" s="20">
        <f>(4378.21*(L8))</f>
        <v>23423.423499999997</v>
      </c>
      <c r="P129" s="20">
        <f>(4465.93*(L8))</f>
        <v>23892.7255</v>
      </c>
      <c r="Q129" s="20">
        <f>(4816.81*(L8))</f>
        <v>25769.933499999999</v>
      </c>
    </row>
    <row r="130" spans="1:17" ht="12.75" customHeight="1" x14ac:dyDescent="0.2">
      <c r="A130" s="6"/>
      <c r="B130" s="10" t="s">
        <v>326</v>
      </c>
      <c r="C130" s="20" t="s">
        <v>85</v>
      </c>
      <c r="D130" s="96" t="s">
        <v>327</v>
      </c>
      <c r="E130" s="20" t="s">
        <v>312</v>
      </c>
      <c r="F130" s="20" t="s">
        <v>276</v>
      </c>
      <c r="G130" s="20" t="s">
        <v>154</v>
      </c>
      <c r="H130" s="20">
        <f>(3029.63*(L8))</f>
        <v>16208.520499999999</v>
      </c>
      <c r="I130" s="20">
        <f>(3112.96*(L8))</f>
        <v>16654.335999999999</v>
      </c>
      <c r="J130" s="20">
        <f>(3162.96*(L8))</f>
        <v>16921.835999999999</v>
      </c>
      <c r="K130" s="20">
        <f>(3296.29*(L8))</f>
        <v>17635.1515</v>
      </c>
      <c r="L130" s="20">
        <f>(3379.63*(L8))</f>
        <v>18081.020499999999</v>
      </c>
      <c r="M130" s="20">
        <f>(3479.63*(L8))</f>
        <v>18616.020499999999</v>
      </c>
      <c r="N130" s="20">
        <f>(3596.29*(L8))</f>
        <v>19240.1515</v>
      </c>
      <c r="O130" s="20">
        <f>(3762.96*(L8))</f>
        <v>20131.835999999999</v>
      </c>
      <c r="P130" s="20">
        <f>(3846.29*(L8))</f>
        <v>20577.6515</v>
      </c>
      <c r="Q130" s="20">
        <f>(4179.63*(L8))</f>
        <v>22361.020499999999</v>
      </c>
    </row>
    <row r="131" spans="1:17" ht="12.75" customHeight="1" x14ac:dyDescent="0.2">
      <c r="A131" s="6"/>
      <c r="B131" s="10" t="s">
        <v>328</v>
      </c>
      <c r="C131" s="20" t="s">
        <v>275</v>
      </c>
      <c r="D131" s="96" t="s">
        <v>311</v>
      </c>
      <c r="E131" s="20" t="s">
        <v>312</v>
      </c>
      <c r="F131" s="20" t="s">
        <v>27</v>
      </c>
      <c r="G131" s="20" t="s">
        <v>35</v>
      </c>
      <c r="H131" s="20">
        <f>(2780.06*(L8))</f>
        <v>14873.320999999998</v>
      </c>
      <c r="I131" s="20">
        <f>(2841.47*(L8))</f>
        <v>15201.864499999998</v>
      </c>
      <c r="J131" s="20">
        <f>(2878.31*(L8))</f>
        <v>15398.958499999999</v>
      </c>
      <c r="K131" s="20">
        <f>(2976.55*(L8))</f>
        <v>15924.5425</v>
      </c>
      <c r="L131" s="20">
        <f>(3037.96*(L8))</f>
        <v>16253.085999999999</v>
      </c>
      <c r="M131" s="20">
        <f>(3111.64*(L8))</f>
        <v>16647.273999999998</v>
      </c>
      <c r="N131" s="20">
        <f>(3197.61*(L8))</f>
        <v>17107.213499999998</v>
      </c>
      <c r="O131" s="20">
        <f>(3320.41*(L8))</f>
        <v>17764.193499999998</v>
      </c>
      <c r="P131" s="20">
        <f>(3381.82*(L8))</f>
        <v>18092.737000000001</v>
      </c>
      <c r="Q131" s="20">
        <f>(3627.43*(L8))</f>
        <v>19406.750499999998</v>
      </c>
    </row>
    <row r="132" spans="1:17" ht="12.75" customHeight="1" x14ac:dyDescent="0.2">
      <c r="A132" s="6"/>
      <c r="B132" s="10" t="s">
        <v>329</v>
      </c>
      <c r="C132" s="20" t="s">
        <v>330</v>
      </c>
      <c r="D132" s="96" t="s">
        <v>311</v>
      </c>
      <c r="E132" s="20" t="s">
        <v>312</v>
      </c>
      <c r="F132" s="20" t="s">
        <v>27</v>
      </c>
      <c r="G132" s="20" t="s">
        <v>54</v>
      </c>
      <c r="H132" s="20">
        <f>(2877.6*(L8))</f>
        <v>15395.159999999998</v>
      </c>
      <c r="I132" s="20">
        <f>(2943.39*(L8))</f>
        <v>15747.136499999999</v>
      </c>
      <c r="J132" s="20">
        <f>(2982.86*(L8))</f>
        <v>15958.300999999999</v>
      </c>
      <c r="K132" s="20">
        <f>(3088.13*(L8))</f>
        <v>16521.495500000001</v>
      </c>
      <c r="L132" s="20">
        <f>(3153.92*(L8))</f>
        <v>16873.471999999998</v>
      </c>
      <c r="M132" s="20">
        <f>(3232.86*(L8))</f>
        <v>17295.800999999999</v>
      </c>
      <c r="N132" s="20">
        <f>(3324.97*(L8))</f>
        <v>17788.589499999998</v>
      </c>
      <c r="O132" s="20">
        <f>(3456.55*(L8))</f>
        <v>18492.5425</v>
      </c>
      <c r="P132" s="20">
        <f>(3522.34*(L8))</f>
        <v>18844.519</v>
      </c>
      <c r="Q132" s="20">
        <f>(3785.49*(L8))</f>
        <v>20252.371499999997</v>
      </c>
    </row>
    <row r="133" spans="1:17" ht="12.75" customHeight="1" x14ac:dyDescent="0.2">
      <c r="A133" s="6"/>
      <c r="B133" s="10" t="s">
        <v>331</v>
      </c>
      <c r="C133" s="20" t="s">
        <v>79</v>
      </c>
      <c r="D133" s="96" t="s">
        <v>311</v>
      </c>
      <c r="E133" s="20" t="s">
        <v>312</v>
      </c>
      <c r="F133" s="20" t="s">
        <v>27</v>
      </c>
      <c r="G133" s="20" t="s">
        <v>38</v>
      </c>
      <c r="H133" s="20">
        <f>(2976.8*(L8))</f>
        <v>15925.88</v>
      </c>
      <c r="I133" s="20">
        <f>(3046.98*(L8))</f>
        <v>16301.342999999999</v>
      </c>
      <c r="J133" s="20">
        <f>(3089.09*(L8))</f>
        <v>16526.6315</v>
      </c>
      <c r="K133" s="20">
        <f>(3201.37*(L8))</f>
        <v>17127.3295</v>
      </c>
      <c r="L133" s="20">
        <f>(3271.54*(L8))</f>
        <v>17502.738999999998</v>
      </c>
      <c r="M133" s="20">
        <f>(3355.75*(L8))</f>
        <v>17953.262499999997</v>
      </c>
      <c r="N133" s="20">
        <f>(3454*(L8))</f>
        <v>18478.899999999998</v>
      </c>
      <c r="O133" s="20">
        <f>(3594.35*(L8))</f>
        <v>19229.772499999999</v>
      </c>
      <c r="P133" s="20">
        <f>(3664.52*(L8))</f>
        <v>19605.181999999997</v>
      </c>
      <c r="Q133" s="20">
        <f>(3945.23*(L8))</f>
        <v>21106.980499999998</v>
      </c>
    </row>
    <row r="134" spans="1:17" ht="12.75" customHeight="1" x14ac:dyDescent="0.2">
      <c r="A134" s="6"/>
      <c r="B134" s="10" t="s">
        <v>332</v>
      </c>
      <c r="C134" s="20" t="s">
        <v>333</v>
      </c>
      <c r="D134" s="96" t="s">
        <v>311</v>
      </c>
      <c r="E134" s="20" t="s">
        <v>312</v>
      </c>
      <c r="F134" s="20" t="s">
        <v>27</v>
      </c>
      <c r="G134" s="20" t="s">
        <v>42</v>
      </c>
      <c r="H134" s="20">
        <f>(3212.78*(L8))</f>
        <v>17188.373</v>
      </c>
      <c r="I134" s="20">
        <f>(3291.73*(L8))</f>
        <v>17610.755499999999</v>
      </c>
      <c r="J134" s="20">
        <f>(3339.1*(L8))</f>
        <v>17864.184999999998</v>
      </c>
      <c r="K134" s="20">
        <f>(3465.41*(L8))</f>
        <v>18539.943499999998</v>
      </c>
      <c r="L134" s="20">
        <f>(3544.36*(L8))</f>
        <v>18962.326000000001</v>
      </c>
      <c r="M134" s="20">
        <f>(3639.1*(L8))</f>
        <v>19469.184999999998</v>
      </c>
      <c r="N134" s="20">
        <f>(3749.62*(L8))</f>
        <v>20060.466999999997</v>
      </c>
      <c r="O134" s="20">
        <f>(3907.52*(L8))</f>
        <v>20905.232</v>
      </c>
      <c r="P134" s="20">
        <f>(3986.47*(L8))</f>
        <v>21327.614499999996</v>
      </c>
      <c r="Q134" s="20">
        <f>(4302.26*(L8))</f>
        <v>23017.091</v>
      </c>
    </row>
    <row r="135" spans="1:17" s="105" customFormat="1" ht="12.75" customHeight="1" x14ac:dyDescent="0.2">
      <c r="A135" s="97"/>
      <c r="B135" s="98" t="s">
        <v>334</v>
      </c>
      <c r="C135" s="99"/>
      <c r="D135" s="100"/>
      <c r="E135" s="100"/>
      <c r="F135" s="100"/>
      <c r="G135" s="101"/>
      <c r="H135" s="102">
        <f>(1615*(L8))</f>
        <v>8640.25</v>
      </c>
      <c r="I135" s="103"/>
      <c r="J135" s="103"/>
      <c r="K135" s="103"/>
      <c r="L135" s="103"/>
      <c r="M135" s="103"/>
      <c r="N135" s="103"/>
      <c r="O135" s="103"/>
      <c r="P135" s="103"/>
      <c r="Q135" s="104"/>
    </row>
    <row r="136" spans="1:17" s="105" customFormat="1" ht="12.75" customHeight="1" x14ac:dyDescent="0.2">
      <c r="A136" s="97"/>
      <c r="B136" s="98" t="s">
        <v>335</v>
      </c>
      <c r="C136" s="99"/>
      <c r="D136" s="100"/>
      <c r="E136" s="100"/>
      <c r="F136" s="100"/>
      <c r="G136" s="101"/>
      <c r="H136" s="102">
        <f>(2780*(L8))</f>
        <v>14872.999999999998</v>
      </c>
      <c r="I136" s="103"/>
      <c r="J136" s="103"/>
      <c r="K136" s="103"/>
      <c r="L136" s="103"/>
      <c r="M136" s="103"/>
      <c r="N136" s="103"/>
      <c r="O136" s="103"/>
      <c r="P136" s="103"/>
      <c r="Q136" s="104"/>
    </row>
    <row r="137" spans="1:17" s="105" customFormat="1" ht="12.75" customHeight="1" x14ac:dyDescent="0.2">
      <c r="A137" s="97"/>
      <c r="B137" s="98" t="s">
        <v>336</v>
      </c>
      <c r="C137" s="99"/>
      <c r="D137" s="100"/>
      <c r="E137" s="100"/>
      <c r="F137" s="100"/>
      <c r="G137" s="101"/>
      <c r="H137" s="102">
        <f>(3970*(L8))</f>
        <v>21239.5</v>
      </c>
      <c r="I137" s="103"/>
      <c r="J137" s="103"/>
      <c r="K137" s="103"/>
      <c r="L137" s="103"/>
      <c r="M137" s="103"/>
      <c r="N137" s="103"/>
      <c r="O137" s="103"/>
      <c r="P137" s="103"/>
      <c r="Q137" s="104"/>
    </row>
    <row r="138" spans="1:17" s="105" customFormat="1" ht="12.75" customHeight="1" x14ac:dyDescent="0.2">
      <c r="A138" s="97"/>
      <c r="B138" s="16" t="s">
        <v>337</v>
      </c>
      <c r="C138" s="106" t="s">
        <v>338</v>
      </c>
      <c r="D138" s="106"/>
      <c r="E138" s="106"/>
      <c r="F138" s="106"/>
      <c r="G138" s="106"/>
      <c r="H138" s="38">
        <f>(524.56*($L$8))</f>
        <v>2806.3959999999997</v>
      </c>
      <c r="I138" s="38"/>
      <c r="J138" s="38"/>
      <c r="K138" s="38"/>
      <c r="L138" s="38"/>
      <c r="M138" s="38"/>
      <c r="N138" s="38"/>
      <c r="O138" s="38"/>
      <c r="P138" s="38"/>
      <c r="Q138" s="38"/>
    </row>
    <row r="139" spans="1:17" s="105" customFormat="1" ht="12.75" customHeight="1" x14ac:dyDescent="0.2">
      <c r="A139" s="97"/>
      <c r="B139" s="16" t="s">
        <v>339</v>
      </c>
      <c r="C139" s="106" t="s">
        <v>338</v>
      </c>
      <c r="D139" s="106"/>
      <c r="E139" s="106"/>
      <c r="F139" s="106"/>
      <c r="G139" s="106"/>
      <c r="H139" s="38">
        <f>(592.11*($L$8))</f>
        <v>3167.7884999999997</v>
      </c>
      <c r="I139" s="38"/>
      <c r="J139" s="38"/>
      <c r="K139" s="38"/>
      <c r="L139" s="38"/>
      <c r="M139" s="38"/>
      <c r="N139" s="38"/>
      <c r="O139" s="38"/>
      <c r="P139" s="38"/>
      <c r="Q139" s="38"/>
    </row>
    <row r="140" spans="1:17" s="105" customFormat="1" ht="12.75" customHeight="1" x14ac:dyDescent="0.2">
      <c r="A140" s="97"/>
      <c r="B140" s="16" t="s">
        <v>340</v>
      </c>
      <c r="C140" s="106" t="s">
        <v>338</v>
      </c>
      <c r="D140" s="106"/>
      <c r="E140" s="106"/>
      <c r="F140" s="106"/>
      <c r="G140" s="106"/>
      <c r="H140" s="38">
        <f>(661.4*($L$8))</f>
        <v>3538.49</v>
      </c>
      <c r="I140" s="38"/>
      <c r="J140" s="38"/>
      <c r="K140" s="38"/>
      <c r="L140" s="38"/>
      <c r="M140" s="38"/>
      <c r="N140" s="38"/>
      <c r="O140" s="38"/>
      <c r="P140" s="38"/>
      <c r="Q140" s="38"/>
    </row>
    <row r="141" spans="1:17" s="105" customFormat="1" ht="12.75" customHeight="1" x14ac:dyDescent="0.2">
      <c r="A141" s="97"/>
      <c r="B141" s="16" t="s">
        <v>341</v>
      </c>
      <c r="C141" s="106" t="s">
        <v>338</v>
      </c>
      <c r="D141" s="106"/>
      <c r="E141" s="106"/>
      <c r="F141" s="106"/>
      <c r="G141" s="106"/>
      <c r="H141" s="38">
        <f>(728.47*($L$8))</f>
        <v>3897.3145</v>
      </c>
      <c r="I141" s="38"/>
      <c r="J141" s="38"/>
      <c r="K141" s="38"/>
      <c r="L141" s="38"/>
      <c r="M141" s="38"/>
      <c r="N141" s="38"/>
      <c r="O141" s="38"/>
      <c r="P141" s="38"/>
      <c r="Q141" s="38"/>
    </row>
    <row r="142" spans="1:17" ht="30" customHeight="1" x14ac:dyDescent="0.35">
      <c r="A142" s="6"/>
      <c r="B142" s="23" t="s">
        <v>342</v>
      </c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5"/>
    </row>
    <row r="143" spans="1:17" ht="12.75" customHeight="1" x14ac:dyDescent="0.2">
      <c r="A143" s="7" t="s">
        <v>6</v>
      </c>
      <c r="B143" s="8" t="s">
        <v>7</v>
      </c>
      <c r="C143" s="8" t="s">
        <v>8</v>
      </c>
      <c r="D143" s="8" t="s">
        <v>9</v>
      </c>
      <c r="E143" s="8" t="s">
        <v>10</v>
      </c>
      <c r="F143" s="8" t="s">
        <v>11</v>
      </c>
      <c r="G143" s="8" t="s">
        <v>12</v>
      </c>
      <c r="H143" s="8" t="s">
        <v>13</v>
      </c>
      <c r="I143" s="8" t="s">
        <v>14</v>
      </c>
      <c r="J143" s="8" t="s">
        <v>15</v>
      </c>
      <c r="K143" s="8" t="s">
        <v>16</v>
      </c>
      <c r="L143" s="8" t="s">
        <v>17</v>
      </c>
      <c r="M143" s="8" t="s">
        <v>18</v>
      </c>
      <c r="N143" s="8" t="s">
        <v>19</v>
      </c>
      <c r="O143" s="8" t="s">
        <v>20</v>
      </c>
      <c r="P143" s="8" t="s">
        <v>21</v>
      </c>
      <c r="Q143" s="8" t="s">
        <v>22</v>
      </c>
    </row>
    <row r="144" spans="1:17" ht="12.75" customHeight="1" x14ac:dyDescent="0.2">
      <c r="A144" s="6"/>
      <c r="B144" s="10" t="s">
        <v>343</v>
      </c>
      <c r="C144" s="20" t="s">
        <v>58</v>
      </c>
      <c r="D144" s="20" t="s">
        <v>344</v>
      </c>
      <c r="E144" s="20" t="s">
        <v>256</v>
      </c>
      <c r="F144" s="20" t="s">
        <v>345</v>
      </c>
      <c r="G144" s="20" t="s">
        <v>154</v>
      </c>
      <c r="H144" s="20">
        <f>(4439.53*(L8))</f>
        <v>23751.485499999999</v>
      </c>
      <c r="I144" s="20">
        <f>(4527.25*(L8))</f>
        <v>24220.787499999999</v>
      </c>
      <c r="J144" s="20">
        <f>(4579.88*(L8))</f>
        <v>24502.358</v>
      </c>
      <c r="K144" s="20">
        <f>(4720.23*(L8))</f>
        <v>25253.230499999994</v>
      </c>
      <c r="L144" s="20">
        <f>(4807.95*(L8))</f>
        <v>25722.532499999998</v>
      </c>
      <c r="M144" s="20">
        <f>(4913.21*(L8))</f>
        <v>26285.673499999997</v>
      </c>
      <c r="N144" s="20">
        <f>(5036.02*(L8))</f>
        <v>26942.707000000002</v>
      </c>
      <c r="O144" s="20">
        <f>(5211.46*(L8))</f>
        <v>27881.310999999998</v>
      </c>
      <c r="P144" s="20">
        <f>(5299.18*(L8))</f>
        <v>28350.613000000001</v>
      </c>
      <c r="Q144" s="20">
        <f>(5650.06*(L8))</f>
        <v>30227.821</v>
      </c>
    </row>
    <row r="145" spans="1:17" ht="12.75" customHeight="1" x14ac:dyDescent="0.2">
      <c r="A145" s="6"/>
      <c r="B145" s="10" t="s">
        <v>346</v>
      </c>
      <c r="C145" s="20" t="s">
        <v>347</v>
      </c>
      <c r="D145" s="20" t="s">
        <v>344</v>
      </c>
      <c r="E145" s="20" t="s">
        <v>256</v>
      </c>
      <c r="F145" s="20" t="s">
        <v>345</v>
      </c>
      <c r="G145" s="20" t="s">
        <v>160</v>
      </c>
      <c r="H145" s="20">
        <f>(4597.43*(L8))</f>
        <v>24596.250499999998</v>
      </c>
      <c r="I145" s="20">
        <f>(4693.92*(L8))</f>
        <v>25112.471999999998</v>
      </c>
      <c r="J145" s="20">
        <f>(4751.81*(L8))</f>
        <v>25422.183499999999</v>
      </c>
      <c r="K145" s="20">
        <f>(4906.2*(L8))</f>
        <v>26248.17</v>
      </c>
      <c r="L145" s="20">
        <f>(5002.69*(L8))</f>
        <v>26764.391499999994</v>
      </c>
      <c r="M145" s="20">
        <f>(5118.48*(L8))</f>
        <v>27383.867999999995</v>
      </c>
      <c r="N145" s="20">
        <f>(5253.57*(L8))</f>
        <v>28106.599499999997</v>
      </c>
      <c r="O145" s="20">
        <f>(5446.55*(L8))</f>
        <v>29139.0425</v>
      </c>
      <c r="P145" s="20">
        <f>(5543.04*(L8))</f>
        <v>29655.263999999999</v>
      </c>
      <c r="Q145" s="20">
        <f>(5929.01*(L8))</f>
        <v>31720.2035</v>
      </c>
    </row>
    <row r="146" spans="1:17" ht="12.75" customHeight="1" x14ac:dyDescent="0.2">
      <c r="A146" s="6"/>
      <c r="B146" s="10" t="s">
        <v>348</v>
      </c>
      <c r="C146" s="20" t="s">
        <v>349</v>
      </c>
      <c r="D146" s="20" t="s">
        <v>344</v>
      </c>
      <c r="E146" s="20" t="s">
        <v>256</v>
      </c>
      <c r="F146" s="20" t="s">
        <v>345</v>
      </c>
      <c r="G146" s="20" t="s">
        <v>182</v>
      </c>
      <c r="H146" s="20">
        <f>(4719.51*(L8))</f>
        <v>25249.378499999999</v>
      </c>
      <c r="I146" s="20">
        <f>(4820.39*(L8))</f>
        <v>25789.086500000001</v>
      </c>
      <c r="J146" s="20">
        <f>(4880.92*(L8))</f>
        <v>26112.921999999999</v>
      </c>
      <c r="K146" s="20">
        <f>(5042.32*(L8))</f>
        <v>26976.411999999997</v>
      </c>
      <c r="L146" s="20">
        <f>(5143.2*(L8))</f>
        <v>27516.12</v>
      </c>
      <c r="M146" s="20">
        <f>(5264.25*(L8))</f>
        <v>28163.737499999999</v>
      </c>
      <c r="N146" s="20">
        <f>(5405.48*(L8))</f>
        <v>28919.317999999996</v>
      </c>
      <c r="O146" s="20">
        <f>(5607.23*(L8))</f>
        <v>29998.680499999995</v>
      </c>
      <c r="P146" s="20">
        <f>(5708.11*(L8))</f>
        <v>30538.388499999997</v>
      </c>
      <c r="Q146" s="20">
        <f>(6111.62*(L8))</f>
        <v>32697.166999999998</v>
      </c>
    </row>
    <row r="147" spans="1:17" ht="12.75" customHeight="1" x14ac:dyDescent="0.2">
      <c r="A147" s="6"/>
      <c r="B147" s="10" t="s">
        <v>350</v>
      </c>
      <c r="C147" s="20" t="s">
        <v>351</v>
      </c>
      <c r="D147" s="20" t="s">
        <v>344</v>
      </c>
      <c r="E147" s="20" t="s">
        <v>256</v>
      </c>
      <c r="F147" s="20" t="s">
        <v>345</v>
      </c>
      <c r="G147" s="20" t="s">
        <v>229</v>
      </c>
      <c r="H147" s="20">
        <f>(4862.69*(L8))</f>
        <v>26015.391499999998</v>
      </c>
      <c r="I147" s="20">
        <f>(4972.34*(L8))</f>
        <v>26602.019</v>
      </c>
      <c r="J147" s="20">
        <f>(5038.13*(L8))</f>
        <v>26953.995499999997</v>
      </c>
      <c r="K147" s="20">
        <f>(5213.57*(L8))</f>
        <v>27892.599499999997</v>
      </c>
      <c r="L147" s="20">
        <f>(5323.22*(L8))</f>
        <v>28479.226999999999</v>
      </c>
      <c r="M147" s="20">
        <f>(5454.8*(L8))</f>
        <v>29183.18</v>
      </c>
      <c r="N147" s="20">
        <f>(5608.3*(L8))</f>
        <v>30004.404999999999</v>
      </c>
      <c r="O147" s="20">
        <f>(5827.6*(L8))</f>
        <v>31177.66</v>
      </c>
      <c r="P147" s="20">
        <f>(5937.25*(L8))</f>
        <v>31764.287499999999</v>
      </c>
      <c r="Q147" s="20">
        <f>(6375.85*(L8))</f>
        <v>34110.797500000001</v>
      </c>
    </row>
    <row r="148" spans="1:17" ht="12.75" customHeight="1" x14ac:dyDescent="0.2">
      <c r="A148" s="6"/>
      <c r="B148" s="10" t="s">
        <v>352</v>
      </c>
      <c r="C148" s="20" t="s">
        <v>58</v>
      </c>
      <c r="D148" s="20" t="s">
        <v>344</v>
      </c>
      <c r="E148" s="20" t="s">
        <v>256</v>
      </c>
      <c r="F148" s="20" t="s">
        <v>345</v>
      </c>
      <c r="G148" s="20" t="s">
        <v>154</v>
      </c>
      <c r="H148" s="20">
        <f>(4316.83*(L8))</f>
        <v>23095.040499999999</v>
      </c>
      <c r="I148" s="20">
        <f>(4395.78*(L8))</f>
        <v>23517.422999999999</v>
      </c>
      <c r="J148" s="20">
        <f>(4443.15*(L8))</f>
        <v>23770.852499999997</v>
      </c>
      <c r="K148" s="20">
        <f>(4569.46*(L8))</f>
        <v>24446.610999999997</v>
      </c>
      <c r="L148" s="20">
        <f>(4648.41*(L8))</f>
        <v>24868.993499999997</v>
      </c>
      <c r="M148" s="20">
        <f>(4743.15*(L8))</f>
        <v>25375.852499999997</v>
      </c>
      <c r="N148" s="20">
        <f>(4853.67*(L8))</f>
        <v>25967.1345</v>
      </c>
      <c r="O148" s="20">
        <f>(5011.57*(L8))</f>
        <v>26811.899499999996</v>
      </c>
      <c r="P148" s="20">
        <f>(5090.51*(L8))</f>
        <v>27234.228500000001</v>
      </c>
      <c r="Q148" s="20">
        <f>(5406.3*(L8))</f>
        <v>28923.704999999998</v>
      </c>
    </row>
    <row r="149" spans="1:17" ht="12.75" customHeight="1" x14ac:dyDescent="0.2">
      <c r="A149" s="6"/>
      <c r="B149" s="10" t="s">
        <v>353</v>
      </c>
      <c r="C149" s="20" t="s">
        <v>347</v>
      </c>
      <c r="D149" s="20" t="s">
        <v>344</v>
      </c>
      <c r="E149" s="20" t="s">
        <v>256</v>
      </c>
      <c r="F149" s="20" t="s">
        <v>345</v>
      </c>
      <c r="G149" s="20" t="s">
        <v>160</v>
      </c>
      <c r="H149" s="20">
        <f>(4518.94*(L8))</f>
        <v>24176.328999999998</v>
      </c>
      <c r="I149" s="20">
        <f>(4606.65*(L8))</f>
        <v>24645.577499999996</v>
      </c>
      <c r="J149" s="20">
        <f>(4659.29*(L8))</f>
        <v>24927.201499999999</v>
      </c>
      <c r="K149" s="20">
        <f>(4799.64*(L8))</f>
        <v>25678.074000000001</v>
      </c>
      <c r="L149" s="20">
        <f>(4887.36*(L8))</f>
        <v>26147.375999999997</v>
      </c>
      <c r="M149" s="20">
        <f>(4992.62*(L8))</f>
        <v>26710.516999999996</v>
      </c>
      <c r="N149" s="20">
        <f>(5115.43*(L8))</f>
        <v>27367.550500000001</v>
      </c>
      <c r="O149" s="20">
        <f>(5290.87*(L8))</f>
        <v>28306.154499999997</v>
      </c>
      <c r="P149" s="20">
        <f>(5378.58*(L8))</f>
        <v>28775.402999999998</v>
      </c>
      <c r="Q149" s="20">
        <f>(5729.46*(L8))</f>
        <v>30652.610999999997</v>
      </c>
    </row>
    <row r="150" spans="1:17" ht="12.75" customHeight="1" x14ac:dyDescent="0.2">
      <c r="A150" s="6"/>
      <c r="B150" s="10" t="s">
        <v>354</v>
      </c>
      <c r="C150" s="20" t="s">
        <v>349</v>
      </c>
      <c r="D150" s="20" t="s">
        <v>344</v>
      </c>
      <c r="E150" s="20" t="s">
        <v>256</v>
      </c>
      <c r="F150" s="20" t="s">
        <v>345</v>
      </c>
      <c r="G150" s="20" t="s">
        <v>182</v>
      </c>
      <c r="H150" s="20">
        <f>(4726.32*(L8))</f>
        <v>25285.811999999998</v>
      </c>
      <c r="I150" s="20">
        <f>(4818.43*(L8))</f>
        <v>25778.6005</v>
      </c>
      <c r="J150" s="20">
        <f>(4873.69*(L8))</f>
        <v>26074.241499999996</v>
      </c>
      <c r="K150" s="20">
        <f>(5021.06*(L8))</f>
        <v>26862.671000000002</v>
      </c>
      <c r="L150" s="20">
        <f>(5113.16*(L8))</f>
        <v>27355.405999999999</v>
      </c>
      <c r="M150" s="20">
        <f>(5223.69*(L8))</f>
        <v>27946.741499999996</v>
      </c>
      <c r="N150" s="20">
        <f>(5352.64*(L8))</f>
        <v>28636.624</v>
      </c>
      <c r="O150" s="20">
        <f>(5536.85*(L8))</f>
        <v>29622.147499999999</v>
      </c>
      <c r="P150" s="20">
        <f>(5628.95*(L8))</f>
        <v>30114.882499999996</v>
      </c>
      <c r="Q150" s="20">
        <f>(5997.37*(L8))</f>
        <v>32085.929499999998</v>
      </c>
    </row>
    <row r="151" spans="1:17" ht="12.75" customHeight="1" x14ac:dyDescent="0.2">
      <c r="A151" s="6"/>
      <c r="B151" s="10" t="s">
        <v>355</v>
      </c>
      <c r="C151" s="20" t="s">
        <v>351</v>
      </c>
      <c r="D151" s="20" t="s">
        <v>344</v>
      </c>
      <c r="E151" s="20" t="s">
        <v>256</v>
      </c>
      <c r="F151" s="20" t="s">
        <v>345</v>
      </c>
      <c r="G151" s="20" t="s">
        <v>229</v>
      </c>
      <c r="H151" s="20">
        <f>(4954.81*(L8))</f>
        <v>26508.233500000002</v>
      </c>
      <c r="I151" s="20">
        <f>(5055.69*(L8))</f>
        <v>27047.941499999997</v>
      </c>
      <c r="J151" s="20">
        <f>(5116.22*(L8))</f>
        <v>27371.776999999998</v>
      </c>
      <c r="K151" s="20">
        <f>(5277.62*(L8))</f>
        <v>28235.266999999996</v>
      </c>
      <c r="L151" s="20">
        <f>(5378.5*(L8))</f>
        <v>28774.974999999999</v>
      </c>
      <c r="M151" s="20">
        <f>(5499.55*(L8))</f>
        <v>29422.592499999999</v>
      </c>
      <c r="N151" s="20">
        <f>(5640.78*(L8))</f>
        <v>30178.172999999995</v>
      </c>
      <c r="O151" s="20">
        <f>(5842.53*(L8))</f>
        <v>31257.535499999998</v>
      </c>
      <c r="P151" s="20">
        <f>(5943.41*(L8))</f>
        <v>31797.243499999997</v>
      </c>
      <c r="Q151" s="20">
        <f>(6346.92*(L8))</f>
        <v>33956.021999999997</v>
      </c>
    </row>
    <row r="152" spans="1:17" ht="12.75" customHeight="1" x14ac:dyDescent="0.2">
      <c r="A152" s="6"/>
      <c r="B152" s="10" t="s">
        <v>356</v>
      </c>
      <c r="C152" s="20" t="s">
        <v>58</v>
      </c>
      <c r="D152" s="20" t="s">
        <v>344</v>
      </c>
      <c r="E152" s="20" t="s">
        <v>256</v>
      </c>
      <c r="F152" s="20" t="s">
        <v>345</v>
      </c>
      <c r="G152" s="20" t="s">
        <v>154</v>
      </c>
      <c r="H152" s="20">
        <f>(4603.6*(L8))</f>
        <v>24629.260000000002</v>
      </c>
      <c r="I152" s="20">
        <f>(4695.71*(L8))</f>
        <v>25122.048499999997</v>
      </c>
      <c r="J152" s="20">
        <f>(4750.97*(L8))</f>
        <v>25417.6895</v>
      </c>
      <c r="K152" s="20">
        <f>(4898.34*(L8))</f>
        <v>26206.118999999999</v>
      </c>
      <c r="L152" s="20">
        <f>(4990.44*(L8))</f>
        <v>26698.853999999996</v>
      </c>
      <c r="M152" s="20">
        <f>(5100.97*(L8))</f>
        <v>27290.1895</v>
      </c>
      <c r="N152" s="20">
        <f>(5229.92*(L8))</f>
        <v>27980.072</v>
      </c>
      <c r="O152" s="20">
        <f>(5414.13*(L8))</f>
        <v>28965.595499999999</v>
      </c>
      <c r="P152" s="20">
        <f>(5506.23*(L8))</f>
        <v>29458.330499999996</v>
      </c>
      <c r="Q152" s="20">
        <f>(5874.65*(L8))</f>
        <v>31429.377499999995</v>
      </c>
    </row>
    <row r="153" spans="1:17" ht="12.75" customHeight="1" x14ac:dyDescent="0.2">
      <c r="A153" s="6"/>
      <c r="B153" s="10" t="s">
        <v>357</v>
      </c>
      <c r="C153" s="20" t="s">
        <v>347</v>
      </c>
      <c r="D153" s="20" t="s">
        <v>344</v>
      </c>
      <c r="E153" s="20" t="s">
        <v>256</v>
      </c>
      <c r="F153" s="20" t="s">
        <v>345</v>
      </c>
      <c r="G153" s="20" t="s">
        <v>160</v>
      </c>
      <c r="H153" s="20">
        <f>(4784.8*(L8))</f>
        <v>25598.68</v>
      </c>
      <c r="I153" s="20">
        <f>(4881.29*(L8))</f>
        <v>26114.901499999996</v>
      </c>
      <c r="J153" s="20">
        <f>(4939.18*(L8))</f>
        <v>26424.613000000001</v>
      </c>
      <c r="K153" s="20">
        <f>(5093.57*(L8))</f>
        <v>27250.599499999997</v>
      </c>
      <c r="L153" s="20">
        <f>(5190.06*(L8))</f>
        <v>27766.821</v>
      </c>
      <c r="M153" s="20">
        <f>(5305.85*(L8))</f>
        <v>28386.297500000001</v>
      </c>
      <c r="N153" s="20">
        <f>(5440.94*(L8))</f>
        <v>29109.028999999995</v>
      </c>
      <c r="O153" s="20">
        <f>(5633.92*(L8))</f>
        <v>30141.471999999998</v>
      </c>
      <c r="P153" s="20">
        <f>(5730.41*(L8))</f>
        <v>30657.693499999998</v>
      </c>
      <c r="Q153" s="20">
        <f>(6116.37*(L8))</f>
        <v>32722.579499999996</v>
      </c>
    </row>
    <row r="154" spans="1:17" ht="12.75" customHeight="1" x14ac:dyDescent="0.2">
      <c r="A154" s="6"/>
      <c r="B154" s="10" t="s">
        <v>358</v>
      </c>
      <c r="C154" s="20" t="s">
        <v>349</v>
      </c>
      <c r="D154" s="20" t="s">
        <v>344</v>
      </c>
      <c r="E154" s="20" t="s">
        <v>256</v>
      </c>
      <c r="F154" s="20" t="s">
        <v>345</v>
      </c>
      <c r="G154" s="20" t="s">
        <v>182</v>
      </c>
      <c r="H154" s="20">
        <f>(4996.65*(L8))</f>
        <v>26732.077499999996</v>
      </c>
      <c r="I154" s="20">
        <f>(5101.92*(L8))</f>
        <v>27295.271999999997</v>
      </c>
      <c r="J154" s="20">
        <f>(5165.08*(L8))</f>
        <v>27633.177999999996</v>
      </c>
      <c r="K154" s="20">
        <f>(5333.5*(L8))</f>
        <v>28534.224999999999</v>
      </c>
      <c r="L154" s="20">
        <f>(5438.76*(L8))</f>
        <v>29097.365999999998</v>
      </c>
      <c r="M154" s="20">
        <f>(5565.08*(L8))</f>
        <v>29773.177999999996</v>
      </c>
      <c r="N154" s="20">
        <f>(5712.44*(L8))</f>
        <v>30561.553999999996</v>
      </c>
      <c r="O154" s="20">
        <f>(5922.97*(L8))</f>
        <v>31687.889499999997</v>
      </c>
      <c r="P154" s="20">
        <f>(6028.23*(L8))</f>
        <v>32251.030499999997</v>
      </c>
      <c r="Q154" s="20">
        <f>(6449.29*(L8))</f>
        <v>34503.701499999996</v>
      </c>
    </row>
    <row r="155" spans="1:17" ht="12.75" customHeight="1" x14ac:dyDescent="0.2">
      <c r="A155" s="6"/>
      <c r="B155" s="10" t="s">
        <v>359</v>
      </c>
      <c r="C155" s="20" t="s">
        <v>351</v>
      </c>
      <c r="D155" s="20" t="s">
        <v>344</v>
      </c>
      <c r="E155" s="20" t="s">
        <v>256</v>
      </c>
      <c r="F155" s="20" t="s">
        <v>345</v>
      </c>
      <c r="G155" s="20" t="s">
        <v>229</v>
      </c>
      <c r="H155" s="20">
        <f>(5200.32*(L8))</f>
        <v>27821.711999999996</v>
      </c>
      <c r="I155" s="20">
        <f>(5314.36*(L8))</f>
        <v>28431.825999999997</v>
      </c>
      <c r="J155" s="20">
        <f>(5382.78*(L8))</f>
        <v>28797.872999999996</v>
      </c>
      <c r="K155" s="20">
        <f>(5565.23*(L8))</f>
        <v>29773.980499999994</v>
      </c>
      <c r="L155" s="20">
        <f>(5679.27*(L8))</f>
        <v>30384.094499999999</v>
      </c>
      <c r="M155" s="20">
        <f>(5816.11*(L8))</f>
        <v>31116.188499999997</v>
      </c>
      <c r="N155" s="20">
        <f>(5975.76*(L8))</f>
        <v>31970.315999999999</v>
      </c>
      <c r="O155" s="20">
        <f>(6203.83*(L8))</f>
        <v>33190.4905</v>
      </c>
      <c r="P155" s="20">
        <f>(6317.87*(L8))</f>
        <v>33800.604499999994</v>
      </c>
      <c r="Q155" s="20">
        <f>(6774.01*(L8))</f>
        <v>36240.953499999996</v>
      </c>
    </row>
    <row r="156" spans="1:17" ht="12.75" customHeight="1" x14ac:dyDescent="0.2">
      <c r="A156" s="6"/>
      <c r="B156" s="10" t="s">
        <v>360</v>
      </c>
      <c r="C156" s="20" t="s">
        <v>361</v>
      </c>
      <c r="D156" s="20" t="s">
        <v>362</v>
      </c>
      <c r="E156" s="20" t="s">
        <v>256</v>
      </c>
      <c r="F156" s="20" t="s">
        <v>345</v>
      </c>
      <c r="G156" s="20" t="s">
        <v>160</v>
      </c>
      <c r="H156" s="20">
        <f>(4457.15*(L8))</f>
        <v>23845.752499999995</v>
      </c>
      <c r="I156" s="20">
        <f>(4540.48*(L8))</f>
        <v>24291.567999999996</v>
      </c>
      <c r="J156" s="20">
        <f>(4590.48*(L8))</f>
        <v>24559.067999999996</v>
      </c>
      <c r="K156" s="20">
        <f>(4723.81*(L8))</f>
        <v>25272.3835</v>
      </c>
      <c r="L156" s="20">
        <f>(4807.15*(L8))</f>
        <v>25718.252499999995</v>
      </c>
      <c r="M156" s="20">
        <f>(4907.15*(L8))</f>
        <v>26253.252499999995</v>
      </c>
      <c r="N156" s="20">
        <f>(5023.81*(L8))</f>
        <v>26877.3835</v>
      </c>
      <c r="O156" s="20">
        <f>(5190.48*(L8))</f>
        <v>27769.067999999996</v>
      </c>
      <c r="P156" s="20">
        <f>(5273.81*(L8))</f>
        <v>28214.8835</v>
      </c>
      <c r="Q156" s="20">
        <f>(5607.15*(L8))</f>
        <v>29998.252499999995</v>
      </c>
    </row>
    <row r="157" spans="1:17" ht="30" customHeight="1" x14ac:dyDescent="0.35">
      <c r="A157" s="6"/>
      <c r="B157" s="23" t="s">
        <v>363</v>
      </c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5"/>
    </row>
    <row r="158" spans="1:17" ht="12.75" customHeight="1" x14ac:dyDescent="0.2">
      <c r="A158" s="7" t="s">
        <v>6</v>
      </c>
      <c r="B158" s="8" t="s">
        <v>7</v>
      </c>
      <c r="C158" s="8" t="s">
        <v>8</v>
      </c>
      <c r="D158" s="8" t="s">
        <v>9</v>
      </c>
      <c r="E158" s="8" t="s">
        <v>10</v>
      </c>
      <c r="F158" s="8" t="s">
        <v>11</v>
      </c>
      <c r="G158" s="8" t="s">
        <v>12</v>
      </c>
      <c r="H158" s="8" t="s">
        <v>13</v>
      </c>
      <c r="I158" s="8" t="s">
        <v>14</v>
      </c>
      <c r="J158" s="8" t="s">
        <v>15</v>
      </c>
      <c r="K158" s="8" t="s">
        <v>16</v>
      </c>
      <c r="L158" s="8" t="s">
        <v>17</v>
      </c>
      <c r="M158" s="8" t="s">
        <v>18</v>
      </c>
      <c r="N158" s="8" t="s">
        <v>19</v>
      </c>
      <c r="O158" s="8" t="s">
        <v>20</v>
      </c>
      <c r="P158" s="8" t="s">
        <v>21</v>
      </c>
      <c r="Q158" s="8" t="s">
        <v>22</v>
      </c>
    </row>
    <row r="159" spans="1:17" ht="12.75" customHeight="1" x14ac:dyDescent="0.2">
      <c r="A159" s="6"/>
      <c r="B159" s="10" t="s">
        <v>364</v>
      </c>
      <c r="C159" s="20" t="s">
        <v>137</v>
      </c>
      <c r="D159" s="15">
        <v>1.03</v>
      </c>
      <c r="E159" s="20" t="s">
        <v>365</v>
      </c>
      <c r="F159" s="20" t="s">
        <v>366</v>
      </c>
      <c r="G159" s="20" t="s">
        <v>289</v>
      </c>
      <c r="H159" s="20">
        <f>(4942.19*(L8))</f>
        <v>26440.716499999995</v>
      </c>
      <c r="I159" s="20">
        <f>(5104.47*(L8))</f>
        <v>27308.914499999999</v>
      </c>
      <c r="J159" s="20">
        <f>(5201.84*(L8))</f>
        <v>27829.843999999997</v>
      </c>
      <c r="K159" s="20">
        <f>(5461.49*(L8))</f>
        <v>29218.971499999996</v>
      </c>
      <c r="L159" s="20">
        <f>(5623.77*(L8))</f>
        <v>30087.1695</v>
      </c>
      <c r="M159" s="20">
        <f>(5818.51*(L8))</f>
        <v>31129.0285</v>
      </c>
      <c r="N159" s="20">
        <f>(6045.7*(L8))</f>
        <v>32344.494999999995</v>
      </c>
      <c r="O159" s="20">
        <f>(6370.26*(L8))</f>
        <v>34080.890999999996</v>
      </c>
      <c r="P159" s="20">
        <f>(6532.54*(L8))</f>
        <v>34949.089</v>
      </c>
      <c r="Q159" s="20">
        <f>(7181.66*(L8))</f>
        <v>38421.880999999994</v>
      </c>
    </row>
    <row r="160" spans="1:17" ht="12.75" customHeight="1" x14ac:dyDescent="0.2">
      <c r="A160" s="6"/>
      <c r="B160" s="10" t="s">
        <v>367</v>
      </c>
      <c r="C160" s="20" t="s">
        <v>292</v>
      </c>
      <c r="D160" s="15">
        <v>1.03</v>
      </c>
      <c r="E160" s="20" t="s">
        <v>365</v>
      </c>
      <c r="F160" s="20" t="s">
        <v>366</v>
      </c>
      <c r="G160" s="20" t="s">
        <v>151</v>
      </c>
      <c r="H160" s="20">
        <f>(5131.28*(L8))</f>
        <v>27452.347999999998</v>
      </c>
      <c r="I160" s="20">
        <f>(5302.33*(L8))</f>
        <v>28367.465499999998</v>
      </c>
      <c r="J160" s="20">
        <f>(5404.96*(L8))</f>
        <v>28916.536</v>
      </c>
      <c r="K160" s="20">
        <f>(5678.65*(L8))</f>
        <v>30380.777499999997</v>
      </c>
      <c r="L160" s="20">
        <f>(5849.7*(L8))</f>
        <v>31295.894999999997</v>
      </c>
      <c r="M160" s="20">
        <f>(6054.96*(L8))</f>
        <v>32394.035999999996</v>
      </c>
      <c r="N160" s="20">
        <f>(6294.44*(L8))</f>
        <v>33675.253999999994</v>
      </c>
      <c r="O160" s="20">
        <f>(6636.54*(L8))</f>
        <v>35505.488999999994</v>
      </c>
      <c r="P160" s="20">
        <f>(6807.59*(L8))</f>
        <v>36420.606500000002</v>
      </c>
      <c r="Q160" s="20">
        <f>(7491.81*(L8))</f>
        <v>40081.183499999999</v>
      </c>
    </row>
    <row r="161" spans="1:17" ht="12.75" customHeight="1" x14ac:dyDescent="0.2">
      <c r="A161" s="6"/>
      <c r="B161" s="10" t="s">
        <v>368</v>
      </c>
      <c r="C161" s="20" t="s">
        <v>273</v>
      </c>
      <c r="D161" s="15">
        <v>1.03</v>
      </c>
      <c r="E161" s="20" t="s">
        <v>365</v>
      </c>
      <c r="F161" s="20" t="s">
        <v>366</v>
      </c>
      <c r="G161" s="20" t="s">
        <v>212</v>
      </c>
      <c r="H161" s="20">
        <f>(5401.08*(L8))</f>
        <v>28895.777999999998</v>
      </c>
      <c r="I161" s="20">
        <f>(5580.9*(L8))</f>
        <v>29857.814999999995</v>
      </c>
      <c r="J161" s="20">
        <f>(5688.79*(L8))</f>
        <v>30435.026499999996</v>
      </c>
      <c r="K161" s="20">
        <f>(5976.51*(L8))</f>
        <v>31974.3285</v>
      </c>
      <c r="L161" s="20">
        <f>(6156.34*(L8))</f>
        <v>32936.419000000002</v>
      </c>
      <c r="M161" s="20">
        <f>(6372.13*(L8))</f>
        <v>34090.895499999999</v>
      </c>
      <c r="N161" s="20">
        <f>(6623.88*(L8))</f>
        <v>35437.758000000002</v>
      </c>
      <c r="O161" s="20">
        <f>(6983.53*(L8))</f>
        <v>37361.885499999997</v>
      </c>
      <c r="P161" s="20">
        <f>(7163.36*(L8))</f>
        <v>38323.975999999995</v>
      </c>
      <c r="Q161" s="20">
        <f>(7882.65*(L8))</f>
        <v>42172.177499999998</v>
      </c>
    </row>
    <row r="162" spans="1:17" ht="12.75" customHeight="1" x14ac:dyDescent="0.2">
      <c r="A162" s="6"/>
      <c r="B162" s="10" t="s">
        <v>369</v>
      </c>
      <c r="C162" s="20" t="s">
        <v>278</v>
      </c>
      <c r="D162" s="15">
        <v>1.03</v>
      </c>
      <c r="E162" s="20" t="s">
        <v>365</v>
      </c>
      <c r="F162" s="20" t="s">
        <v>366</v>
      </c>
      <c r="G162" s="20" t="s">
        <v>214</v>
      </c>
      <c r="H162" s="20">
        <f>(5646.42*(L8))</f>
        <v>30208.346999999998</v>
      </c>
      <c r="I162" s="20">
        <f>(5843.78*(L8))</f>
        <v>31264.222999999998</v>
      </c>
      <c r="J162" s="20">
        <f>(5962.21*(L8))</f>
        <v>31897.823499999999</v>
      </c>
      <c r="K162" s="20">
        <f>(6277.99*(L8))</f>
        <v>33587.246499999994</v>
      </c>
      <c r="L162" s="20">
        <f>(6475.36*(L8))</f>
        <v>34643.175999999999</v>
      </c>
      <c r="M162" s="20">
        <f>(6712.21*(L8))</f>
        <v>35910.323499999999</v>
      </c>
      <c r="N162" s="20">
        <f>(6988.52*(L8))</f>
        <v>37388.582000000002</v>
      </c>
      <c r="O162" s="20">
        <f>(7383.26*(L8))</f>
        <v>39500.440999999999</v>
      </c>
      <c r="P162" s="20">
        <f>(7580.63*(L8))</f>
        <v>40556.370499999997</v>
      </c>
      <c r="Q162" s="20">
        <f>(8370.1*(L8))</f>
        <v>44780.034999999996</v>
      </c>
    </row>
    <row r="163" spans="1:17" ht="12.75" customHeight="1" x14ac:dyDescent="0.2">
      <c r="A163" s="6"/>
      <c r="B163" s="10" t="s">
        <v>370</v>
      </c>
      <c r="C163" s="20" t="s">
        <v>280</v>
      </c>
      <c r="D163" s="15">
        <v>1.03</v>
      </c>
      <c r="E163" s="20" t="s">
        <v>365</v>
      </c>
      <c r="F163" s="20" t="s">
        <v>366</v>
      </c>
      <c r="G163" s="20" t="s">
        <v>216</v>
      </c>
      <c r="H163" s="20">
        <f>(5876.02*(L8))</f>
        <v>31436.706999999999</v>
      </c>
      <c r="I163" s="20">
        <f>(6082.16*(L8))</f>
        <v>32539.555999999997</v>
      </c>
      <c r="J163" s="20">
        <f>(6205.84*(L8))</f>
        <v>33201.243999999999</v>
      </c>
      <c r="K163" s="20">
        <f>(6535.67*(L8))</f>
        <v>34965.834499999997</v>
      </c>
      <c r="L163" s="20">
        <f>(6741.81*(L8))</f>
        <v>36068.683499999999</v>
      </c>
      <c r="M163" s="20">
        <f>(6989.18*(L8))</f>
        <v>37392.112999999998</v>
      </c>
      <c r="N163" s="20">
        <f>(7277.77*(L8))</f>
        <v>38936.069499999998</v>
      </c>
      <c r="O163" s="20">
        <f>(7690.05*(L8))</f>
        <v>41141.767500000002</v>
      </c>
      <c r="P163" s="20">
        <f>(7896.19*(L8))</f>
        <v>42244.616499999996</v>
      </c>
      <c r="Q163" s="20">
        <f>(8720.76*(L8))</f>
        <v>46656.065999999999</v>
      </c>
    </row>
    <row r="164" spans="1:17" ht="12.75" customHeight="1" x14ac:dyDescent="0.2">
      <c r="A164" s="6"/>
      <c r="B164" s="10" t="s">
        <v>371</v>
      </c>
      <c r="C164" s="20" t="s">
        <v>236</v>
      </c>
      <c r="D164" s="15">
        <v>1.03</v>
      </c>
      <c r="E164" s="20" t="s">
        <v>365</v>
      </c>
      <c r="F164" s="20" t="s">
        <v>366</v>
      </c>
      <c r="G164" s="20" t="s">
        <v>219</v>
      </c>
      <c r="H164" s="20">
        <f>(6138.08*(L8))</f>
        <v>32838.727999999996</v>
      </c>
      <c r="I164" s="20">
        <f>(6348.61*(L8))</f>
        <v>33965.063499999997</v>
      </c>
      <c r="J164" s="20">
        <f>(6474.92*(L8))</f>
        <v>34640.822</v>
      </c>
      <c r="K164" s="20">
        <f>(6811.76*(L8))</f>
        <v>36442.915999999997</v>
      </c>
      <c r="L164" s="20">
        <f>(7022.29*(L8))</f>
        <v>37569.251499999998</v>
      </c>
      <c r="M164" s="20">
        <f>(7274.92*(L8))</f>
        <v>38920.822</v>
      </c>
      <c r="N164" s="20">
        <f>(7569.66*(L8))</f>
        <v>40497.680999999997</v>
      </c>
      <c r="O164" s="20">
        <f>(7990.71*(L8))</f>
        <v>42750.298499999997</v>
      </c>
      <c r="P164" s="20">
        <f>(8201.24*(L8))</f>
        <v>43876.633999999998</v>
      </c>
      <c r="Q164" s="20">
        <f>(9043.34*(L8))</f>
        <v>48381.868999999999</v>
      </c>
    </row>
    <row r="165" spans="1:17" ht="30" customHeight="1" x14ac:dyDescent="0.35">
      <c r="A165" s="6"/>
      <c r="B165" s="23" t="s">
        <v>372</v>
      </c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5"/>
    </row>
    <row r="166" spans="1:17" ht="12.75" customHeight="1" x14ac:dyDescent="0.2">
      <c r="A166" s="7" t="s">
        <v>6</v>
      </c>
      <c r="B166" s="8" t="s">
        <v>7</v>
      </c>
      <c r="C166" s="8" t="s">
        <v>8</v>
      </c>
      <c r="D166" s="8" t="s">
        <v>9</v>
      </c>
      <c r="E166" s="8" t="s">
        <v>10</v>
      </c>
      <c r="F166" s="8" t="s">
        <v>11</v>
      </c>
      <c r="G166" s="8" t="s">
        <v>12</v>
      </c>
      <c r="H166" s="8" t="s">
        <v>13</v>
      </c>
      <c r="I166" s="8" t="s">
        <v>14</v>
      </c>
      <c r="J166" s="8" t="s">
        <v>15</v>
      </c>
      <c r="K166" s="8" t="s">
        <v>16</v>
      </c>
      <c r="L166" s="8" t="s">
        <v>17</v>
      </c>
      <c r="M166" s="8" t="s">
        <v>18</v>
      </c>
      <c r="N166" s="8" t="s">
        <v>19</v>
      </c>
      <c r="O166" s="8" t="s">
        <v>20</v>
      </c>
      <c r="P166" s="8" t="s">
        <v>21</v>
      </c>
      <c r="Q166" s="8" t="s">
        <v>22</v>
      </c>
    </row>
    <row r="167" spans="1:17" ht="12.75" customHeight="1" x14ac:dyDescent="0.2">
      <c r="A167" s="6"/>
      <c r="B167" s="10" t="s">
        <v>373</v>
      </c>
      <c r="C167" s="20" t="s">
        <v>136</v>
      </c>
      <c r="D167" s="20" t="s">
        <v>374</v>
      </c>
      <c r="E167" s="20" t="s">
        <v>375</v>
      </c>
      <c r="F167" s="20" t="s">
        <v>27</v>
      </c>
      <c r="G167" s="20" t="s">
        <v>229</v>
      </c>
      <c r="H167" s="20">
        <f>(5511.23*(L8))</f>
        <v>29485.080499999996</v>
      </c>
      <c r="I167" s="20">
        <f>(5616.49*(L8))</f>
        <v>30048.221499999996</v>
      </c>
      <c r="J167" s="20">
        <f>(5679.65*(L8))</f>
        <v>30386.127499999995</v>
      </c>
      <c r="K167" s="20">
        <f>(5848.07*(L8))</f>
        <v>31287.174499999997</v>
      </c>
      <c r="L167" s="20">
        <f>(5953.33*(L8))</f>
        <v>31850.315499999997</v>
      </c>
      <c r="M167" s="20">
        <f>(6079.65*(L8))</f>
        <v>32526.127499999995</v>
      </c>
      <c r="N167" s="20">
        <f>(6227.02*(L8))</f>
        <v>33314.557000000001</v>
      </c>
      <c r="O167" s="20">
        <f>(6437.54*(L8))</f>
        <v>34440.839</v>
      </c>
      <c r="P167" s="20">
        <f>(6542.81*(L8))</f>
        <v>35004.033499999998</v>
      </c>
      <c r="Q167" s="20">
        <f>(6963.86*(L8))</f>
        <v>37256.650999999998</v>
      </c>
    </row>
    <row r="168" spans="1:17" ht="30" customHeight="1" x14ac:dyDescent="0.35">
      <c r="A168" s="6"/>
      <c r="B168" s="23" t="s">
        <v>376</v>
      </c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5"/>
    </row>
    <row r="169" spans="1:17" ht="12.75" customHeight="1" x14ac:dyDescent="0.2">
      <c r="A169" s="7" t="s">
        <v>6</v>
      </c>
      <c r="B169" s="8" t="s">
        <v>7</v>
      </c>
      <c r="C169" s="8" t="s">
        <v>8</v>
      </c>
      <c r="D169" s="8" t="s">
        <v>9</v>
      </c>
      <c r="E169" s="8" t="s">
        <v>10</v>
      </c>
      <c r="F169" s="8" t="s">
        <v>11</v>
      </c>
      <c r="G169" s="8" t="s">
        <v>12</v>
      </c>
      <c r="H169" s="8" t="s">
        <v>13</v>
      </c>
      <c r="I169" s="8" t="s">
        <v>14</v>
      </c>
      <c r="J169" s="8" t="s">
        <v>15</v>
      </c>
      <c r="K169" s="8" t="s">
        <v>16</v>
      </c>
      <c r="L169" s="8" t="s">
        <v>17</v>
      </c>
      <c r="M169" s="8" t="s">
        <v>18</v>
      </c>
      <c r="N169" s="8" t="s">
        <v>19</v>
      </c>
      <c r="O169" s="8" t="s">
        <v>20</v>
      </c>
      <c r="P169" s="8" t="s">
        <v>21</v>
      </c>
      <c r="Q169" s="8" t="s">
        <v>22</v>
      </c>
    </row>
    <row r="170" spans="1:17" ht="12.75" customHeight="1" x14ac:dyDescent="0.2">
      <c r="A170" s="6"/>
      <c r="B170" s="10" t="s">
        <v>377</v>
      </c>
      <c r="C170" s="20" t="s">
        <v>378</v>
      </c>
      <c r="D170" s="20" t="s">
        <v>379</v>
      </c>
      <c r="E170" s="20" t="s">
        <v>375</v>
      </c>
      <c r="F170" s="20" t="s">
        <v>27</v>
      </c>
      <c r="G170" s="20" t="s">
        <v>182</v>
      </c>
      <c r="H170" s="20">
        <f>(5893.91*(L8))</f>
        <v>31532.418499999996</v>
      </c>
      <c r="I170" s="20">
        <f>(5999.18*(L8))</f>
        <v>32095.613000000001</v>
      </c>
      <c r="J170" s="20">
        <f>(6062.33*(L8))</f>
        <v>32433.465499999998</v>
      </c>
      <c r="K170" s="20">
        <f>(6230.75*(L8))</f>
        <v>33334.512499999997</v>
      </c>
      <c r="L170" s="20">
        <f>(6336.02*(L8))</f>
        <v>33897.707000000002</v>
      </c>
      <c r="M170" s="20">
        <f>(6462.33*(L8))</f>
        <v>34573.465499999998</v>
      </c>
      <c r="N170" s="20">
        <f>(6609.7*(L8))</f>
        <v>35361.894999999997</v>
      </c>
      <c r="O170" s="20">
        <f>(6820.23*(L8))</f>
        <v>36488.230499999998</v>
      </c>
      <c r="P170" s="20">
        <f>(6925.49*(L8))</f>
        <v>37051.371499999994</v>
      </c>
      <c r="Q170" s="20">
        <f>(7346.54*(L8))</f>
        <v>39303.988999999994</v>
      </c>
    </row>
    <row r="171" spans="1:17" ht="30" customHeight="1" x14ac:dyDescent="0.35">
      <c r="A171" s="6"/>
      <c r="B171" s="23" t="s">
        <v>380</v>
      </c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5"/>
    </row>
    <row r="172" spans="1:17" ht="12.75" customHeight="1" x14ac:dyDescent="0.2">
      <c r="A172" s="7" t="s">
        <v>6</v>
      </c>
      <c r="B172" s="8" t="s">
        <v>7</v>
      </c>
      <c r="C172" s="8" t="s">
        <v>8</v>
      </c>
      <c r="D172" s="8" t="s">
        <v>9</v>
      </c>
      <c r="E172" s="8" t="s">
        <v>10</v>
      </c>
      <c r="F172" s="8" t="s">
        <v>11</v>
      </c>
      <c r="G172" s="8" t="s">
        <v>12</v>
      </c>
      <c r="H172" s="8" t="s">
        <v>13</v>
      </c>
      <c r="I172" s="8" t="s">
        <v>14</v>
      </c>
      <c r="J172" s="8" t="s">
        <v>15</v>
      </c>
      <c r="K172" s="8" t="s">
        <v>16</v>
      </c>
      <c r="L172" s="8" t="s">
        <v>17</v>
      </c>
      <c r="M172" s="8" t="s">
        <v>18</v>
      </c>
      <c r="N172" s="8" t="s">
        <v>19</v>
      </c>
      <c r="O172" s="8" t="s">
        <v>20</v>
      </c>
      <c r="P172" s="8" t="s">
        <v>21</v>
      </c>
      <c r="Q172" s="8" t="s">
        <v>22</v>
      </c>
    </row>
    <row r="173" spans="1:17" ht="12.75" customHeight="1" x14ac:dyDescent="0.2">
      <c r="A173" s="6"/>
      <c r="B173" s="10" t="s">
        <v>381</v>
      </c>
      <c r="C173" s="20" t="s">
        <v>333</v>
      </c>
      <c r="D173" s="20" t="s">
        <v>382</v>
      </c>
      <c r="E173" s="20" t="s">
        <v>330</v>
      </c>
      <c r="F173" s="20" t="s">
        <v>383</v>
      </c>
      <c r="G173" s="20" t="s">
        <v>160</v>
      </c>
      <c r="H173" s="20">
        <f>(3088.88*(L8))</f>
        <v>16525.507999999998</v>
      </c>
      <c r="I173" s="20">
        <f>(3202.91*(L8))</f>
        <v>17135.568499999998</v>
      </c>
      <c r="J173" s="20">
        <f>(3271.33*(L8))</f>
        <v>17501.6155</v>
      </c>
      <c r="K173" s="20">
        <f>(3453.79*(L8))</f>
        <v>18477.7765</v>
      </c>
      <c r="L173" s="20">
        <f>(3567.83*(L8))</f>
        <v>19087.890499999998</v>
      </c>
      <c r="M173" s="20">
        <f>(3704.67*(L8))</f>
        <v>19819.984499999999</v>
      </c>
      <c r="N173" s="20">
        <f>(3864.32*(L8))</f>
        <v>20674.112000000001</v>
      </c>
      <c r="O173" s="20">
        <f>(4092.39*(L8))</f>
        <v>21894.286499999998</v>
      </c>
      <c r="P173" s="20">
        <f>(4206.42*(L8))</f>
        <v>22504.346999999998</v>
      </c>
      <c r="Q173" s="20">
        <f>(4662.56*(L8))</f>
        <v>24944.696</v>
      </c>
    </row>
    <row r="174" spans="1:17" ht="12.75" customHeight="1" x14ac:dyDescent="0.2">
      <c r="A174" s="6"/>
      <c r="B174" s="10" t="s">
        <v>384</v>
      </c>
      <c r="C174" s="20" t="s">
        <v>385</v>
      </c>
      <c r="D174" s="20" t="s">
        <v>382</v>
      </c>
      <c r="E174" s="20" t="s">
        <v>330</v>
      </c>
      <c r="F174" s="20" t="s">
        <v>383</v>
      </c>
      <c r="G174" s="20" t="s">
        <v>182</v>
      </c>
      <c r="H174" s="20">
        <f>(3570.47*(L8))</f>
        <v>19102.014499999997</v>
      </c>
      <c r="I174" s="20">
        <f>(3693.28*(L8))</f>
        <v>19759.047999999999</v>
      </c>
      <c r="J174" s="20">
        <f>(3766.96*(L8))</f>
        <v>20153.235999999997</v>
      </c>
      <c r="K174" s="20">
        <f>(3963.45*(L8))</f>
        <v>21204.457499999997</v>
      </c>
      <c r="L174" s="20">
        <f>(4086.26*(L8))</f>
        <v>21861.490999999998</v>
      </c>
      <c r="M174" s="20">
        <f>(4233.63*(L8))</f>
        <v>22649.9205</v>
      </c>
      <c r="N174" s="20">
        <f>(4405.56*(L8))</f>
        <v>23569.745999999999</v>
      </c>
      <c r="O174" s="20">
        <f>(4651.17*(L8))</f>
        <v>24883.7595</v>
      </c>
      <c r="P174" s="20">
        <f>(4773.98*(L8))</f>
        <v>25540.792999999994</v>
      </c>
      <c r="Q174" s="20">
        <f>(5265.21*(L8))</f>
        <v>28168.873499999998</v>
      </c>
    </row>
    <row r="175" spans="1:17" ht="12.75" customHeight="1" x14ac:dyDescent="0.2">
      <c r="A175" s="6"/>
      <c r="B175" s="10" t="s">
        <v>386</v>
      </c>
      <c r="C175" s="20" t="s">
        <v>292</v>
      </c>
      <c r="D175" s="20" t="s">
        <v>382</v>
      </c>
      <c r="E175" s="20" t="s">
        <v>330</v>
      </c>
      <c r="F175" s="20" t="s">
        <v>383</v>
      </c>
      <c r="G175" s="20" t="s">
        <v>216</v>
      </c>
      <c r="H175" s="20">
        <f>(4512.12*(L8))</f>
        <v>24139.841999999997</v>
      </c>
      <c r="I175" s="20">
        <f>(4705.1*(L8))</f>
        <v>25172.285</v>
      </c>
      <c r="J175" s="20">
        <f>(4820.89*(L8))</f>
        <v>25791.761500000001</v>
      </c>
      <c r="K175" s="20">
        <f>(5129.66*(L8))</f>
        <v>27443.680999999997</v>
      </c>
      <c r="L175" s="20">
        <f>(5322.64*(L8))</f>
        <v>28476.124</v>
      </c>
      <c r="M175" s="20">
        <f>(5554.22*(L8))</f>
        <v>29715.077000000001</v>
      </c>
      <c r="N175" s="20">
        <f>(5824.4*(L8))</f>
        <v>31160.539999999997</v>
      </c>
      <c r="O175" s="20">
        <f>(6210.36*(L8))</f>
        <v>33225.425999999999</v>
      </c>
      <c r="P175" s="20">
        <f>(6403.35*(L8))</f>
        <v>34257.922500000001</v>
      </c>
      <c r="Q175" s="20">
        <f>(7175.28*(L8))</f>
        <v>38387.748</v>
      </c>
    </row>
    <row r="176" spans="1:17" ht="12.75" customHeight="1" x14ac:dyDescent="0.2">
      <c r="A176" s="6"/>
      <c r="B176" s="10" t="s">
        <v>387</v>
      </c>
      <c r="C176" s="20" t="s">
        <v>273</v>
      </c>
      <c r="D176" s="20" t="s">
        <v>382</v>
      </c>
      <c r="E176" s="20" t="s">
        <v>330</v>
      </c>
      <c r="F176" s="20" t="s">
        <v>383</v>
      </c>
      <c r="G176" s="20" t="s">
        <v>219</v>
      </c>
      <c r="H176" s="20">
        <f>(4737.38*(L8))</f>
        <v>25344.983</v>
      </c>
      <c r="I176" s="20">
        <f>(4947.9*(L8))</f>
        <v>26471.264999999996</v>
      </c>
      <c r="J176" s="20">
        <f>(5074.22*(L8))</f>
        <v>27147.077000000001</v>
      </c>
      <c r="K176" s="20">
        <f>(5411.06*(L8))</f>
        <v>28949.170999999998</v>
      </c>
      <c r="L176" s="20">
        <f>(5621.59*(L8))</f>
        <v>30075.5065</v>
      </c>
      <c r="M176" s="20">
        <f>(5874.22*(L8))</f>
        <v>31427.076999999997</v>
      </c>
      <c r="N176" s="20">
        <f>(6168.96*(L8))</f>
        <v>33003.936000000002</v>
      </c>
      <c r="O176" s="20">
        <f>(6590.01*(L8))</f>
        <v>35256.553500000002</v>
      </c>
      <c r="P176" s="20">
        <f>(6800.54*(L8))</f>
        <v>36382.888999999996</v>
      </c>
      <c r="Q176" s="20">
        <f>(7642.64*(L8))</f>
        <v>40888.123999999996</v>
      </c>
    </row>
    <row r="177" spans="1:17" ht="12.75" customHeight="1" x14ac:dyDescent="0.2">
      <c r="A177" s="6"/>
      <c r="B177" s="10" t="s">
        <v>388</v>
      </c>
      <c r="C177" s="20" t="s">
        <v>278</v>
      </c>
      <c r="D177" s="20" t="s">
        <v>382</v>
      </c>
      <c r="E177" s="20" t="s">
        <v>330</v>
      </c>
      <c r="F177" s="20" t="s">
        <v>383</v>
      </c>
      <c r="G177" s="20" t="s">
        <v>222</v>
      </c>
      <c r="H177" s="20">
        <f>(4905.13*(L8))</f>
        <v>26242.445499999998</v>
      </c>
      <c r="I177" s="20">
        <f>(5124.43*(L8))</f>
        <v>27415.700499999999</v>
      </c>
      <c r="J177" s="20">
        <f>(5256.01*(L8))</f>
        <v>28119.6535</v>
      </c>
      <c r="K177" s="20">
        <f>(5606.88*(L8))</f>
        <v>29996.807999999997</v>
      </c>
      <c r="L177" s="20">
        <f>(5826.18*(L8))</f>
        <v>31170.062999999998</v>
      </c>
      <c r="M177" s="20">
        <f>(6089.34*(L8))</f>
        <v>32577.968999999997</v>
      </c>
      <c r="N177" s="20">
        <f>(6396.36*(L8))</f>
        <v>34220.525999999998</v>
      </c>
      <c r="O177" s="20">
        <f>(6834.95*(L8))</f>
        <v>36566.982499999998</v>
      </c>
      <c r="P177" s="20">
        <f>(7054.25*(L8))</f>
        <v>37740.237499999996</v>
      </c>
      <c r="Q177" s="20">
        <f>(7931.44*(L8))</f>
        <v>42433.203999999998</v>
      </c>
    </row>
    <row r="178" spans="1:17" ht="12.75" customHeight="1" x14ac:dyDescent="0.2">
      <c r="A178" s="6"/>
      <c r="B178" s="10" t="s">
        <v>389</v>
      </c>
      <c r="C178" s="20" t="s">
        <v>280</v>
      </c>
      <c r="D178" s="20" t="s">
        <v>382</v>
      </c>
      <c r="E178" s="20" t="s">
        <v>330</v>
      </c>
      <c r="F178" s="20" t="s">
        <v>383</v>
      </c>
      <c r="G178" s="20" t="s">
        <v>390</v>
      </c>
      <c r="H178" s="20">
        <f>(5227.09*(L8))</f>
        <v>27964.931499999999</v>
      </c>
      <c r="I178" s="20">
        <f>(5463.93*(L8))</f>
        <v>29232.0255</v>
      </c>
      <c r="J178" s="20">
        <f>(5606.04*(L8))</f>
        <v>29992.313999999998</v>
      </c>
      <c r="K178" s="20">
        <f>(5984.98*(L8))</f>
        <v>32019.642999999996</v>
      </c>
      <c r="L178" s="20">
        <f>(6221.83*(L8))</f>
        <v>33286.790499999996</v>
      </c>
      <c r="M178" s="20">
        <f>(6506.04*(L8))</f>
        <v>34807.313999999998</v>
      </c>
      <c r="N178" s="20">
        <f>(6837.62*(L8))</f>
        <v>36581.267</v>
      </c>
      <c r="O178" s="20">
        <f>(7311.3*(L8))</f>
        <v>39115.455000000002</v>
      </c>
      <c r="P178" s="20">
        <f>(7548.14*(L8))</f>
        <v>40382.548999999999</v>
      </c>
      <c r="Q178" s="20">
        <f>(8495.51*(L8))</f>
        <v>45450.978499999997</v>
      </c>
    </row>
    <row r="179" spans="1:17" ht="12.75" customHeight="1" x14ac:dyDescent="0.2">
      <c r="A179" s="6"/>
      <c r="B179" s="10" t="s">
        <v>391</v>
      </c>
      <c r="C179" s="20" t="s">
        <v>236</v>
      </c>
      <c r="D179" s="20" t="s">
        <v>382</v>
      </c>
      <c r="E179" s="20" t="s">
        <v>330</v>
      </c>
      <c r="F179" s="20" t="s">
        <v>383</v>
      </c>
      <c r="G179" s="20" t="s">
        <v>392</v>
      </c>
      <c r="H179" s="20">
        <f>(5380.19*(L8))</f>
        <v>28784.016499999994</v>
      </c>
      <c r="I179" s="20">
        <f>(5625.81*(L8))</f>
        <v>30098.083500000001</v>
      </c>
      <c r="J179" s="20">
        <f>(5773.18*(L8))</f>
        <v>30886.512999999999</v>
      </c>
      <c r="K179" s="20">
        <f>(6166.16*(L8))</f>
        <v>32988.955999999998</v>
      </c>
      <c r="L179" s="20">
        <f>(6411.77*(L8))</f>
        <v>34302.969499999999</v>
      </c>
      <c r="M179" s="20">
        <f>(6706.51*(L8))</f>
        <v>35879.828499999996</v>
      </c>
      <c r="N179" s="20">
        <f>(7050.37*(L8))</f>
        <v>37719.479499999994</v>
      </c>
      <c r="O179" s="20">
        <f>(7541.6*(L8))</f>
        <v>40347.56</v>
      </c>
      <c r="P179" s="20">
        <f>(7787.21*(L8))</f>
        <v>41661.573499999999</v>
      </c>
      <c r="Q179" s="20">
        <f>(8769.67*(L8))</f>
        <v>46917.734499999999</v>
      </c>
    </row>
    <row r="180" spans="1:17" ht="12.75" customHeight="1" x14ac:dyDescent="0.2">
      <c r="A180" s="6"/>
      <c r="B180" s="10" t="s">
        <v>393</v>
      </c>
      <c r="C180" s="20" t="s">
        <v>26</v>
      </c>
      <c r="D180" s="20" t="s">
        <v>382</v>
      </c>
      <c r="E180" s="20" t="s">
        <v>330</v>
      </c>
      <c r="F180" s="20" t="s">
        <v>27</v>
      </c>
      <c r="G180" s="20" t="s">
        <v>160</v>
      </c>
      <c r="H180" s="20">
        <f>(3054.01*(L8))</f>
        <v>16338.9535</v>
      </c>
      <c r="I180" s="20">
        <f>(3159.27*(L8))</f>
        <v>16902.094499999999</v>
      </c>
      <c r="J180" s="20">
        <f>(3222.43*(L8))</f>
        <v>17240.000499999998</v>
      </c>
      <c r="K180" s="20">
        <f>(3390.85*(L8))</f>
        <v>18141.047499999997</v>
      </c>
      <c r="L180" s="20">
        <f>(3496.11*(L8))</f>
        <v>18704.1885</v>
      </c>
      <c r="M180" s="20">
        <f>(3622.43*(L8))</f>
        <v>19380.000499999998</v>
      </c>
      <c r="N180" s="20">
        <f>(3769.8*(L8))</f>
        <v>20168.43</v>
      </c>
      <c r="O180" s="20">
        <f>(3980.32*(L8))</f>
        <v>21294.712</v>
      </c>
      <c r="P180" s="20">
        <f>(4085.59*(L8))</f>
        <v>21857.906500000001</v>
      </c>
      <c r="Q180" s="20">
        <f>(4506.64*(L8))</f>
        <v>24110.524000000001</v>
      </c>
    </row>
    <row r="181" spans="1:17" ht="12.75" customHeight="1" x14ac:dyDescent="0.2">
      <c r="A181" s="6"/>
      <c r="B181" s="10" t="s">
        <v>394</v>
      </c>
      <c r="C181" s="20" t="s">
        <v>79</v>
      </c>
      <c r="D181" s="20" t="s">
        <v>395</v>
      </c>
      <c r="E181" s="20" t="s">
        <v>330</v>
      </c>
      <c r="F181" s="20" t="s">
        <v>383</v>
      </c>
      <c r="G181" s="20" t="s">
        <v>237</v>
      </c>
      <c r="H181" s="20">
        <f>(3781.02*(L8))</f>
        <v>20228.456999999999</v>
      </c>
      <c r="I181" s="20">
        <f>(3921.37*(L8))</f>
        <v>20979.3295</v>
      </c>
      <c r="J181" s="20">
        <f>(4005.58*(L8))</f>
        <v>21429.852999999999</v>
      </c>
      <c r="K181" s="20">
        <f>(4230.15*(L8))</f>
        <v>22631.302499999998</v>
      </c>
      <c r="L181" s="20">
        <f>(4370.5*(L8))</f>
        <v>23382.174999999999</v>
      </c>
      <c r="M181" s="20">
        <f>(4538.92*(L8))</f>
        <v>24283.221999999998</v>
      </c>
      <c r="N181" s="20">
        <f>(4735.41*(L8))</f>
        <v>25334.443499999998</v>
      </c>
      <c r="O181" s="20">
        <f>(5016.11*(L8))</f>
        <v>26836.188499999997</v>
      </c>
      <c r="P181" s="20">
        <f>(5156.46*(L8))</f>
        <v>27587.060999999998</v>
      </c>
      <c r="Q181" s="20">
        <f>(5717.86*(L8))</f>
        <v>30590.550999999996</v>
      </c>
    </row>
    <row r="182" spans="1:17" ht="12.75" customHeight="1" x14ac:dyDescent="0.2">
      <c r="A182" s="6"/>
      <c r="B182" s="10" t="s">
        <v>396</v>
      </c>
      <c r="C182" s="20" t="s">
        <v>79</v>
      </c>
      <c r="D182" s="20" t="s">
        <v>397</v>
      </c>
      <c r="E182" s="20" t="s">
        <v>398</v>
      </c>
      <c r="F182" s="20" t="s">
        <v>27</v>
      </c>
      <c r="G182" s="20" t="s">
        <v>247</v>
      </c>
      <c r="H182" s="20">
        <f>(1337.66*(L8))</f>
        <v>7156.4809999999998</v>
      </c>
      <c r="I182" s="20">
        <f>(1363.97*(L8))</f>
        <v>7297.2394999999997</v>
      </c>
      <c r="J182" s="20">
        <f>(1379.76*(L8))</f>
        <v>7381.7159999999994</v>
      </c>
      <c r="K182" s="20">
        <f>(1421.87*(L8))</f>
        <v>7607.0044999999991</v>
      </c>
      <c r="L182" s="20">
        <f>(1448.18*(L8))</f>
        <v>7747.7629999999999</v>
      </c>
      <c r="M182" s="20">
        <f>(1479.76*(L8))</f>
        <v>7916.7159999999994</v>
      </c>
      <c r="N182" s="20">
        <f>(1516.6*(L8))</f>
        <v>8113.8099999999986</v>
      </c>
      <c r="O182" s="20">
        <f>(1569.23*(L8))</f>
        <v>8395.3804999999993</v>
      </c>
      <c r="P182" s="20">
        <f>(1595.55*(L8))</f>
        <v>8536.1924999999992</v>
      </c>
      <c r="Q182" s="20">
        <f>(1700.81*(L8))</f>
        <v>9099.3334999999988</v>
      </c>
    </row>
    <row r="183" spans="1:17" ht="12.75" customHeight="1" x14ac:dyDescent="0.2">
      <c r="A183" s="6"/>
      <c r="B183" s="10" t="s">
        <v>399</v>
      </c>
      <c r="C183" s="20" t="s">
        <v>79</v>
      </c>
      <c r="D183" s="20" t="s">
        <v>382</v>
      </c>
      <c r="E183" s="20" t="s">
        <v>330</v>
      </c>
      <c r="F183" s="20" t="s">
        <v>27</v>
      </c>
      <c r="G183" s="20" t="s">
        <v>42</v>
      </c>
      <c r="H183" s="20">
        <f>(2658.98*(L8))</f>
        <v>14225.543</v>
      </c>
      <c r="I183" s="20">
        <f>(2746.7*(L8))</f>
        <v>14694.844999999998</v>
      </c>
      <c r="J183" s="20">
        <f>(2799.33*(L8))</f>
        <v>14976.415499999999</v>
      </c>
      <c r="K183" s="20">
        <f>(2939.68*(L8))</f>
        <v>15727.287999999999</v>
      </c>
      <c r="L183" s="20">
        <f>(3027.4*(L8))</f>
        <v>16196.59</v>
      </c>
      <c r="M183" s="20">
        <f>(3132.66*(L8))</f>
        <v>16759.731</v>
      </c>
      <c r="N183" s="20">
        <f>(3255.47*(L8))</f>
        <v>17416.764499999997</v>
      </c>
      <c r="O183" s="20">
        <f>(3430.91*(L8))</f>
        <v>18355.368499999997</v>
      </c>
      <c r="P183" s="20">
        <f>(3518.63*(L8))</f>
        <v>18824.6705</v>
      </c>
      <c r="Q183" s="20">
        <f>(3869.5*(L8))</f>
        <v>20701.824999999997</v>
      </c>
    </row>
    <row r="184" spans="1:17" ht="12.75" customHeight="1" x14ac:dyDescent="0.2">
      <c r="A184" s="6"/>
      <c r="B184" s="10" t="s">
        <v>400</v>
      </c>
      <c r="C184" s="20" t="s">
        <v>333</v>
      </c>
      <c r="D184" s="20" t="s">
        <v>382</v>
      </c>
      <c r="E184" s="20" t="s">
        <v>330</v>
      </c>
      <c r="F184" s="20" t="s">
        <v>27</v>
      </c>
      <c r="G184" s="20" t="s">
        <v>152</v>
      </c>
      <c r="H184" s="20">
        <f>(3188.54*(L8))</f>
        <v>17058.688999999998</v>
      </c>
      <c r="I184" s="20">
        <f>(3285.03*(L8))</f>
        <v>17574.910499999998</v>
      </c>
      <c r="J184" s="20">
        <f>(3342.93*(L8))</f>
        <v>17884.675499999998</v>
      </c>
      <c r="K184" s="20">
        <f>(3497.32*(L8))</f>
        <v>18710.662</v>
      </c>
      <c r="L184" s="20">
        <f>(3593.81*(L8))</f>
        <v>19226.8835</v>
      </c>
      <c r="M184" s="20">
        <f>(3709.6*(L8))</f>
        <v>19846.359999999997</v>
      </c>
      <c r="N184" s="20">
        <f>(3844.68*(L8))</f>
        <v>20569.037999999997</v>
      </c>
      <c r="O184" s="20">
        <f>(4037.67*(L8))</f>
        <v>21601.534499999998</v>
      </c>
      <c r="P184" s="20">
        <f>(4134.16*(L8))</f>
        <v>22117.755999999998</v>
      </c>
      <c r="Q184" s="20">
        <f>(4520.12*(L8))</f>
        <v>24182.641999999996</v>
      </c>
    </row>
    <row r="185" spans="1:17" ht="30" customHeight="1" x14ac:dyDescent="0.35">
      <c r="A185" s="6"/>
      <c r="B185" s="23" t="s">
        <v>401</v>
      </c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5"/>
    </row>
    <row r="186" spans="1:17" ht="12.75" customHeight="1" x14ac:dyDescent="0.2">
      <c r="A186" s="7" t="s">
        <v>6</v>
      </c>
      <c r="B186" s="8" t="s">
        <v>7</v>
      </c>
      <c r="C186" s="8" t="s">
        <v>8</v>
      </c>
      <c r="D186" s="8" t="s">
        <v>9</v>
      </c>
      <c r="E186" s="8" t="s">
        <v>10</v>
      </c>
      <c r="F186" s="8" t="s">
        <v>11</v>
      </c>
      <c r="G186" s="8" t="s">
        <v>12</v>
      </c>
      <c r="H186" s="8" t="s">
        <v>13</v>
      </c>
      <c r="I186" s="8" t="s">
        <v>14</v>
      </c>
      <c r="J186" s="8" t="s">
        <v>15</v>
      </c>
      <c r="K186" s="8" t="s">
        <v>16</v>
      </c>
      <c r="L186" s="8" t="s">
        <v>17</v>
      </c>
      <c r="M186" s="8" t="s">
        <v>18</v>
      </c>
      <c r="N186" s="8" t="s">
        <v>19</v>
      </c>
      <c r="O186" s="8" t="s">
        <v>20</v>
      </c>
      <c r="P186" s="8" t="s">
        <v>21</v>
      </c>
      <c r="Q186" s="8" t="s">
        <v>22</v>
      </c>
    </row>
    <row r="187" spans="1:17" ht="12.75" customHeight="1" x14ac:dyDescent="0.2">
      <c r="A187" s="6"/>
      <c r="B187" s="10" t="s">
        <v>402</v>
      </c>
      <c r="C187" s="20" t="s">
        <v>403</v>
      </c>
      <c r="D187" s="20" t="s">
        <v>404</v>
      </c>
      <c r="E187" s="20" t="s">
        <v>256</v>
      </c>
      <c r="F187" s="20" t="s">
        <v>405</v>
      </c>
      <c r="G187" s="20" t="s">
        <v>286</v>
      </c>
      <c r="H187" s="20">
        <f>(8243*(L8))</f>
        <v>44100.049999999996</v>
      </c>
      <c r="I187" s="20">
        <f>(8401*(L8))</f>
        <v>44945.35</v>
      </c>
      <c r="J187" s="20">
        <f>(8495*(L8))</f>
        <v>45448.25</v>
      </c>
      <c r="K187" s="20">
        <f>(8750*(L8))</f>
        <v>46812.5</v>
      </c>
      <c r="L187" s="20">
        <f>(8906*(L8))</f>
        <v>47647.1</v>
      </c>
      <c r="M187" s="20">
        <f>(9095*(L8))</f>
        <v>48658.25</v>
      </c>
      <c r="N187" s="20">
        <f>(9316*(L8))</f>
        <v>49840.6</v>
      </c>
      <c r="O187" s="20">
        <f>(9632*(L8))</f>
        <v>51531.199999999997</v>
      </c>
      <c r="P187" s="20">
        <f>(9790*(L8))</f>
        <v>52376.5</v>
      </c>
      <c r="Q187" s="20">
        <f>(10423*(L8))</f>
        <v>55763.049999999996</v>
      </c>
    </row>
    <row r="188" spans="1:17" ht="12.75" customHeight="1" x14ac:dyDescent="0.2">
      <c r="A188" s="6"/>
      <c r="B188" s="107" t="s">
        <v>406</v>
      </c>
      <c r="C188" s="15">
        <v>2.8</v>
      </c>
      <c r="D188" s="20" t="s">
        <v>404</v>
      </c>
      <c r="E188" s="20" t="s">
        <v>256</v>
      </c>
      <c r="F188" s="20" t="s">
        <v>405</v>
      </c>
      <c r="G188" s="20" t="s">
        <v>231</v>
      </c>
      <c r="H188" s="20">
        <f>(7213*(L8))</f>
        <v>38589.549999999996</v>
      </c>
      <c r="I188" s="20">
        <f>(7327*(L8))</f>
        <v>39199.449999999997</v>
      </c>
      <c r="J188" s="20">
        <f>(7395*(L8))</f>
        <v>39563.25</v>
      </c>
      <c r="K188" s="20">
        <f>(7578*(L8))</f>
        <v>40542.299999999996</v>
      </c>
      <c r="L188" s="20">
        <f>(7692*(L8))</f>
        <v>41152.199999999997</v>
      </c>
      <c r="M188" s="20">
        <f>(7829*(L8))</f>
        <v>41885.149999999994</v>
      </c>
      <c r="N188" s="20">
        <f>(7988*(L8))</f>
        <v>42735.799999999996</v>
      </c>
      <c r="O188" s="20">
        <f>(8216*(L8))</f>
        <v>43955.6</v>
      </c>
      <c r="P188" s="20">
        <f>(8330*(L8))</f>
        <v>44565.5</v>
      </c>
      <c r="Q188" s="20">
        <f>(8786*(L8))</f>
        <v>47005.1</v>
      </c>
    </row>
    <row r="189" spans="1:17" ht="30" customHeight="1" x14ac:dyDescent="0.35">
      <c r="A189" s="6"/>
      <c r="B189" s="23" t="s">
        <v>407</v>
      </c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5"/>
    </row>
    <row r="190" spans="1:17" ht="12.75" customHeight="1" x14ac:dyDescent="0.2">
      <c r="A190" s="7" t="s">
        <v>6</v>
      </c>
      <c r="B190" s="8" t="s">
        <v>7</v>
      </c>
      <c r="C190" s="8" t="s">
        <v>8</v>
      </c>
      <c r="D190" s="8" t="s">
        <v>9</v>
      </c>
      <c r="E190" s="8" t="s">
        <v>10</v>
      </c>
      <c r="F190" s="8" t="s">
        <v>11</v>
      </c>
      <c r="G190" s="8" t="s">
        <v>12</v>
      </c>
      <c r="H190" s="8" t="s">
        <v>13</v>
      </c>
      <c r="I190" s="8" t="s">
        <v>14</v>
      </c>
      <c r="J190" s="8" t="s">
        <v>15</v>
      </c>
      <c r="K190" s="8" t="s">
        <v>16</v>
      </c>
      <c r="L190" s="8" t="s">
        <v>17</v>
      </c>
      <c r="M190" s="8" t="s">
        <v>18</v>
      </c>
      <c r="N190" s="8" t="s">
        <v>19</v>
      </c>
      <c r="O190" s="8" t="s">
        <v>20</v>
      </c>
      <c r="P190" s="8" t="s">
        <v>21</v>
      </c>
      <c r="Q190" s="8" t="s">
        <v>22</v>
      </c>
    </row>
    <row r="191" spans="1:17" ht="12.75" customHeight="1" x14ac:dyDescent="0.2">
      <c r="A191" s="6"/>
      <c r="B191" s="10" t="s">
        <v>408</v>
      </c>
      <c r="C191" s="20" t="s">
        <v>45</v>
      </c>
      <c r="D191" s="20" t="s">
        <v>149</v>
      </c>
      <c r="E191" s="20" t="s">
        <v>256</v>
      </c>
      <c r="F191" s="20" t="s">
        <v>409</v>
      </c>
      <c r="G191" s="20" t="s">
        <v>60</v>
      </c>
      <c r="H191" s="20">
        <f>(4124.98*(L8))</f>
        <v>22068.642999999996</v>
      </c>
      <c r="I191" s="20">
        <f>(4186.38*(L8))</f>
        <v>22397.132999999998</v>
      </c>
      <c r="J191" s="20">
        <f>(4223.23*(L8))</f>
        <v>22594.280499999997</v>
      </c>
      <c r="K191" s="20">
        <f>(4321.47*(L8))</f>
        <v>23119.8645</v>
      </c>
      <c r="L191" s="20">
        <f>(4382.88*(L8))</f>
        <v>23448.407999999999</v>
      </c>
      <c r="M191" s="20">
        <f>(4456.56*(L8))</f>
        <v>23842.596000000001</v>
      </c>
      <c r="N191" s="20">
        <f>(4542.52*(L8))</f>
        <v>24302.482</v>
      </c>
      <c r="O191" s="20">
        <f>(4665.33*(L8))</f>
        <v>24959.515499999998</v>
      </c>
      <c r="P191" s="20">
        <f>(4726.74*(L8))</f>
        <v>25288.058999999997</v>
      </c>
      <c r="Q191" s="20">
        <f>(4972.35*(L8))</f>
        <v>26602.072499999998</v>
      </c>
    </row>
    <row r="192" spans="1:17" ht="12.75" customHeight="1" x14ac:dyDescent="0.2">
      <c r="A192" s="6"/>
      <c r="B192" s="10" t="s">
        <v>410</v>
      </c>
      <c r="C192" s="20" t="s">
        <v>197</v>
      </c>
      <c r="D192" s="20" t="s">
        <v>149</v>
      </c>
      <c r="E192" s="20" t="s">
        <v>256</v>
      </c>
      <c r="F192" s="20" t="s">
        <v>409</v>
      </c>
      <c r="G192" s="20" t="s">
        <v>42</v>
      </c>
      <c r="H192" s="20">
        <f>(4254.16*(L8))</f>
        <v>22759.755999999998</v>
      </c>
      <c r="I192" s="20">
        <f>(4319.95*(L8))</f>
        <v>23111.732499999998</v>
      </c>
      <c r="J192" s="20">
        <f>(4359.42*(L8))</f>
        <v>23322.896999999997</v>
      </c>
      <c r="K192" s="20">
        <f>(4464.68*(L8))</f>
        <v>23886.038</v>
      </c>
      <c r="L192" s="20">
        <f>(4530.47*(L8))</f>
        <v>24238.014500000001</v>
      </c>
      <c r="M192" s="20">
        <f>(4609.42*(L8))</f>
        <v>24660.396999999997</v>
      </c>
      <c r="N192" s="20">
        <f>(4701.52*(L8))</f>
        <v>25153.132000000001</v>
      </c>
      <c r="O192" s="20">
        <f>(4833.1*(L8))</f>
        <v>25857.084999999999</v>
      </c>
      <c r="P192" s="20">
        <f>(4898.89*(L8))</f>
        <v>26209.0615</v>
      </c>
      <c r="Q192" s="20">
        <f>(5162.05*(L8))</f>
        <v>27616.967499999999</v>
      </c>
    </row>
    <row r="193" spans="1:17" ht="12.75" customHeight="1" x14ac:dyDescent="0.2">
      <c r="A193" s="6"/>
      <c r="B193" s="10" t="s">
        <v>411</v>
      </c>
      <c r="C193" s="20" t="s">
        <v>200</v>
      </c>
      <c r="D193" s="20" t="s">
        <v>149</v>
      </c>
      <c r="E193" s="20" t="s">
        <v>256</v>
      </c>
      <c r="F193" s="20" t="s">
        <v>409</v>
      </c>
      <c r="G193" s="20" t="s">
        <v>262</v>
      </c>
      <c r="H193" s="20">
        <f>(4369.1*(L8))</f>
        <v>23374.685000000001</v>
      </c>
      <c r="I193" s="20">
        <f>(4439.28*(L8))</f>
        <v>23750.147999999997</v>
      </c>
      <c r="J193" s="20">
        <f>(4481.38*(L8))</f>
        <v>23975.382999999998</v>
      </c>
      <c r="K193" s="20">
        <f>(4593.66*(L8))</f>
        <v>24576.080999999998</v>
      </c>
      <c r="L193" s="20">
        <f>(4663.84*(L8))</f>
        <v>24951.543999999998</v>
      </c>
      <c r="M193" s="20">
        <f>(4748.05*(L8))</f>
        <v>25402.067500000001</v>
      </c>
      <c r="N193" s="20">
        <f>(4846.3*(L8))</f>
        <v>25927.704999999998</v>
      </c>
      <c r="O193" s="20">
        <f>(4986.65*(L8))</f>
        <v>26678.577499999996</v>
      </c>
      <c r="P193" s="20">
        <f>(5056.82*(L8))</f>
        <v>27053.986999999997</v>
      </c>
      <c r="Q193" s="20">
        <f>(5337.52*(L8))</f>
        <v>28555.732</v>
      </c>
    </row>
    <row r="194" spans="1:17" ht="12.75" customHeight="1" x14ac:dyDescent="0.2">
      <c r="A194" s="6"/>
      <c r="B194" s="10" t="s">
        <v>412</v>
      </c>
      <c r="C194" s="20" t="s">
        <v>202</v>
      </c>
      <c r="D194" s="20" t="s">
        <v>149</v>
      </c>
      <c r="E194" s="20" t="s">
        <v>256</v>
      </c>
      <c r="F194" s="20" t="s">
        <v>409</v>
      </c>
      <c r="G194" s="20" t="s">
        <v>152</v>
      </c>
      <c r="H194" s="20">
        <f>(4537.1*(L8))</f>
        <v>24273.485000000001</v>
      </c>
      <c r="I194" s="20">
        <f>(4616.05*(L8))</f>
        <v>24695.8675</v>
      </c>
      <c r="J194" s="20">
        <f>(4663.42*(L8))</f>
        <v>24949.296999999999</v>
      </c>
      <c r="K194" s="20">
        <f>(4789.74*(L8))</f>
        <v>25625.108999999997</v>
      </c>
      <c r="L194" s="20">
        <f>(4868.68*(L8))</f>
        <v>26047.437999999998</v>
      </c>
      <c r="M194" s="20">
        <f>(4963.42*(L8))</f>
        <v>26554.296999999999</v>
      </c>
      <c r="N194" s="20">
        <f>(5073.95*(L8))</f>
        <v>27145.632499999996</v>
      </c>
      <c r="O194" s="20">
        <f>(5231.84*(L8))</f>
        <v>27990.343999999997</v>
      </c>
      <c r="P194" s="20">
        <f>(5310.79*(L8))</f>
        <v>28412.726499999997</v>
      </c>
      <c r="Q194" s="20">
        <f>(5626.58*(L8))</f>
        <v>30102.202999999998</v>
      </c>
    </row>
    <row r="195" spans="1:17" ht="12.75" customHeight="1" x14ac:dyDescent="0.2">
      <c r="A195" s="6"/>
      <c r="B195" s="10" t="s">
        <v>413</v>
      </c>
      <c r="C195" s="20" t="s">
        <v>56</v>
      </c>
      <c r="D195" s="20" t="s">
        <v>149</v>
      </c>
      <c r="E195" s="20" t="s">
        <v>256</v>
      </c>
      <c r="F195" s="20" t="s">
        <v>409</v>
      </c>
      <c r="G195" s="20" t="s">
        <v>163</v>
      </c>
      <c r="H195" s="20">
        <f>(5245.06*(L8))</f>
        <v>28061.071</v>
      </c>
      <c r="I195" s="20">
        <f>(5345.94*(L8))</f>
        <v>28600.778999999995</v>
      </c>
      <c r="J195" s="20">
        <f>(5406.46*(L8))</f>
        <v>28924.560999999998</v>
      </c>
      <c r="K195" s="20">
        <f>(5567.86*(L8))</f>
        <v>29788.050999999996</v>
      </c>
      <c r="L195" s="20">
        <f>(5668.74*(L8))</f>
        <v>30327.758999999998</v>
      </c>
      <c r="M195" s="20">
        <f>(5789.79*(L8))</f>
        <v>30975.376499999998</v>
      </c>
      <c r="N195" s="20">
        <f>(5931.02*(L8))</f>
        <v>31730.956999999999</v>
      </c>
      <c r="O195" s="20">
        <f>(6132.78*(L8))</f>
        <v>32810.373</v>
      </c>
      <c r="P195" s="20">
        <f>(6233.65*(L8))</f>
        <v>33350.027499999997</v>
      </c>
      <c r="Q195" s="20">
        <f>(6637.16*(L8))</f>
        <v>35508.805999999997</v>
      </c>
    </row>
    <row r="196" spans="1:17" ht="12.75" customHeight="1" x14ac:dyDescent="0.2">
      <c r="A196" s="6"/>
      <c r="B196" s="10" t="s">
        <v>414</v>
      </c>
      <c r="C196" s="20" t="s">
        <v>415</v>
      </c>
      <c r="D196" s="20" t="s">
        <v>149</v>
      </c>
      <c r="E196" s="20" t="s">
        <v>256</v>
      </c>
      <c r="F196" s="20" t="s">
        <v>409</v>
      </c>
      <c r="G196" s="20" t="s">
        <v>182</v>
      </c>
      <c r="H196" s="20">
        <f>(5541.46*(L8))</f>
        <v>29646.810999999998</v>
      </c>
      <c r="I196" s="20">
        <f>(5651.11*(L8))</f>
        <v>30233.438499999997</v>
      </c>
      <c r="J196" s="20">
        <f>(5716.9*(L8))</f>
        <v>30585.414999999997</v>
      </c>
      <c r="K196" s="20">
        <f>(5892.34*(L8))</f>
        <v>31524.019</v>
      </c>
      <c r="L196" s="20">
        <f>(6001.99*(L8))</f>
        <v>32110.646499999995</v>
      </c>
      <c r="M196" s="20">
        <f>(6133.57*(L8))</f>
        <v>32814.599499999997</v>
      </c>
      <c r="N196" s="20">
        <f>(6287.08*(L8))</f>
        <v>33635.877999999997</v>
      </c>
      <c r="O196" s="20">
        <f>(6506.37*(L8))</f>
        <v>34809.0795</v>
      </c>
      <c r="P196" s="20">
        <f>(6616.02*(L8))</f>
        <v>35395.707000000002</v>
      </c>
      <c r="Q196" s="20">
        <f>(7054.62*(L8))</f>
        <v>37742.216999999997</v>
      </c>
    </row>
    <row r="197" spans="1:17" ht="12.75" customHeight="1" x14ac:dyDescent="0.2">
      <c r="A197" s="6"/>
      <c r="B197" s="10" t="s">
        <v>416</v>
      </c>
      <c r="C197" s="20" t="s">
        <v>417</v>
      </c>
      <c r="D197" s="20" t="s">
        <v>149</v>
      </c>
      <c r="E197" s="20" t="s">
        <v>256</v>
      </c>
      <c r="F197" s="20" t="s">
        <v>409</v>
      </c>
      <c r="G197" s="20" t="s">
        <v>185</v>
      </c>
      <c r="H197" s="20">
        <f>(5723.97*(L8))</f>
        <v>30623.2395</v>
      </c>
      <c r="I197" s="20">
        <f>(5838.01*(L8))</f>
        <v>31233.353499999997</v>
      </c>
      <c r="J197" s="20">
        <f>(5906.43*(L8))</f>
        <v>31599.4005</v>
      </c>
      <c r="K197" s="20">
        <f>(6088.88*(L8))</f>
        <v>32575.507999999998</v>
      </c>
      <c r="L197" s="20">
        <f>(6202.92*(L8))</f>
        <v>33185.621999999996</v>
      </c>
      <c r="M197" s="20">
        <f>(6339.76*(L8))</f>
        <v>33917.716</v>
      </c>
      <c r="N197" s="20">
        <f>(6499.41*(L8))</f>
        <v>34771.843499999995</v>
      </c>
      <c r="O197" s="20">
        <f>(6727.48*(L8))</f>
        <v>35992.017999999996</v>
      </c>
      <c r="P197" s="20">
        <f>(6841.51*(L8))</f>
        <v>36602.078499999996</v>
      </c>
      <c r="Q197" s="20">
        <f>(7297.65*(L8))</f>
        <v>39042.427499999998</v>
      </c>
    </row>
    <row r="198" spans="1:17" ht="12.75" customHeight="1" x14ac:dyDescent="0.2">
      <c r="A198" s="6"/>
      <c r="B198" s="10" t="s">
        <v>418</v>
      </c>
      <c r="C198" s="20" t="s">
        <v>419</v>
      </c>
      <c r="D198" s="20" t="s">
        <v>149</v>
      </c>
      <c r="E198" s="20" t="s">
        <v>256</v>
      </c>
      <c r="F198" s="20" t="s">
        <v>409</v>
      </c>
      <c r="G198" s="20" t="s">
        <v>229</v>
      </c>
      <c r="H198" s="20">
        <f>(5965.92*(L8))</f>
        <v>31917.671999999999</v>
      </c>
      <c r="I198" s="20">
        <f>(6088.73*(L8))</f>
        <v>32574.705499999996</v>
      </c>
      <c r="J198" s="20">
        <f>(6162.42*(L8))</f>
        <v>32968.947</v>
      </c>
      <c r="K198" s="20">
        <f>(6358.91*(L8))</f>
        <v>34020.1685</v>
      </c>
      <c r="L198" s="20">
        <f>(6481.71*(L8))</f>
        <v>34677.148499999996</v>
      </c>
      <c r="M198" s="20">
        <f>(6629.08*(L8))</f>
        <v>35465.577999999994</v>
      </c>
      <c r="N198" s="20">
        <f>(6801.01*(L8))</f>
        <v>36385.4035</v>
      </c>
      <c r="O198" s="20">
        <f>(7046.63*(L8))</f>
        <v>37699.470499999996</v>
      </c>
      <c r="P198" s="20">
        <f>(7169.43*(L8))</f>
        <v>38356.450499999999</v>
      </c>
      <c r="Q198" s="20">
        <f>(7660.66*(L8))</f>
        <v>40984.530999999995</v>
      </c>
    </row>
    <row r="199" spans="1:17" ht="12.75" customHeight="1" x14ac:dyDescent="0.2">
      <c r="A199" s="6"/>
      <c r="B199" s="10" t="s">
        <v>420</v>
      </c>
      <c r="C199" s="20" t="s">
        <v>187</v>
      </c>
      <c r="D199" s="20" t="s">
        <v>149</v>
      </c>
      <c r="E199" s="20" t="s">
        <v>256</v>
      </c>
      <c r="F199" s="20" t="s">
        <v>409</v>
      </c>
      <c r="G199" s="20" t="s">
        <v>421</v>
      </c>
      <c r="H199" s="20">
        <f>(6154.39*(L8))</f>
        <v>32925.986499999999</v>
      </c>
      <c r="I199" s="20">
        <f>(6281.58*(L8))</f>
        <v>33606.452999999994</v>
      </c>
      <c r="J199" s="20">
        <f>(6357.9*(L8))</f>
        <v>34014.764999999999</v>
      </c>
      <c r="K199" s="20">
        <f>(6561.41*(L8))</f>
        <v>35103.5435</v>
      </c>
      <c r="L199" s="20">
        <f>(6688.6*(L8))</f>
        <v>35784.01</v>
      </c>
      <c r="M199" s="20">
        <f>(6841.23*(L8))</f>
        <v>36600.580499999996</v>
      </c>
      <c r="N199" s="20">
        <f>(7019.3*(L8))</f>
        <v>37553.254999999997</v>
      </c>
      <c r="O199" s="20">
        <f>(7273.69*(L8))</f>
        <v>38914.241499999996</v>
      </c>
      <c r="P199" s="20">
        <f>(7400.88*(L8))</f>
        <v>39594.707999999999</v>
      </c>
      <c r="Q199" s="20">
        <f>(7909.65*(L8))</f>
        <v>42316.627499999995</v>
      </c>
    </row>
    <row r="200" spans="1:17" ht="12.75" customHeight="1" x14ac:dyDescent="0.2">
      <c r="A200" s="6"/>
      <c r="B200" s="10" t="s">
        <v>422</v>
      </c>
      <c r="C200" s="20" t="s">
        <v>189</v>
      </c>
      <c r="D200" s="20" t="s">
        <v>149</v>
      </c>
      <c r="E200" s="20" t="s">
        <v>256</v>
      </c>
      <c r="F200" s="20" t="s">
        <v>409</v>
      </c>
      <c r="G200" s="20" t="s">
        <v>231</v>
      </c>
      <c r="H200" s="20">
        <f>(6445.56*(L8))</f>
        <v>34483.745999999999</v>
      </c>
      <c r="I200" s="20">
        <f>(6581.53*(L8))</f>
        <v>35211.1855</v>
      </c>
      <c r="J200" s="20">
        <f>(6663.11*(L8))</f>
        <v>35647.638499999994</v>
      </c>
      <c r="K200" s="20">
        <f>(6880.65*(L8))</f>
        <v>36811.477499999994</v>
      </c>
      <c r="L200" s="20">
        <f>(7016.62*(L8))</f>
        <v>37538.916999999994</v>
      </c>
      <c r="M200" s="20">
        <f>(7179.77*(L8))</f>
        <v>38411.769500000002</v>
      </c>
      <c r="N200" s="20">
        <f>(7370.12*(L8))</f>
        <v>39430.142</v>
      </c>
      <c r="O200" s="20">
        <f>(7642.05*(L8))</f>
        <v>40884.967499999999</v>
      </c>
      <c r="P200" s="20">
        <f>(7778.02*(L8))</f>
        <v>41612.406999999999</v>
      </c>
      <c r="Q200" s="20">
        <f>(8321.88*(L8))</f>
        <v>44522.05799999999</v>
      </c>
    </row>
    <row r="201" spans="1:17" ht="12.75" customHeight="1" x14ac:dyDescent="0.2">
      <c r="A201" s="6"/>
      <c r="B201" s="10" t="s">
        <v>423</v>
      </c>
      <c r="C201" s="20" t="s">
        <v>30</v>
      </c>
      <c r="D201" s="20" t="s">
        <v>149</v>
      </c>
      <c r="E201" s="20" t="s">
        <v>256</v>
      </c>
      <c r="F201" s="20" t="s">
        <v>409</v>
      </c>
      <c r="G201" s="20" t="s">
        <v>42</v>
      </c>
      <c r="H201" s="20">
        <f>(4527.74*(L8))</f>
        <v>24223.408999999996</v>
      </c>
      <c r="I201" s="20">
        <f>(4593.53*(L8))</f>
        <v>24575.385499999997</v>
      </c>
      <c r="J201" s="20">
        <f>(4633.01*(L8))</f>
        <v>24786.603500000001</v>
      </c>
      <c r="K201" s="20">
        <f>(4738.27*(L8))</f>
        <v>25349.744500000001</v>
      </c>
      <c r="L201" s="20">
        <f>(4804.06*(L8))</f>
        <v>25701.721000000001</v>
      </c>
      <c r="M201" s="20">
        <f>(4883.01*(L8))</f>
        <v>26124.103500000001</v>
      </c>
      <c r="N201" s="20">
        <f>(4975.11*(L8))</f>
        <v>26616.838499999998</v>
      </c>
      <c r="O201" s="20">
        <f>(5106.69*(L8))</f>
        <v>27320.791499999996</v>
      </c>
      <c r="P201" s="20">
        <f>(5172.48*(L8))</f>
        <v>27672.767999999996</v>
      </c>
      <c r="Q201" s="20">
        <f>(5435.64*(L8))</f>
        <v>29080.673999999999</v>
      </c>
    </row>
    <row r="202" spans="1:17" ht="12.75" customHeight="1" x14ac:dyDescent="0.2">
      <c r="A202" s="6"/>
      <c r="B202" s="10" t="s">
        <v>424</v>
      </c>
      <c r="C202" s="20" t="s">
        <v>425</v>
      </c>
      <c r="D202" s="20" t="s">
        <v>149</v>
      </c>
      <c r="E202" s="20" t="s">
        <v>256</v>
      </c>
      <c r="F202" s="20" t="s">
        <v>409</v>
      </c>
      <c r="G202" s="20" t="s">
        <v>262</v>
      </c>
      <c r="H202" s="20">
        <f>(4649.23*(L8))</f>
        <v>24873.380499999996</v>
      </c>
      <c r="I202" s="20">
        <f>(4719.4*(L8))</f>
        <v>25248.789999999997</v>
      </c>
      <c r="J202" s="20">
        <f>(4761.51*(L8))</f>
        <v>25474.0785</v>
      </c>
      <c r="K202" s="20">
        <f>(4873.79*(L8))</f>
        <v>26074.776499999996</v>
      </c>
      <c r="L202" s="20">
        <f>(4943.96*(L8))</f>
        <v>26450.185999999998</v>
      </c>
      <c r="M202" s="20">
        <f>(5028.17*(L8))</f>
        <v>26900.709499999997</v>
      </c>
      <c r="N202" s="20">
        <f>(5126.42*(L8))</f>
        <v>27426.346999999998</v>
      </c>
      <c r="O202" s="20">
        <f>(5266.77*(L8))</f>
        <v>28177.219499999999</v>
      </c>
      <c r="P202" s="20">
        <f>(5336.95*(L8))</f>
        <v>28552.682499999995</v>
      </c>
      <c r="Q202" s="20">
        <f>(5617.65*(L8))</f>
        <v>30054.427499999994</v>
      </c>
    </row>
    <row r="203" spans="1:17" ht="12.75" customHeight="1" x14ac:dyDescent="0.2">
      <c r="A203" s="6"/>
      <c r="B203" s="10" t="s">
        <v>426</v>
      </c>
      <c r="C203" s="20" t="s">
        <v>33</v>
      </c>
      <c r="D203" s="20" t="s">
        <v>149</v>
      </c>
      <c r="E203" s="20" t="s">
        <v>256</v>
      </c>
      <c r="F203" s="20" t="s">
        <v>409</v>
      </c>
      <c r="G203" s="20" t="s">
        <v>152</v>
      </c>
      <c r="H203" s="20">
        <f>(4757.54*(L8))</f>
        <v>25452.838999999996</v>
      </c>
      <c r="I203" s="20">
        <f>(4836.49*(L8))</f>
        <v>25875.221499999996</v>
      </c>
      <c r="J203" s="20">
        <f>(4883.86*(L8))</f>
        <v>26128.650999999998</v>
      </c>
      <c r="K203" s="20">
        <f>(5010.17*(L8))</f>
        <v>26804.409499999998</v>
      </c>
      <c r="L203" s="20">
        <f>(5089.12*(L8))</f>
        <v>27226.791999999998</v>
      </c>
      <c r="M203" s="20">
        <f>(5183.86*(L8))</f>
        <v>27733.650999999998</v>
      </c>
      <c r="N203" s="20">
        <f>(5294.38*(L8))</f>
        <v>28324.932999999997</v>
      </c>
      <c r="O203" s="20">
        <f>(5452.28*(L8))</f>
        <v>29169.697999999997</v>
      </c>
      <c r="P203" s="20">
        <f>(5531.23*(L8))</f>
        <v>29592.080499999996</v>
      </c>
      <c r="Q203" s="20">
        <f>(5847.02*(L8))</f>
        <v>31281.557000000001</v>
      </c>
    </row>
    <row r="204" spans="1:17" ht="12.75" customHeight="1" x14ac:dyDescent="0.2">
      <c r="A204" s="6"/>
      <c r="B204" s="10" t="s">
        <v>427</v>
      </c>
      <c r="C204" s="20" t="s">
        <v>138</v>
      </c>
      <c r="D204" s="20" t="s">
        <v>149</v>
      </c>
      <c r="E204" s="20" t="s">
        <v>256</v>
      </c>
      <c r="F204" s="20" t="s">
        <v>409</v>
      </c>
      <c r="G204" s="20" t="s">
        <v>185</v>
      </c>
      <c r="H204" s="20">
        <f>(5253.94*(L8))</f>
        <v>28108.578999999994</v>
      </c>
      <c r="I204" s="20">
        <f>(5354.81*(L8))</f>
        <v>28648.233499999998</v>
      </c>
      <c r="J204" s="20">
        <f>(5415.34*(L8))</f>
        <v>28972.069</v>
      </c>
      <c r="K204" s="20">
        <f>(5576.74*(L8))</f>
        <v>29835.558999999997</v>
      </c>
      <c r="L204" s="20">
        <f>(5677.62*(L8))</f>
        <v>30375.266999999996</v>
      </c>
      <c r="M204" s="20">
        <f>(5798.67*(L8))</f>
        <v>31022.8845</v>
      </c>
      <c r="N204" s="20">
        <f>(5939.9*(L8))</f>
        <v>31778.464999999997</v>
      </c>
      <c r="O204" s="20">
        <f>(6141.65*(L8))</f>
        <v>32857.827499999999</v>
      </c>
      <c r="P204" s="20">
        <f>(6242.53*(L8))</f>
        <v>33397.535499999998</v>
      </c>
      <c r="Q204" s="20">
        <f>(6646.04*(L8))</f>
        <v>35556.313999999998</v>
      </c>
    </row>
    <row r="205" spans="1:17" ht="12.75" customHeight="1" x14ac:dyDescent="0.2">
      <c r="A205" s="6"/>
      <c r="B205" s="10" t="s">
        <v>428</v>
      </c>
      <c r="C205" s="20" t="s">
        <v>429</v>
      </c>
      <c r="D205" s="20" t="s">
        <v>149</v>
      </c>
      <c r="E205" s="20" t="s">
        <v>256</v>
      </c>
      <c r="F205" s="20" t="s">
        <v>409</v>
      </c>
      <c r="G205" s="20" t="s">
        <v>229</v>
      </c>
      <c r="H205" s="20">
        <f>(5621.55*(L8))</f>
        <v>30075.2925</v>
      </c>
      <c r="I205" s="20">
        <f>(5722.43*(L8))</f>
        <v>30615.000499999998</v>
      </c>
      <c r="J205" s="20">
        <f>(5782.95*(L8))</f>
        <v>30938.782499999998</v>
      </c>
      <c r="K205" s="20">
        <f>(5944.36*(L8))</f>
        <v>31802.325999999997</v>
      </c>
      <c r="L205" s="20">
        <f>(6045.23*(L8))</f>
        <v>32341.980499999994</v>
      </c>
      <c r="M205" s="20">
        <f>(6166.29*(L8))</f>
        <v>32989.6515</v>
      </c>
      <c r="N205" s="20">
        <f>(6307.51*(L8))</f>
        <v>33745.178500000002</v>
      </c>
      <c r="O205" s="20">
        <f>(6509.27*(L8))</f>
        <v>34824.594499999999</v>
      </c>
      <c r="P205" s="20">
        <f>(6610.15*(L8))</f>
        <v>35364.302499999998</v>
      </c>
      <c r="Q205" s="20">
        <f>(7013.65*(L8))</f>
        <v>37523.027499999997</v>
      </c>
    </row>
    <row r="206" spans="1:17" ht="12.75" customHeight="1" x14ac:dyDescent="0.2">
      <c r="A206" s="6"/>
      <c r="B206" s="10" t="s">
        <v>430</v>
      </c>
      <c r="C206" s="20" t="s">
        <v>431</v>
      </c>
      <c r="D206" s="20" t="s">
        <v>149</v>
      </c>
      <c r="E206" s="20" t="s">
        <v>256</v>
      </c>
      <c r="F206" s="20" t="s">
        <v>409</v>
      </c>
      <c r="G206" s="20" t="s">
        <v>421</v>
      </c>
      <c r="H206" s="20">
        <f>(5830.65*(L8))</f>
        <v>31193.977499999997</v>
      </c>
      <c r="I206" s="20">
        <f>(5940.3*(L8))</f>
        <v>31780.605</v>
      </c>
      <c r="J206" s="20">
        <f>(6006.09*(L8))</f>
        <v>32132.5815</v>
      </c>
      <c r="K206" s="20">
        <f>(6181.53*(L8))</f>
        <v>33071.1855</v>
      </c>
      <c r="L206" s="20">
        <f>(6291.18*(L8))</f>
        <v>33657.813000000002</v>
      </c>
      <c r="M206" s="20">
        <f>(6422.76*(L8))</f>
        <v>34361.765999999996</v>
      </c>
      <c r="N206" s="20">
        <f>(6576.27*(L8))</f>
        <v>35183.044500000004</v>
      </c>
      <c r="O206" s="20">
        <f>(6795.57*(L8))</f>
        <v>36356.299499999994</v>
      </c>
      <c r="P206" s="20">
        <f>(6905.22*(L8))</f>
        <v>36942.926999999996</v>
      </c>
      <c r="Q206" s="20">
        <f>(7343.81*(L8))</f>
        <v>39289.383499999996</v>
      </c>
    </row>
    <row r="207" spans="1:17" ht="12.75" customHeight="1" x14ac:dyDescent="0.2">
      <c r="A207" s="6"/>
      <c r="B207" s="10" t="s">
        <v>432</v>
      </c>
      <c r="C207" s="20" t="s">
        <v>233</v>
      </c>
      <c r="D207" s="20" t="s">
        <v>149</v>
      </c>
      <c r="E207" s="20" t="s">
        <v>256</v>
      </c>
      <c r="F207" s="20" t="s">
        <v>409</v>
      </c>
      <c r="G207" s="20" t="s">
        <v>231</v>
      </c>
      <c r="H207" s="20">
        <f>(6037.79*(L8))</f>
        <v>32302.176499999998</v>
      </c>
      <c r="I207" s="20">
        <f>(6151.83*(L8))</f>
        <v>32912.290499999996</v>
      </c>
      <c r="J207" s="20">
        <f>(6220.25*(L8))</f>
        <v>33278.337499999994</v>
      </c>
      <c r="K207" s="20">
        <f>(6402.71*(L8))</f>
        <v>34254.498500000002</v>
      </c>
      <c r="L207" s="20">
        <f>(6516.74*(L8))</f>
        <v>34864.558999999994</v>
      </c>
      <c r="M207" s="20">
        <f>(6653.58*(L8))</f>
        <v>35596.652999999998</v>
      </c>
      <c r="N207" s="20">
        <f>(6813.23*(L8))</f>
        <v>36450.780499999993</v>
      </c>
      <c r="O207" s="20">
        <f>(7041.3*(L8))</f>
        <v>37670.955000000002</v>
      </c>
      <c r="P207" s="20">
        <f>(7155.34*(L8))</f>
        <v>38281.068999999996</v>
      </c>
      <c r="Q207" s="20">
        <f>(7611.48*(L8))</f>
        <v>40721.417999999998</v>
      </c>
    </row>
    <row r="208" spans="1:17" ht="12.75" customHeight="1" x14ac:dyDescent="0.2">
      <c r="A208" s="6"/>
      <c r="B208" s="10" t="s">
        <v>433</v>
      </c>
      <c r="C208" s="20" t="s">
        <v>434</v>
      </c>
      <c r="D208" s="20" t="s">
        <v>149</v>
      </c>
      <c r="E208" s="20" t="s">
        <v>256</v>
      </c>
      <c r="F208" s="20" t="s">
        <v>409</v>
      </c>
      <c r="G208" s="20" t="s">
        <v>435</v>
      </c>
      <c r="H208" s="20">
        <f>(6294.96*(L8))</f>
        <v>33678.036</v>
      </c>
      <c r="I208" s="20">
        <f>(6417.77*(L8))</f>
        <v>34335.069499999998</v>
      </c>
      <c r="J208" s="20">
        <f>(6491.45*(L8))</f>
        <v>34729.2575</v>
      </c>
      <c r="K208" s="20">
        <f>(6687.94*(L8))</f>
        <v>35780.478999999992</v>
      </c>
      <c r="L208" s="20">
        <f>(6810.75*(L8))</f>
        <v>36437.512499999997</v>
      </c>
      <c r="M208" s="20">
        <f>(6958.12*(L8))</f>
        <v>37225.941999999995</v>
      </c>
      <c r="N208" s="20">
        <f>(7130.05*(L8))</f>
        <v>38145.767500000002</v>
      </c>
      <c r="O208" s="20">
        <f>(7375.66*(L8))</f>
        <v>39459.780999999995</v>
      </c>
      <c r="P208" s="20">
        <f>(7498.47*(L8))</f>
        <v>40116.8145</v>
      </c>
      <c r="Q208" s="20">
        <f>(7989.7*(L8))</f>
        <v>42744.894999999997</v>
      </c>
    </row>
    <row r="209" spans="1:17" ht="12.75" customHeight="1" x14ac:dyDescent="0.2">
      <c r="A209" s="6"/>
      <c r="B209" s="10" t="s">
        <v>436</v>
      </c>
      <c r="C209" s="20" t="s">
        <v>437</v>
      </c>
      <c r="D209" s="20" t="s">
        <v>149</v>
      </c>
      <c r="E209" s="20" t="s">
        <v>256</v>
      </c>
      <c r="F209" s="20" t="s">
        <v>409</v>
      </c>
      <c r="G209" s="20" t="s">
        <v>237</v>
      </c>
      <c r="H209" s="20">
        <f>(6658.86*(L8))</f>
        <v>35624.900999999998</v>
      </c>
      <c r="I209" s="20">
        <f>(6786.05*(L8))</f>
        <v>36305.3675</v>
      </c>
      <c r="J209" s="20">
        <f>(6862.37*(L8))</f>
        <v>36713.679499999998</v>
      </c>
      <c r="K209" s="20">
        <f>(7065.88*(L8))</f>
        <v>37802.457999999999</v>
      </c>
      <c r="L209" s="20">
        <f>(7193.07*(L8))</f>
        <v>38482.924499999994</v>
      </c>
      <c r="M209" s="20">
        <f>(7345.7*(L8))</f>
        <v>39299.494999999995</v>
      </c>
      <c r="N209" s="20">
        <f>(7523.77*(L8))</f>
        <v>40252.169499999996</v>
      </c>
      <c r="O209" s="20">
        <f>(7778.16*(L8))</f>
        <v>41613.155999999995</v>
      </c>
      <c r="P209" s="20">
        <f>(7905.35*(L8))</f>
        <v>42293.622499999998</v>
      </c>
      <c r="Q209" s="20">
        <f>(8414.12*(L8))</f>
        <v>45015.542000000001</v>
      </c>
    </row>
    <row r="210" spans="1:17" ht="12.75" customHeight="1" x14ac:dyDescent="0.2">
      <c r="A210" s="6"/>
      <c r="B210" s="10" t="s">
        <v>438</v>
      </c>
      <c r="C210" s="20" t="s">
        <v>439</v>
      </c>
      <c r="D210" s="20" t="s">
        <v>149</v>
      </c>
      <c r="E210" s="20" t="s">
        <v>256</v>
      </c>
      <c r="F210" s="20" t="s">
        <v>409</v>
      </c>
      <c r="G210" s="20" t="s">
        <v>440</v>
      </c>
      <c r="H210" s="20">
        <f>(6910.55*(L8))</f>
        <v>36971.442499999997</v>
      </c>
      <c r="I210" s="20">
        <f>(7046.52*(L8))</f>
        <v>37698.881999999998</v>
      </c>
      <c r="J210" s="20">
        <f>(7128.1*(L8))</f>
        <v>38135.334999999999</v>
      </c>
      <c r="K210" s="20">
        <f>(7345.64*(L8))</f>
        <v>39299.173999999999</v>
      </c>
      <c r="L210" s="20">
        <f>(7481.61*(L8))</f>
        <v>40026.613499999992</v>
      </c>
      <c r="M210" s="20">
        <f>(7644.76*(L8))</f>
        <v>40899.466</v>
      </c>
      <c r="N210" s="20">
        <f>(7835.12*(L8))</f>
        <v>41917.892</v>
      </c>
      <c r="O210" s="20">
        <f>(8107.05*(L8))</f>
        <v>43372.717499999999</v>
      </c>
      <c r="P210" s="20">
        <f>(8243.01*(L8))</f>
        <v>44100.103499999997</v>
      </c>
      <c r="Q210" s="20">
        <f>(8786.87*(L8))</f>
        <v>47009.754500000003</v>
      </c>
    </row>
    <row r="211" spans="1:17" ht="12.75" customHeight="1" x14ac:dyDescent="0.2">
      <c r="A211" s="6"/>
      <c r="B211" s="10" t="s">
        <v>441</v>
      </c>
      <c r="C211" s="20" t="s">
        <v>442</v>
      </c>
      <c r="D211" s="20" t="s">
        <v>149</v>
      </c>
      <c r="E211" s="20" t="s">
        <v>256</v>
      </c>
      <c r="F211" s="20" t="s">
        <v>409</v>
      </c>
      <c r="G211" s="20" t="s">
        <v>435</v>
      </c>
      <c r="H211" s="20">
        <f>(5379.95*(L8))</f>
        <v>28782.732499999998</v>
      </c>
      <c r="I211" s="20">
        <f>(5480.83*(L8))</f>
        <v>29322.440499999997</v>
      </c>
      <c r="J211" s="20">
        <f>(5541.36*(L8))</f>
        <v>29646.275999999998</v>
      </c>
      <c r="K211" s="20">
        <f>(5702.76*(L8))</f>
        <v>30509.766</v>
      </c>
      <c r="L211" s="20">
        <f>(5803.64*(L8))</f>
        <v>31049.473999999998</v>
      </c>
      <c r="M211" s="20">
        <f>(5924.69*(L8))</f>
        <v>31697.091499999995</v>
      </c>
      <c r="N211" s="20">
        <f>(6065.92*(L8))</f>
        <v>32452.671999999999</v>
      </c>
      <c r="O211" s="20">
        <f>(6267.67*(L8))</f>
        <v>33532.034500000002</v>
      </c>
      <c r="P211" s="20">
        <f>(6368.55*(L8))</f>
        <v>34071.7425</v>
      </c>
      <c r="Q211" s="20">
        <f>(6772.06*(L8))</f>
        <v>36230.521000000001</v>
      </c>
    </row>
    <row r="212" spans="1:17" ht="12.75" customHeight="1" x14ac:dyDescent="0.2">
      <c r="A212" s="6"/>
      <c r="B212" s="10" t="s">
        <v>443</v>
      </c>
      <c r="C212" s="20" t="s">
        <v>74</v>
      </c>
      <c r="D212" s="20" t="s">
        <v>149</v>
      </c>
      <c r="E212" s="20" t="s">
        <v>256</v>
      </c>
      <c r="F212" s="20" t="s">
        <v>409</v>
      </c>
      <c r="G212" s="20" t="s">
        <v>231</v>
      </c>
      <c r="H212" s="20">
        <f>(5660.94*(L8))</f>
        <v>30286.028999999995</v>
      </c>
      <c r="I212" s="20">
        <f>(5770.58*(L8))</f>
        <v>30872.602999999999</v>
      </c>
      <c r="J212" s="20">
        <f>(5836.37*(L8))</f>
        <v>31224.579499999996</v>
      </c>
      <c r="K212" s="20">
        <f>(6011.81*(L8))</f>
        <v>32163.183499999999</v>
      </c>
      <c r="L212" s="20">
        <f>(6121.46*(L8))</f>
        <v>32749.810999999998</v>
      </c>
      <c r="M212" s="20">
        <f>(6253.04*(L8))</f>
        <v>33453.763999999996</v>
      </c>
      <c r="N212" s="20">
        <f>(6406.55*(L8))</f>
        <v>34275.042499999996</v>
      </c>
      <c r="O212" s="20">
        <f>(6625.85*(L8))</f>
        <v>35448.297500000001</v>
      </c>
      <c r="P212" s="20">
        <f>(6735.5*(L8))</f>
        <v>36034.924999999996</v>
      </c>
      <c r="Q212" s="20">
        <f>(7174.09*(L8))</f>
        <v>38381.381499999996</v>
      </c>
    </row>
    <row r="213" spans="1:17" ht="12.75" customHeight="1" x14ac:dyDescent="0.2">
      <c r="A213" s="6"/>
      <c r="B213" s="10" t="s">
        <v>444</v>
      </c>
      <c r="C213" s="20" t="s">
        <v>177</v>
      </c>
      <c r="D213" s="20" t="s">
        <v>149</v>
      </c>
      <c r="E213" s="20" t="s">
        <v>256</v>
      </c>
      <c r="F213" s="20" t="s">
        <v>409</v>
      </c>
      <c r="G213" s="20" t="s">
        <v>435</v>
      </c>
      <c r="H213" s="20">
        <f>(5874.02*(L8))</f>
        <v>31426.007000000001</v>
      </c>
      <c r="I213" s="20">
        <f>(5988.06*(L8))</f>
        <v>32036.120999999999</v>
      </c>
      <c r="J213" s="20">
        <f>(6056.48*(L8))</f>
        <v>32402.167999999994</v>
      </c>
      <c r="K213" s="20">
        <f>(6238.94*(L8))</f>
        <v>33378.328999999998</v>
      </c>
      <c r="L213" s="20">
        <f>(6352.97*(L8))</f>
        <v>33988.389499999997</v>
      </c>
      <c r="M213" s="20">
        <f>(6489.81*(L8))</f>
        <v>34720.483500000002</v>
      </c>
      <c r="N213" s="20">
        <f>(6649.46*(L8))</f>
        <v>35574.610999999997</v>
      </c>
      <c r="O213" s="20">
        <f>(6877.53*(L8))</f>
        <v>36794.785499999998</v>
      </c>
      <c r="P213" s="20">
        <f>(6991.57*(L8))</f>
        <v>37404.8995</v>
      </c>
      <c r="Q213" s="20">
        <f>(7447.71*(L8))</f>
        <v>39845.248499999994</v>
      </c>
    </row>
    <row r="214" spans="1:17" ht="12.75" customHeight="1" x14ac:dyDescent="0.2">
      <c r="A214" s="6"/>
      <c r="B214" s="10" t="s">
        <v>445</v>
      </c>
      <c r="C214" s="20" t="s">
        <v>179</v>
      </c>
      <c r="D214" s="20" t="s">
        <v>149</v>
      </c>
      <c r="E214" s="20" t="s">
        <v>256</v>
      </c>
      <c r="F214" s="20" t="s">
        <v>409</v>
      </c>
      <c r="G214" s="20" t="s">
        <v>237</v>
      </c>
      <c r="H214" s="20">
        <f>(6132.29*(L8))</f>
        <v>32807.751499999998</v>
      </c>
      <c r="I214" s="20">
        <f>(6255.1*(L8))</f>
        <v>33464.784999999996</v>
      </c>
      <c r="J214" s="20">
        <f>(6328.78*(L8))</f>
        <v>33858.972999999998</v>
      </c>
      <c r="K214" s="20">
        <f>(6525.28*(L8))</f>
        <v>34910.248</v>
      </c>
      <c r="L214" s="20">
        <f>(6648.08*(L8))</f>
        <v>35567.227999999996</v>
      </c>
      <c r="M214" s="20">
        <f>(6795.45*(L8))</f>
        <v>36355.657499999994</v>
      </c>
      <c r="N214" s="20">
        <f>(6967.38*(L8))</f>
        <v>37275.483</v>
      </c>
      <c r="O214" s="20">
        <f>(7212.99*(L8))</f>
        <v>38589.496499999994</v>
      </c>
      <c r="P214" s="20">
        <f>(7335.8*(L8))</f>
        <v>39246.53</v>
      </c>
      <c r="Q214" s="20">
        <f>(7827.03*(L8))</f>
        <v>41874.610499999995</v>
      </c>
    </row>
    <row r="215" spans="1:17" ht="12.75" customHeight="1" x14ac:dyDescent="0.2">
      <c r="A215" s="6"/>
      <c r="B215" s="10" t="s">
        <v>446</v>
      </c>
      <c r="C215" s="20" t="s">
        <v>181</v>
      </c>
      <c r="D215" s="20" t="s">
        <v>149</v>
      </c>
      <c r="E215" s="20" t="s">
        <v>256</v>
      </c>
      <c r="F215" s="20" t="s">
        <v>409</v>
      </c>
      <c r="G215" s="20" t="s">
        <v>440</v>
      </c>
      <c r="H215" s="20">
        <f>(6400.19*(L8))</f>
        <v>34241.016499999998</v>
      </c>
      <c r="I215" s="20">
        <f>(6531.77*(L8))</f>
        <v>34944.969499999999</v>
      </c>
      <c r="J215" s="20">
        <f>(6610.72*(L8))</f>
        <v>35367.351999999999</v>
      </c>
      <c r="K215" s="20">
        <f>(6821.25*(L8))</f>
        <v>36493.6875</v>
      </c>
      <c r="L215" s="20">
        <f>(6952.83*(L8))</f>
        <v>37197.640499999994</v>
      </c>
      <c r="M215" s="20">
        <f>(7110.72*(L8))</f>
        <v>38042.351999999999</v>
      </c>
      <c r="N215" s="20">
        <f>(7294.93*(L8))</f>
        <v>39027.875500000002</v>
      </c>
      <c r="O215" s="20">
        <f>(7558.09*(L8))</f>
        <v>40435.781499999997</v>
      </c>
      <c r="P215" s="20">
        <f>(7689.67*(L8))</f>
        <v>41139.734499999999</v>
      </c>
      <c r="Q215" s="20">
        <f>(8215.98*(L8))</f>
        <v>43955.492999999995</v>
      </c>
    </row>
    <row r="216" spans="1:17" ht="12.75" customHeight="1" x14ac:dyDescent="0.2">
      <c r="A216" s="6"/>
      <c r="B216" s="10" t="s">
        <v>447</v>
      </c>
      <c r="C216" s="20" t="s">
        <v>184</v>
      </c>
      <c r="D216" s="20" t="s">
        <v>149</v>
      </c>
      <c r="E216" s="20" t="s">
        <v>256</v>
      </c>
      <c r="F216" s="20" t="s">
        <v>409</v>
      </c>
      <c r="G216" s="20" t="s">
        <v>234</v>
      </c>
      <c r="H216" s="20">
        <f>(6934.87*(L8))</f>
        <v>37101.554499999998</v>
      </c>
      <c r="I216" s="20">
        <f>(7075.22*(L8))</f>
        <v>37852.426999999996</v>
      </c>
      <c r="J216" s="20">
        <f>(7159.43*(L8))</f>
        <v>38302.950499999999</v>
      </c>
      <c r="K216" s="20">
        <f>(7383.99*(L8))</f>
        <v>39504.3465</v>
      </c>
      <c r="L216" s="20">
        <f>(7524.34*(L8))</f>
        <v>40255.218999999997</v>
      </c>
      <c r="M216" s="20">
        <f>(7692.76*(L8))</f>
        <v>41156.265999999996</v>
      </c>
      <c r="N216" s="20">
        <f>(7889.26*(L8))</f>
        <v>42207.540999999997</v>
      </c>
      <c r="O216" s="20">
        <f>(8169.96*(L8))</f>
        <v>43709.286</v>
      </c>
      <c r="P216" s="20">
        <f>(8310.31*(L8))</f>
        <v>44460.158499999998</v>
      </c>
      <c r="Q216" s="20">
        <f>(8871.71*(L8))</f>
        <v>47463.648499999996</v>
      </c>
    </row>
    <row r="217" spans="1:17" ht="12.75" customHeight="1" x14ac:dyDescent="0.2">
      <c r="A217" s="6"/>
      <c r="B217" s="10" t="s">
        <v>448</v>
      </c>
      <c r="C217" s="20" t="s">
        <v>449</v>
      </c>
      <c r="D217" s="20" t="s">
        <v>149</v>
      </c>
      <c r="E217" s="20" t="s">
        <v>256</v>
      </c>
      <c r="F217" s="20" t="s">
        <v>409</v>
      </c>
      <c r="G217" s="20" t="s">
        <v>421</v>
      </c>
      <c r="H217" s="20">
        <f>(5747.09*(L8))</f>
        <v>30746.931499999999</v>
      </c>
      <c r="I217" s="20">
        <f>(5847.97*(L8))</f>
        <v>31286.639499999997</v>
      </c>
      <c r="J217" s="20">
        <f>(5908.5*(L8))</f>
        <v>31610.474999999999</v>
      </c>
      <c r="K217" s="20">
        <f>(6069.9*(L8))</f>
        <v>32473.964999999997</v>
      </c>
      <c r="L217" s="20">
        <f>(6170.78*(L8))</f>
        <v>33013.672999999995</v>
      </c>
      <c r="M217" s="20">
        <f>(6291.83*(L8))</f>
        <v>33661.290499999996</v>
      </c>
      <c r="N217" s="20">
        <f>(6433.06*(L8))</f>
        <v>34416.870999999999</v>
      </c>
      <c r="O217" s="20">
        <f>(6634.81*(L8))</f>
        <v>35496.233500000002</v>
      </c>
      <c r="P217" s="20">
        <f>(6735.69*(L8))</f>
        <v>36035.941499999994</v>
      </c>
      <c r="Q217" s="20">
        <f>(7139.2*(L8))</f>
        <v>38194.719999999994</v>
      </c>
    </row>
    <row r="218" spans="1:17" ht="12.75" customHeight="1" x14ac:dyDescent="0.2">
      <c r="A218" s="6"/>
      <c r="B218" s="10" t="s">
        <v>450</v>
      </c>
      <c r="C218" s="20" t="s">
        <v>349</v>
      </c>
      <c r="D218" s="20" t="s">
        <v>149</v>
      </c>
      <c r="E218" s="20" t="s">
        <v>256</v>
      </c>
      <c r="F218" s="20" t="s">
        <v>409</v>
      </c>
      <c r="G218" s="20" t="s">
        <v>231</v>
      </c>
      <c r="H218" s="20">
        <f>(5978.46*(L8))</f>
        <v>31984.760999999999</v>
      </c>
      <c r="I218" s="20">
        <f>(6088.11*(L8))</f>
        <v>32571.388499999997</v>
      </c>
      <c r="J218" s="20">
        <f>(6153.9*(L8))</f>
        <v>32923.364999999998</v>
      </c>
      <c r="K218" s="20">
        <f>(6329.34*(L8))</f>
        <v>33861.968999999997</v>
      </c>
      <c r="L218" s="20">
        <f>(6438.99*(L8))</f>
        <v>34448.5965</v>
      </c>
      <c r="M218" s="20">
        <f>(6570.57*(L8))</f>
        <v>35152.549499999994</v>
      </c>
      <c r="N218" s="20">
        <f>(6724.08*(L8))</f>
        <v>35973.827999999994</v>
      </c>
      <c r="O218" s="20">
        <f>(6943.37*(L8))</f>
        <v>37147.029499999997</v>
      </c>
      <c r="P218" s="20">
        <f>(7053.02*(L8))</f>
        <v>37733.656999999999</v>
      </c>
      <c r="Q218" s="20">
        <f>(7491.62*(L8))</f>
        <v>40080.166999999994</v>
      </c>
    </row>
    <row r="219" spans="1:17" ht="12.75" customHeight="1" x14ac:dyDescent="0.2">
      <c r="A219" s="6"/>
      <c r="B219" s="10" t="s">
        <v>451</v>
      </c>
      <c r="C219" s="20" t="s">
        <v>452</v>
      </c>
      <c r="D219" s="20" t="s">
        <v>149</v>
      </c>
      <c r="E219" s="20" t="s">
        <v>256</v>
      </c>
      <c r="F219" s="20" t="s">
        <v>409</v>
      </c>
      <c r="G219" s="20" t="s">
        <v>435</v>
      </c>
      <c r="H219" s="20">
        <f>(6197.76*(L8))</f>
        <v>33158.015999999996</v>
      </c>
      <c r="I219" s="20">
        <f>(6311.79*(L8))</f>
        <v>33768.076499999996</v>
      </c>
      <c r="J219" s="20">
        <f>(6380.22*(L8))</f>
        <v>34134.176999999996</v>
      </c>
      <c r="K219" s="20">
        <f>(6562.67*(L8))</f>
        <v>35110.284500000002</v>
      </c>
      <c r="L219" s="20">
        <f>(6676.71*(L8))</f>
        <v>35720.398499999996</v>
      </c>
      <c r="M219" s="20">
        <f>(6813.55*(L8))</f>
        <v>36452.4925</v>
      </c>
      <c r="N219" s="20">
        <f>(6973.2*(L8))</f>
        <v>37306.619999999995</v>
      </c>
      <c r="O219" s="20">
        <f>(7201.27*(L8))</f>
        <v>38526.794499999996</v>
      </c>
      <c r="P219" s="20">
        <f>(7315.3*(L8))</f>
        <v>39136.854999999996</v>
      </c>
      <c r="Q219" s="20">
        <f>(7771.44*(L8))</f>
        <v>41577.203999999998</v>
      </c>
    </row>
    <row r="220" spans="1:17" ht="12.75" customHeight="1" x14ac:dyDescent="0.2">
      <c r="A220" s="6"/>
      <c r="B220" s="10" t="s">
        <v>453</v>
      </c>
      <c r="C220" s="20" t="s">
        <v>454</v>
      </c>
      <c r="D220" s="20" t="s">
        <v>149</v>
      </c>
      <c r="E220" s="20" t="s">
        <v>256</v>
      </c>
      <c r="F220" s="20" t="s">
        <v>409</v>
      </c>
      <c r="G220" s="20" t="s">
        <v>237</v>
      </c>
      <c r="H220" s="20">
        <f>(6518.45*(L8))</f>
        <v>34873.707499999997</v>
      </c>
      <c r="I220" s="20">
        <f>(6641.26*(L8))</f>
        <v>35530.741000000002</v>
      </c>
      <c r="J220" s="20">
        <f>(6714.94*(L8))</f>
        <v>35924.928999999996</v>
      </c>
      <c r="K220" s="20">
        <f>(6911.43*(L8))</f>
        <v>36976.150499999996</v>
      </c>
      <c r="L220" s="20">
        <f>(7034.24*(L8))</f>
        <v>37633.183999999994</v>
      </c>
      <c r="M220" s="20">
        <f>(7181.61*(L8))</f>
        <v>38421.613499999992</v>
      </c>
      <c r="N220" s="20">
        <f>(7353.54*(L8))</f>
        <v>39341.438999999998</v>
      </c>
      <c r="O220" s="20">
        <f>(7599.15*(L8))</f>
        <v>40655.452499999992</v>
      </c>
      <c r="P220" s="20">
        <f>(7721.96*(L8))</f>
        <v>41312.485999999997</v>
      </c>
      <c r="Q220" s="20">
        <f>(8213.19*(L8))</f>
        <v>43940.566500000001</v>
      </c>
    </row>
    <row r="221" spans="1:17" ht="12.75" customHeight="1" x14ac:dyDescent="0.2">
      <c r="A221" s="6"/>
      <c r="B221" s="10" t="s">
        <v>455</v>
      </c>
      <c r="C221" s="20" t="s">
        <v>456</v>
      </c>
      <c r="D221" s="20" t="s">
        <v>149</v>
      </c>
      <c r="E221" s="20" t="s">
        <v>256</v>
      </c>
      <c r="F221" s="20" t="s">
        <v>409</v>
      </c>
      <c r="G221" s="20" t="s">
        <v>440</v>
      </c>
      <c r="H221" s="20">
        <f>(6837.55*(L8))</f>
        <v>36580.892500000002</v>
      </c>
      <c r="I221" s="20">
        <f>(6969.12*(L8))</f>
        <v>37284.791999999994</v>
      </c>
      <c r="J221" s="20">
        <f>(7048.07*(L8))</f>
        <v>37707.174499999994</v>
      </c>
      <c r="K221" s="20">
        <f>(7258.6*(L8))</f>
        <v>38833.51</v>
      </c>
      <c r="L221" s="20">
        <f>(7390.18*(L8))</f>
        <v>39537.462999999996</v>
      </c>
      <c r="M221" s="20">
        <f>(7548.07*(L8))</f>
        <v>40382.174499999994</v>
      </c>
      <c r="N221" s="20">
        <f>(7732.28*(L8))</f>
        <v>41367.697999999997</v>
      </c>
      <c r="O221" s="20">
        <f>(7995.44*(L8))</f>
        <v>42775.603999999992</v>
      </c>
      <c r="P221" s="20">
        <f>(8127.02*(L8))</f>
        <v>43479.557000000001</v>
      </c>
      <c r="Q221" s="20">
        <f>(8653.33*(L8))</f>
        <v>46295.315499999997</v>
      </c>
    </row>
    <row r="222" spans="1:17" ht="12.75" customHeight="1" x14ac:dyDescent="0.2">
      <c r="A222" s="6"/>
      <c r="B222" s="10" t="s">
        <v>457</v>
      </c>
      <c r="C222" s="20" t="s">
        <v>458</v>
      </c>
      <c r="D222" s="20" t="s">
        <v>149</v>
      </c>
      <c r="E222" s="20" t="s">
        <v>256</v>
      </c>
      <c r="F222" s="20" t="s">
        <v>409</v>
      </c>
      <c r="G222" s="20" t="s">
        <v>234</v>
      </c>
      <c r="H222" s="20">
        <f>(7099.68*(L8))</f>
        <v>37983.288</v>
      </c>
      <c r="I222" s="20">
        <f>(7240.03*(L8))</f>
        <v>38734.160499999998</v>
      </c>
      <c r="J222" s="20">
        <f>(7324.24*(L8))</f>
        <v>39184.683999999994</v>
      </c>
      <c r="K222" s="20">
        <f>(7548.8*(L8))</f>
        <v>40386.080000000002</v>
      </c>
      <c r="L222" s="20">
        <f>(7689.15*(L8))</f>
        <v>41136.952499999992</v>
      </c>
      <c r="M222" s="20">
        <f>(7857.57*(L8))</f>
        <v>42037.999499999998</v>
      </c>
      <c r="N222" s="20">
        <f>(8054.06*(L8))</f>
        <v>43089.220999999998</v>
      </c>
      <c r="O222" s="20">
        <f>(8334.76*(L8))</f>
        <v>44590.966</v>
      </c>
      <c r="P222" s="20">
        <f>(8475.12*(L8))</f>
        <v>45341.892</v>
      </c>
      <c r="Q222" s="20">
        <f>(9036.52*(L8))</f>
        <v>48345.381999999998</v>
      </c>
    </row>
    <row r="223" spans="1:17" ht="12.75" customHeight="1" x14ac:dyDescent="0.2">
      <c r="A223" s="6"/>
      <c r="B223" s="10" t="s">
        <v>459</v>
      </c>
      <c r="C223" s="20" t="s">
        <v>197</v>
      </c>
      <c r="D223" s="20" t="s">
        <v>460</v>
      </c>
      <c r="E223" s="20" t="s">
        <v>256</v>
      </c>
      <c r="F223" s="20" t="s">
        <v>409</v>
      </c>
      <c r="G223" s="20" t="s">
        <v>160</v>
      </c>
      <c r="H223" s="20">
        <f>(5083.95*(L8))</f>
        <v>27199.132499999996</v>
      </c>
      <c r="I223" s="20">
        <f>(5184.83*(L8))</f>
        <v>27738.840499999998</v>
      </c>
      <c r="J223" s="20">
        <f>(5245.36*(L8))</f>
        <v>28062.675999999996</v>
      </c>
      <c r="K223" s="20">
        <f>(5406.76*(L8))</f>
        <v>28926.165999999997</v>
      </c>
      <c r="L223" s="20">
        <f>(5507.64*(L8))</f>
        <v>29465.874</v>
      </c>
      <c r="M223" s="20">
        <f>(5628.69*(L8))</f>
        <v>30113.491499999996</v>
      </c>
      <c r="N223" s="20">
        <f>(5769.92*(L8))</f>
        <v>30869.072</v>
      </c>
      <c r="O223" s="20">
        <f>(5971.67*(L8))</f>
        <v>31948.434499999999</v>
      </c>
      <c r="P223" s="20">
        <f>(6072.55*(L8))</f>
        <v>32488.142499999998</v>
      </c>
      <c r="Q223" s="20">
        <f>(6476.06*(L8))</f>
        <v>34646.921000000002</v>
      </c>
    </row>
    <row r="224" spans="1:17" ht="12.75" customHeight="1" x14ac:dyDescent="0.2">
      <c r="A224" s="6"/>
      <c r="B224" s="10" t="s">
        <v>461</v>
      </c>
      <c r="C224" s="20" t="s">
        <v>30</v>
      </c>
      <c r="D224" s="20" t="s">
        <v>460</v>
      </c>
      <c r="E224" s="20" t="s">
        <v>256</v>
      </c>
      <c r="F224" s="20" t="s">
        <v>409</v>
      </c>
      <c r="G224" s="20" t="s">
        <v>160</v>
      </c>
      <c r="H224" s="20">
        <f>(5210.55*(L8))</f>
        <v>27876.442499999997</v>
      </c>
      <c r="I224" s="20">
        <f>(5311.43*(L8))</f>
        <v>28416.1505</v>
      </c>
      <c r="J224" s="20">
        <f>(5371.95*(L8))</f>
        <v>28739.932499999995</v>
      </c>
      <c r="K224" s="20">
        <f>(5533.36*(L8))</f>
        <v>29603.475999999995</v>
      </c>
      <c r="L224" s="20">
        <f>(5634.23*(L8))</f>
        <v>30143.130499999996</v>
      </c>
      <c r="M224" s="20">
        <f>(5755.29*(L8))</f>
        <v>30790.801499999998</v>
      </c>
      <c r="N224" s="20">
        <f>(5896.51*(L8))</f>
        <v>31546.3285</v>
      </c>
      <c r="O224" s="20">
        <f>(6098.27*(L8))</f>
        <v>32625.744500000001</v>
      </c>
      <c r="P224" s="20">
        <f>(6199.15*(L8))</f>
        <v>33165.452499999999</v>
      </c>
      <c r="Q224" s="20">
        <f>(6602.65*(L8))</f>
        <v>35324.177499999998</v>
      </c>
    </row>
    <row r="225" spans="1:17" ht="12.75" customHeight="1" x14ac:dyDescent="0.2">
      <c r="A225" s="6"/>
      <c r="B225" s="10" t="s">
        <v>462</v>
      </c>
      <c r="C225" s="20" t="s">
        <v>79</v>
      </c>
      <c r="D225" s="20" t="s">
        <v>149</v>
      </c>
      <c r="E225" s="20" t="s">
        <v>398</v>
      </c>
      <c r="F225" s="20" t="s">
        <v>27</v>
      </c>
      <c r="G225" s="20" t="s">
        <v>247</v>
      </c>
      <c r="H225" s="20">
        <f>(3200.7*(L8))</f>
        <v>17123.744999999999</v>
      </c>
      <c r="I225" s="20">
        <f>(3227.63*(L8))</f>
        <v>17267.820499999998</v>
      </c>
      <c r="J225" s="20">
        <f>(3243.79*(L8))</f>
        <v>17354.2765</v>
      </c>
      <c r="K225" s="20">
        <f>(3286.88*(L8))</f>
        <v>17584.808000000001</v>
      </c>
      <c r="L225" s="20">
        <f>(3313.81*(L8))</f>
        <v>17728.8835</v>
      </c>
      <c r="M225" s="20">
        <f>(3346.12*(L8))</f>
        <v>17901.741999999998</v>
      </c>
      <c r="N225" s="20">
        <f>(3383.82*(L8))</f>
        <v>18103.436999999998</v>
      </c>
      <c r="O225" s="20">
        <f>(3437.68*(L8))</f>
        <v>18391.587999999996</v>
      </c>
      <c r="P225" s="20">
        <f>(3464.61*(L8))</f>
        <v>18535.663499999999</v>
      </c>
      <c r="Q225" s="20">
        <f>(3572.33*(L8))</f>
        <v>19111.965499999998</v>
      </c>
    </row>
    <row r="226" spans="1:17" ht="30" customHeight="1" x14ac:dyDescent="0.35">
      <c r="A226" s="6"/>
      <c r="B226" s="23" t="s">
        <v>1471</v>
      </c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5"/>
    </row>
    <row r="227" spans="1:17" ht="12.75" customHeight="1" x14ac:dyDescent="0.2">
      <c r="A227" s="7" t="s">
        <v>6</v>
      </c>
      <c r="B227" s="8" t="s">
        <v>7</v>
      </c>
      <c r="C227" s="8" t="s">
        <v>8</v>
      </c>
      <c r="D227" s="8" t="s">
        <v>9</v>
      </c>
      <c r="E227" s="8" t="s">
        <v>10</v>
      </c>
      <c r="F227" s="8" t="s">
        <v>11</v>
      </c>
      <c r="G227" s="8" t="s">
        <v>12</v>
      </c>
      <c r="H227" s="8" t="s">
        <v>13</v>
      </c>
      <c r="I227" s="8" t="s">
        <v>14</v>
      </c>
      <c r="J227" s="8" t="s">
        <v>15</v>
      </c>
      <c r="K227" s="8" t="s">
        <v>16</v>
      </c>
      <c r="L227" s="8" t="s">
        <v>17</v>
      </c>
      <c r="M227" s="8" t="s">
        <v>18</v>
      </c>
      <c r="N227" s="8" t="s">
        <v>19</v>
      </c>
      <c r="O227" s="8" t="s">
        <v>20</v>
      </c>
      <c r="P227" s="8" t="s">
        <v>21</v>
      </c>
      <c r="Q227" s="8" t="s">
        <v>22</v>
      </c>
    </row>
    <row r="228" spans="1:17" ht="12.75" customHeight="1" x14ac:dyDescent="0.2">
      <c r="A228" s="6"/>
      <c r="B228" s="10" t="s">
        <v>463</v>
      </c>
      <c r="C228" s="20" t="s">
        <v>136</v>
      </c>
      <c r="D228" s="20" t="s">
        <v>464</v>
      </c>
      <c r="E228" s="20" t="s">
        <v>256</v>
      </c>
      <c r="F228" s="20" t="s">
        <v>383</v>
      </c>
      <c r="G228" s="20" t="s">
        <v>163</v>
      </c>
      <c r="H228" s="20">
        <f>(3581.51*$L$8)</f>
        <v>19161.0785</v>
      </c>
      <c r="I228" s="20">
        <f>(3651.69*$L$8)</f>
        <v>19536.541499999999</v>
      </c>
      <c r="J228" s="20">
        <f>(3693.8*$L$8)</f>
        <v>19761.829999999998</v>
      </c>
      <c r="K228" s="20">
        <f>(3806.08*$L$8)</f>
        <v>20362.527999999998</v>
      </c>
      <c r="L228" s="20">
        <f>(3876.25*$L$8)</f>
        <v>20737.9375</v>
      </c>
      <c r="M228" s="20">
        <f>(3960.46*$L$8)</f>
        <v>21188.460999999999</v>
      </c>
      <c r="N228" s="20">
        <f>(4058.71*$L$8)</f>
        <v>21714.0985</v>
      </c>
      <c r="O228" s="20">
        <f>(4199.06*$L$8)</f>
        <v>22464.971000000001</v>
      </c>
      <c r="P228" s="20">
        <f>(4269.23*$L$8)</f>
        <v>22840.380499999996</v>
      </c>
      <c r="Q228" s="20">
        <f>(4549.94*$L$8)</f>
        <v>24342.178999999996</v>
      </c>
    </row>
    <row r="229" spans="1:17" ht="12.75" customHeight="1" x14ac:dyDescent="0.2">
      <c r="A229" s="6"/>
      <c r="B229" s="10" t="s">
        <v>465</v>
      </c>
      <c r="C229" s="20" t="s">
        <v>137</v>
      </c>
      <c r="D229" s="20" t="s">
        <v>464</v>
      </c>
      <c r="E229" s="20" t="s">
        <v>256</v>
      </c>
      <c r="F229" s="20" t="s">
        <v>383</v>
      </c>
      <c r="G229" s="20" t="s">
        <v>182</v>
      </c>
      <c r="H229" s="20">
        <f>(3770.6*$L$8)</f>
        <v>20172.71</v>
      </c>
      <c r="I229" s="20">
        <f>(3849.55*$L$8)</f>
        <v>20595.092499999999</v>
      </c>
      <c r="J229" s="20">
        <f>(3896.92*$L$8)</f>
        <v>20848.521999999997</v>
      </c>
      <c r="K229" s="20">
        <f>(4023.23*$L$8)</f>
        <v>21524.280499999997</v>
      </c>
      <c r="L229" s="20">
        <f>(4102.18*$L$8)</f>
        <v>21946.663</v>
      </c>
      <c r="M229" s="20">
        <f>(4196.92*$L$8)</f>
        <v>22453.521999999997</v>
      </c>
      <c r="N229" s="20">
        <f>(4307.44*$L$8)</f>
        <v>23044.803999999996</v>
      </c>
      <c r="O229" s="20">
        <f>(4465.34*$L$8)</f>
        <v>23889.569</v>
      </c>
      <c r="P229" s="20">
        <f>(4544.29*$L$8)</f>
        <v>24311.951499999999</v>
      </c>
      <c r="Q229" s="20">
        <f>(4860.08*$L$8)</f>
        <v>26001.427999999996</v>
      </c>
    </row>
    <row r="230" spans="1:17" ht="12.75" customHeight="1" x14ac:dyDescent="0.2">
      <c r="A230" s="6"/>
      <c r="B230" s="10" t="s">
        <v>466</v>
      </c>
      <c r="C230" s="20" t="s">
        <v>292</v>
      </c>
      <c r="D230" s="20" t="s">
        <v>464</v>
      </c>
      <c r="E230" s="20" t="s">
        <v>256</v>
      </c>
      <c r="F230" s="20" t="s">
        <v>383</v>
      </c>
      <c r="G230" s="20" t="s">
        <v>185</v>
      </c>
      <c r="H230" s="20">
        <f>(3899.48*$L$8)</f>
        <v>20862.217999999997</v>
      </c>
      <c r="I230" s="20">
        <f>(3982.81*$L$8)</f>
        <v>21308.033499999998</v>
      </c>
      <c r="J230" s="20">
        <f>(4032.81*$L$8)</f>
        <v>21575.533499999998</v>
      </c>
      <c r="K230" s="20">
        <f>(4166.15*$L$8)</f>
        <v>22288.902499999997</v>
      </c>
      <c r="L230" s="20">
        <f>(4249.48*$L$8)</f>
        <v>22734.717999999997</v>
      </c>
      <c r="M230" s="20">
        <f>(4349.48*$L$8)</f>
        <v>23269.717999999997</v>
      </c>
      <c r="N230" s="20">
        <f>(4466.15*$L$8)</f>
        <v>23893.902499999997</v>
      </c>
      <c r="O230" s="20">
        <f>(4632.81*$L$8)</f>
        <v>24785.533500000001</v>
      </c>
      <c r="P230" s="20">
        <f>(4716.15*$L$8)</f>
        <v>25231.402499999997</v>
      </c>
      <c r="Q230" s="20">
        <f>(5049.48*$L$8)</f>
        <v>27014.717999999997</v>
      </c>
    </row>
    <row r="231" spans="1:17" ht="12.75" customHeight="1" x14ac:dyDescent="0.2">
      <c r="A231" s="6"/>
      <c r="B231" s="10" t="s">
        <v>467</v>
      </c>
      <c r="C231" s="20" t="s">
        <v>273</v>
      </c>
      <c r="D231" s="20" t="s">
        <v>464</v>
      </c>
      <c r="E231" s="20" t="s">
        <v>256</v>
      </c>
      <c r="F231" s="20" t="s">
        <v>383</v>
      </c>
      <c r="G231" s="20" t="s">
        <v>229</v>
      </c>
      <c r="H231" s="20">
        <f>(4150.13*$L$8)</f>
        <v>22203.195499999998</v>
      </c>
      <c r="I231" s="20">
        <f>(4237.85*$L$8)</f>
        <v>22672.497500000001</v>
      </c>
      <c r="J231" s="20">
        <f>(4290.48*$L$8)</f>
        <v>22954.067999999996</v>
      </c>
      <c r="K231" s="20">
        <f>(4430.83*$L$8)</f>
        <v>23704.940499999997</v>
      </c>
      <c r="L231" s="20">
        <f>(4518.55*$L$8)</f>
        <v>24174.2425</v>
      </c>
      <c r="M231" s="20">
        <f>(4623.81*$L$8)</f>
        <v>24737.3835</v>
      </c>
      <c r="N231" s="20">
        <f>(4746.62*$L$8)</f>
        <v>25394.416999999998</v>
      </c>
      <c r="O231" s="20">
        <f>(4922.06*$L$8)</f>
        <v>26333.021000000001</v>
      </c>
      <c r="P231" s="20">
        <f>(5009.78*$L$8)</f>
        <v>26802.322999999997</v>
      </c>
      <c r="Q231" s="20">
        <f>(5360.65*$L$8)</f>
        <v>28679.477499999997</v>
      </c>
    </row>
    <row r="232" spans="1:17" ht="12.75" customHeight="1" x14ac:dyDescent="0.2">
      <c r="A232" s="6"/>
      <c r="B232" s="10" t="s">
        <v>468</v>
      </c>
      <c r="C232" s="20" t="s">
        <v>170</v>
      </c>
      <c r="D232" s="20" t="s">
        <v>464</v>
      </c>
      <c r="E232" s="20" t="s">
        <v>256</v>
      </c>
      <c r="F232" s="20" t="s">
        <v>383</v>
      </c>
      <c r="G232" s="20" t="s">
        <v>231</v>
      </c>
      <c r="H232" s="20">
        <f>(4525.53*$L$8)</f>
        <v>24211.585499999997</v>
      </c>
      <c r="I232" s="20">
        <f>(4630.79*$L$8)</f>
        <v>24774.726499999997</v>
      </c>
      <c r="J232" s="20">
        <f>(4693.95*$L$8)</f>
        <v>25112.632499999996</v>
      </c>
      <c r="K232" s="20">
        <f>(4862.37*$L$8)</f>
        <v>26013.679499999998</v>
      </c>
      <c r="L232" s="20">
        <f>(4967.64*$L$8)</f>
        <v>26576.874</v>
      </c>
      <c r="M232" s="20">
        <f>(5093.95*$L$8)</f>
        <v>27252.632499999996</v>
      </c>
      <c r="N232" s="20">
        <f>(5241.32*$L$8)</f>
        <v>28041.061999999998</v>
      </c>
      <c r="O232" s="20">
        <f>(5451.85*$L$8)</f>
        <v>29167.397499999999</v>
      </c>
      <c r="P232" s="20">
        <f>(5557.11*$L$8)</f>
        <v>29730.538499999995</v>
      </c>
      <c r="Q232" s="20">
        <f>(5978.16*$L$8)</f>
        <v>31983.155999999995</v>
      </c>
    </row>
    <row r="233" spans="1:17" ht="12.75" customHeight="1" x14ac:dyDescent="0.2">
      <c r="A233" s="6"/>
      <c r="B233" s="10" t="s">
        <v>469</v>
      </c>
      <c r="C233" s="20" t="s">
        <v>292</v>
      </c>
      <c r="D233" s="20" t="s">
        <v>464</v>
      </c>
      <c r="E233" s="20" t="s">
        <v>256</v>
      </c>
      <c r="F233" s="20" t="s">
        <v>383</v>
      </c>
      <c r="G233" s="20" t="s">
        <v>182</v>
      </c>
      <c r="H233" s="20">
        <f>(4202.18*$L$8)</f>
        <v>22481.663</v>
      </c>
      <c r="I233" s="20">
        <f>(4298.67*$L$8)</f>
        <v>22997.8845</v>
      </c>
      <c r="J233" s="20">
        <f>(4356.57*($L$8))</f>
        <v>23307.649499999996</v>
      </c>
      <c r="K233" s="20">
        <f>(4510.95*$L$8)</f>
        <v>24133.582499999997</v>
      </c>
      <c r="L233" s="20">
        <f>(4607.44*$L$8)</f>
        <v>24649.803999999996</v>
      </c>
      <c r="M233" s="20">
        <f>(4723.23*$L$8)</f>
        <v>25269.280499999997</v>
      </c>
      <c r="N233" s="20">
        <f>(4858.32*$L$8)</f>
        <v>25992.011999999995</v>
      </c>
      <c r="O233" s="20">
        <f>(5051.3*$L$8)</f>
        <v>27024.454999999998</v>
      </c>
      <c r="P233" s="20">
        <f>(5147.79*$L$8)</f>
        <v>27540.676499999998</v>
      </c>
      <c r="Q233" s="20">
        <f>(5533.76*$L$8)</f>
        <v>29605.615999999998</v>
      </c>
    </row>
    <row r="234" spans="1:17" ht="12.75" customHeight="1" x14ac:dyDescent="0.2">
      <c r="A234" s="6"/>
      <c r="B234" s="10" t="s">
        <v>470</v>
      </c>
      <c r="C234" s="20" t="s">
        <v>278</v>
      </c>
      <c r="D234" s="20" t="s">
        <v>464</v>
      </c>
      <c r="E234" s="20" t="s">
        <v>256</v>
      </c>
      <c r="F234" s="20" t="s">
        <v>383</v>
      </c>
      <c r="G234" s="20" t="s">
        <v>440</v>
      </c>
      <c r="H234" s="20">
        <f>(4477.51*$L$8)</f>
        <v>23954.678499999998</v>
      </c>
      <c r="I234" s="20">
        <f>(4587.16*$L$8)</f>
        <v>24541.305999999997</v>
      </c>
      <c r="J234" s="20">
        <f>(4652.95*$L$8)</f>
        <v>24893.282499999998</v>
      </c>
      <c r="K234" s="20">
        <f>(4828.39*$L$8)</f>
        <v>25831.886500000001</v>
      </c>
      <c r="L234" s="20">
        <f>(4938.04*$L$8)</f>
        <v>26418.513999999999</v>
      </c>
      <c r="M234" s="20">
        <f>(5069.62*$L$8)</f>
        <v>27122.466999999997</v>
      </c>
      <c r="N234" s="20">
        <f>(5223.13*$L$8)</f>
        <v>27943.745499999997</v>
      </c>
      <c r="O234" s="20">
        <f>(5442.43*$L$8)</f>
        <v>29117.000499999998</v>
      </c>
      <c r="P234" s="20">
        <f>(5552.08*$L$8)</f>
        <v>29703.627999999997</v>
      </c>
      <c r="Q234" s="20">
        <f>(5990.67*$L$8)</f>
        <v>32050.084499999997</v>
      </c>
    </row>
    <row r="235" spans="1:17" ht="12.75" customHeight="1" x14ac:dyDescent="0.2">
      <c r="A235" s="6"/>
      <c r="B235" s="10" t="s">
        <v>471</v>
      </c>
      <c r="C235" s="20" t="s">
        <v>172</v>
      </c>
      <c r="D235" s="20" t="s">
        <v>464</v>
      </c>
      <c r="E235" s="20" t="s">
        <v>256</v>
      </c>
      <c r="F235" s="20" t="s">
        <v>383</v>
      </c>
      <c r="G235" s="20" t="s">
        <v>234</v>
      </c>
      <c r="H235" s="20">
        <f>(4963.84*$L$8)</f>
        <v>26556.543999999998</v>
      </c>
      <c r="I235" s="20">
        <f>(5086.64*$L$8)</f>
        <v>27213.524000000001</v>
      </c>
      <c r="J235" s="20">
        <f>(5160.33*$L$8)</f>
        <v>27607.765499999998</v>
      </c>
      <c r="K235" s="20">
        <f>(5356.82*$L$8)</f>
        <v>28658.986999999997</v>
      </c>
      <c r="L235" s="20">
        <f>(5479.63*$L$8)</f>
        <v>29316.020499999999</v>
      </c>
      <c r="M235" s="20">
        <f>(5626.99*$L$8)</f>
        <v>30104.396499999995</v>
      </c>
      <c r="N235" s="20">
        <f>(5798.92*$L$8)</f>
        <v>31024.221999999998</v>
      </c>
      <c r="O235" s="20">
        <f>(6044.54*$L$8)</f>
        <v>32338.288999999997</v>
      </c>
      <c r="P235" s="20">
        <f>(6167.35*$L$8)</f>
        <v>32995.322500000002</v>
      </c>
      <c r="Q235" s="20">
        <f>(6658.57*$L$8)</f>
        <v>35623.349499999997</v>
      </c>
    </row>
    <row r="236" spans="1:17" ht="12.75" customHeight="1" x14ac:dyDescent="0.2">
      <c r="A236" s="6"/>
      <c r="B236" s="10" t="s">
        <v>472</v>
      </c>
      <c r="C236" s="20" t="s">
        <v>259</v>
      </c>
      <c r="D236" s="20" t="s">
        <v>464</v>
      </c>
      <c r="E236" s="20" t="s">
        <v>256</v>
      </c>
      <c r="F236" s="20" t="s">
        <v>473</v>
      </c>
      <c r="G236" s="20" t="s">
        <v>163</v>
      </c>
      <c r="H236" s="20">
        <f>(3792.76*$L$8)</f>
        <v>20291.266</v>
      </c>
      <c r="I236" s="20">
        <f>(3871.71*$L$8)</f>
        <v>20713.648499999999</v>
      </c>
      <c r="J236" s="20">
        <f>(3919.08*$L$8)</f>
        <v>20967.077999999998</v>
      </c>
      <c r="K236" s="20">
        <f>(4045.39*$L$8)</f>
        <v>21642.836499999998</v>
      </c>
      <c r="L236" s="20">
        <f>(4124.34*$L$8)</f>
        <v>22065.219000000001</v>
      </c>
      <c r="M236" s="20">
        <f>(4219.08*$L$8)</f>
        <v>22572.077999999998</v>
      </c>
      <c r="N236" s="20">
        <f>(4329.6*$L$8)</f>
        <v>23163.360000000001</v>
      </c>
      <c r="O236" s="20">
        <f>(4487.5*$L$8)</f>
        <v>24008.125</v>
      </c>
      <c r="P236" s="20">
        <f>(4566.44*$L$8)</f>
        <v>24430.453999999998</v>
      </c>
      <c r="Q236" s="20">
        <f>(4882.23*$L$8)</f>
        <v>26119.930499999995</v>
      </c>
    </row>
    <row r="237" spans="1:17" ht="12.75" customHeight="1" x14ac:dyDescent="0.2">
      <c r="A237" s="6"/>
      <c r="B237" s="10" t="s">
        <v>474</v>
      </c>
      <c r="C237" s="20" t="s">
        <v>282</v>
      </c>
      <c r="D237" s="20" t="s">
        <v>464</v>
      </c>
      <c r="E237" s="20" t="s">
        <v>256</v>
      </c>
      <c r="F237" s="20" t="s">
        <v>473</v>
      </c>
      <c r="G237" s="20" t="s">
        <v>435</v>
      </c>
      <c r="H237" s="20">
        <f>(4563.09*$L$8)</f>
        <v>24412.531500000001</v>
      </c>
      <c r="I237" s="20">
        <f>(4677.13*$L$8)</f>
        <v>25022.645499999999</v>
      </c>
      <c r="J237" s="20">
        <f>(4745.55*$L$8)</f>
        <v>25388.692500000001</v>
      </c>
      <c r="K237" s="20">
        <f>(4928.01*$L$8)</f>
        <v>26364.853500000001</v>
      </c>
      <c r="L237" s="20">
        <f>(5042.04*$L$8)</f>
        <v>26974.913999999997</v>
      </c>
      <c r="M237" s="20">
        <f>(5178.88*$L$8)</f>
        <v>27707.007999999998</v>
      </c>
      <c r="N237" s="20">
        <f>(5338.53*$L$8)</f>
        <v>28561.135499999997</v>
      </c>
      <c r="O237" s="20">
        <f>(5566.6*$L$8)</f>
        <v>29781.31</v>
      </c>
      <c r="P237" s="20">
        <f>(5680.64*$L$8)</f>
        <v>30391.423999999999</v>
      </c>
      <c r="Q237" s="20">
        <f>(6136.78*$L$8)</f>
        <v>32831.772999999994</v>
      </c>
    </row>
    <row r="238" spans="1:17" ht="12.75" customHeight="1" x14ac:dyDescent="0.2">
      <c r="A238" s="6"/>
      <c r="B238" s="10" t="s">
        <v>475</v>
      </c>
      <c r="C238" s="20" t="s">
        <v>280</v>
      </c>
      <c r="D238" s="20" t="s">
        <v>464</v>
      </c>
      <c r="E238" s="20" t="s">
        <v>256</v>
      </c>
      <c r="F238" s="20" t="s">
        <v>473</v>
      </c>
      <c r="G238" s="20" t="s">
        <v>185</v>
      </c>
      <c r="H238" s="20">
        <f>(4211.64*$L$8)</f>
        <v>22532.274000000001</v>
      </c>
      <c r="I238" s="20">
        <f>(4316.9*$L$8)</f>
        <v>23095.414999999997</v>
      </c>
      <c r="J238" s="20">
        <f>(4380.06*$L$8)</f>
        <v>23433.321</v>
      </c>
      <c r="K238" s="20">
        <f>(4548.48*$L$8)</f>
        <v>24334.367999999995</v>
      </c>
      <c r="L238" s="20">
        <f>(4653.74*$L$8)</f>
        <v>24897.508999999998</v>
      </c>
      <c r="M238" s="20">
        <f>(4780.06*$L$8)</f>
        <v>25573.321</v>
      </c>
      <c r="N238" s="20">
        <f>(4927.43*$L$8)</f>
        <v>26361.750499999998</v>
      </c>
      <c r="O238" s="20">
        <f>(5137.95*$L$8)</f>
        <v>27488.032499999998</v>
      </c>
      <c r="P238" s="20">
        <f>(5243.22*$L$8)</f>
        <v>28051.226999999999</v>
      </c>
      <c r="Q238" s="20">
        <f>(5664.27*$L$8)</f>
        <v>30303.844499999999</v>
      </c>
    </row>
    <row r="239" spans="1:17" ht="12.75" customHeight="1" x14ac:dyDescent="0.2">
      <c r="A239" s="6"/>
      <c r="B239" s="10" t="s">
        <v>476</v>
      </c>
      <c r="C239" s="20" t="s">
        <v>221</v>
      </c>
      <c r="D239" s="20" t="s">
        <v>464</v>
      </c>
      <c r="E239" s="20" t="s">
        <v>256</v>
      </c>
      <c r="F239" s="20" t="s">
        <v>473</v>
      </c>
      <c r="G239" s="20" t="s">
        <v>477</v>
      </c>
      <c r="H239" s="20">
        <f>(4932.91*$L$8)</f>
        <v>26391.068499999998</v>
      </c>
      <c r="I239" s="20">
        <f>(5073.26*$L$8)</f>
        <v>27141.940999999999</v>
      </c>
      <c r="J239" s="20">
        <f>(5157.47*$L$8)</f>
        <v>27592.464499999998</v>
      </c>
      <c r="K239" s="20">
        <f>(5382.03*$L$8)</f>
        <v>28793.860499999995</v>
      </c>
      <c r="L239" s="20">
        <f>(5522.38*$L$8)</f>
        <v>29544.733</v>
      </c>
      <c r="M239" s="20">
        <f>(5690.8*$L$8)</f>
        <v>30445.78</v>
      </c>
      <c r="N239" s="20">
        <f>(5887.29*$L$8)</f>
        <v>31497.001499999998</v>
      </c>
      <c r="O239" s="20">
        <f>(6167.99*$L$8)</f>
        <v>32998.746499999994</v>
      </c>
      <c r="P239" s="20">
        <f>(6308.35*$L$8)</f>
        <v>33749.672500000001</v>
      </c>
      <c r="Q239" s="20">
        <f>(6869.75*$L$8)</f>
        <v>36753.162499999999</v>
      </c>
    </row>
    <row r="240" spans="1:17" ht="12.75" customHeight="1" x14ac:dyDescent="0.2">
      <c r="A240" s="6"/>
      <c r="B240" s="10" t="s">
        <v>478</v>
      </c>
      <c r="C240" s="20" t="s">
        <v>79</v>
      </c>
      <c r="D240" s="20" t="s">
        <v>464</v>
      </c>
      <c r="E240" s="20" t="s">
        <v>398</v>
      </c>
      <c r="F240" s="20" t="s">
        <v>27</v>
      </c>
      <c r="G240" s="20" t="s">
        <v>268</v>
      </c>
      <c r="H240" s="20">
        <f>(1730.27*$L$8)</f>
        <v>9256.9444999999996</v>
      </c>
      <c r="I240" s="20">
        <f>(1756.59*$L$8)</f>
        <v>9397.7564999999995</v>
      </c>
      <c r="J240" s="20">
        <f>(1772.38*$L$8)</f>
        <v>9482.2330000000002</v>
      </c>
      <c r="K240" s="20">
        <f>(1814.48*$L$8)</f>
        <v>9707.4679999999989</v>
      </c>
      <c r="L240" s="20">
        <f>(1840.8*$L$8)</f>
        <v>9848.2799999999988</v>
      </c>
      <c r="M240" s="20">
        <f>(1872.38*$L$8)</f>
        <v>10017.233</v>
      </c>
      <c r="N240" s="20">
        <f>(1909.22*$L$8)</f>
        <v>10214.326999999999</v>
      </c>
      <c r="O240" s="20">
        <f>(1961.85*$L$8)</f>
        <v>10495.897499999999</v>
      </c>
      <c r="P240" s="20">
        <f>(1988.16*$L$8)</f>
        <v>10636.655999999999</v>
      </c>
      <c r="Q240" s="20">
        <f>(2093.43*$L$8)</f>
        <v>11199.850499999999</v>
      </c>
    </row>
    <row r="241" spans="1:17" ht="30" customHeight="1" x14ac:dyDescent="0.35">
      <c r="A241" s="6"/>
      <c r="B241" s="23" t="s">
        <v>479</v>
      </c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5"/>
    </row>
    <row r="242" spans="1:17" ht="12.75" customHeight="1" x14ac:dyDescent="0.2">
      <c r="A242" s="7" t="s">
        <v>6</v>
      </c>
      <c r="B242" s="8" t="s">
        <v>7</v>
      </c>
      <c r="C242" s="8" t="s">
        <v>8</v>
      </c>
      <c r="D242" s="8" t="s">
        <v>9</v>
      </c>
      <c r="E242" s="8" t="s">
        <v>10</v>
      </c>
      <c r="F242" s="8" t="s">
        <v>11</v>
      </c>
      <c r="G242" s="8" t="s">
        <v>12</v>
      </c>
      <c r="H242" s="8" t="s">
        <v>13</v>
      </c>
      <c r="I242" s="8" t="s">
        <v>14</v>
      </c>
      <c r="J242" s="8" t="s">
        <v>15</v>
      </c>
      <c r="K242" s="8" t="s">
        <v>16</v>
      </c>
      <c r="L242" s="8" t="s">
        <v>17</v>
      </c>
      <c r="M242" s="8" t="s">
        <v>18</v>
      </c>
      <c r="N242" s="8" t="s">
        <v>19</v>
      </c>
      <c r="O242" s="8" t="s">
        <v>20</v>
      </c>
      <c r="P242" s="8" t="s">
        <v>21</v>
      </c>
      <c r="Q242" s="8" t="s">
        <v>22</v>
      </c>
    </row>
    <row r="243" spans="1:17" ht="12.75" customHeight="1" x14ac:dyDescent="0.2">
      <c r="A243" s="6"/>
      <c r="B243" s="10" t="s">
        <v>480</v>
      </c>
      <c r="C243" s="20" t="s">
        <v>419</v>
      </c>
      <c r="D243" s="20" t="s">
        <v>149</v>
      </c>
      <c r="E243" s="20" t="s">
        <v>312</v>
      </c>
      <c r="F243" s="20" t="s">
        <v>405</v>
      </c>
      <c r="G243" s="20" t="s">
        <v>435</v>
      </c>
      <c r="H243" s="20">
        <f>(5538.66*(L8))</f>
        <v>29631.830999999998</v>
      </c>
      <c r="I243" s="20">
        <f>(5665.86*(L8))</f>
        <v>30312.350999999995</v>
      </c>
      <c r="J243" s="20">
        <f>(5742.17*(L8))</f>
        <v>30720.609499999999</v>
      </c>
      <c r="K243" s="20">
        <f>(5945.68*(L8))</f>
        <v>31809.387999999999</v>
      </c>
      <c r="L243" s="20">
        <f>(6072.87*(L8))</f>
        <v>32489.854499999998</v>
      </c>
      <c r="M243" s="20">
        <f>(6225.51*(L8))</f>
        <v>33306.478499999997</v>
      </c>
      <c r="N243" s="20">
        <f>(6403.58*(L8))</f>
        <v>34259.152999999998</v>
      </c>
      <c r="O243" s="20">
        <f>(6657.96*(L8))</f>
        <v>35620.085999999996</v>
      </c>
      <c r="P243" s="20">
        <f>(6785.16*(L8))</f>
        <v>36300.606</v>
      </c>
      <c r="Q243" s="20">
        <f>(7293.93*(L8))</f>
        <v>39022.525499999996</v>
      </c>
    </row>
    <row r="244" spans="1:17" ht="12.75" customHeight="1" x14ac:dyDescent="0.2">
      <c r="A244" s="6"/>
      <c r="B244" s="10" t="s">
        <v>481</v>
      </c>
      <c r="C244" s="20" t="s">
        <v>187</v>
      </c>
      <c r="D244" s="20" t="s">
        <v>482</v>
      </c>
      <c r="E244" s="20" t="s">
        <v>312</v>
      </c>
      <c r="F244" s="20" t="s">
        <v>405</v>
      </c>
      <c r="G244" s="20" t="s">
        <v>237</v>
      </c>
      <c r="H244" s="20">
        <f>(5853.23*(L8))</f>
        <v>31314.780499999997</v>
      </c>
      <c r="I244" s="20">
        <f>(5984.81*(L8))</f>
        <v>32018.733499999998</v>
      </c>
      <c r="J244" s="20">
        <f>(6063.76*(L8))</f>
        <v>32441.115999999998</v>
      </c>
      <c r="K244" s="20">
        <f>(6274.28*(L8))</f>
        <v>33567.397999999994</v>
      </c>
      <c r="L244" s="20">
        <f>(6405.86*(L8))</f>
        <v>34271.350999999995</v>
      </c>
      <c r="M244" s="20">
        <f>(6563.76*(L8))</f>
        <v>35116.116000000002</v>
      </c>
      <c r="N244" s="20">
        <f>(6747.97*(L8))</f>
        <v>36101.639499999997</v>
      </c>
      <c r="O244" s="20">
        <f>(7011.13*(L8))</f>
        <v>37509.5455</v>
      </c>
      <c r="P244" s="20">
        <f>(7142.71*(L8))</f>
        <v>38213.498499999994</v>
      </c>
      <c r="Q244" s="20">
        <f>(7669.02*(L8))</f>
        <v>41029.256999999998</v>
      </c>
    </row>
    <row r="245" spans="1:17" ht="12.75" customHeight="1" x14ac:dyDescent="0.2">
      <c r="A245" s="6"/>
      <c r="B245" s="10" t="s">
        <v>483</v>
      </c>
      <c r="C245" s="20" t="s">
        <v>189</v>
      </c>
      <c r="D245" s="20" t="s">
        <v>482</v>
      </c>
      <c r="E245" s="20" t="s">
        <v>312</v>
      </c>
      <c r="F245" s="20" t="s">
        <v>405</v>
      </c>
      <c r="G245" s="20" t="s">
        <v>440</v>
      </c>
      <c r="H245" s="20">
        <f>(6157.25*(L8))</f>
        <v>32941.287499999999</v>
      </c>
      <c r="I245" s="20">
        <f>(6293.21*(L8))</f>
        <v>33668.673499999997</v>
      </c>
      <c r="J245" s="20">
        <f>(6374.79*(L8))</f>
        <v>34105.126499999998</v>
      </c>
      <c r="K245" s="20">
        <f>(6592.33*(L8))</f>
        <v>35268.965499999998</v>
      </c>
      <c r="L245" s="20">
        <f>(6728.3*(L8))</f>
        <v>35996.404999999999</v>
      </c>
      <c r="M245" s="20">
        <f>(6891.46*(L8))</f>
        <v>36869.310999999994</v>
      </c>
      <c r="N245" s="20">
        <f>(7081.81*(L8))</f>
        <v>37887.683499999999</v>
      </c>
      <c r="O245" s="20">
        <f>(7353.74*(L8))</f>
        <v>39342.508999999998</v>
      </c>
      <c r="P245" s="20">
        <f>(7489.7*(L8))</f>
        <v>40069.894999999997</v>
      </c>
      <c r="Q245" s="20">
        <f>(8033.56*(L8))</f>
        <v>42979.546000000002</v>
      </c>
    </row>
    <row r="246" spans="1:17" ht="12.75" customHeight="1" x14ac:dyDescent="0.2">
      <c r="A246" s="6"/>
      <c r="B246" s="10" t="s">
        <v>484</v>
      </c>
      <c r="C246" s="20" t="s">
        <v>292</v>
      </c>
      <c r="D246" s="20" t="s">
        <v>482</v>
      </c>
      <c r="E246" s="20" t="s">
        <v>312</v>
      </c>
      <c r="F246" s="20" t="s">
        <v>405</v>
      </c>
      <c r="G246" s="20" t="s">
        <v>229</v>
      </c>
      <c r="H246" s="20">
        <f>(4182.82*(L8))</f>
        <v>22378.086999999996</v>
      </c>
      <c r="I246" s="20">
        <f>(4296.85*(L8))</f>
        <v>22988.147499999999</v>
      </c>
      <c r="J246" s="20">
        <f>(4365.27*(L8))</f>
        <v>23354.194500000001</v>
      </c>
      <c r="K246" s="20">
        <f>(4547.73*(L8))</f>
        <v>24330.355499999998</v>
      </c>
      <c r="L246" s="20">
        <f>(4661.76*(L8))</f>
        <v>24940.416000000001</v>
      </c>
      <c r="M246" s="20">
        <f>(4798.61*(L8))</f>
        <v>25672.563499999997</v>
      </c>
      <c r="N246" s="20">
        <f>(4958.26*(L8))</f>
        <v>26526.690999999999</v>
      </c>
      <c r="O246" s="20">
        <f>(5186.33*(L8))</f>
        <v>27746.865499999996</v>
      </c>
      <c r="P246" s="20">
        <f>(5300.36*(L8))</f>
        <v>28356.925999999996</v>
      </c>
      <c r="Q246" s="20">
        <f>(5756.5*(L8))</f>
        <v>30797.274999999998</v>
      </c>
    </row>
    <row r="247" spans="1:17" ht="12.75" customHeight="1" x14ac:dyDescent="0.2">
      <c r="A247" s="6"/>
      <c r="B247" s="10" t="s">
        <v>485</v>
      </c>
      <c r="C247" s="20" t="s">
        <v>273</v>
      </c>
      <c r="D247" s="20" t="s">
        <v>482</v>
      </c>
      <c r="E247" s="20" t="s">
        <v>312</v>
      </c>
      <c r="F247" s="20" t="s">
        <v>405</v>
      </c>
      <c r="G247" s="20" t="s">
        <v>421</v>
      </c>
      <c r="H247" s="20">
        <f>(4279.87*(L8))</f>
        <v>22897.304499999998</v>
      </c>
      <c r="I247" s="20">
        <f>(4398.29*(L8))</f>
        <v>23530.851499999997</v>
      </c>
      <c r="J247" s="20">
        <f>(4469.34*(L8))</f>
        <v>23910.969000000001</v>
      </c>
      <c r="K247" s="20">
        <f>(4658.82*(L8))</f>
        <v>24924.686999999998</v>
      </c>
      <c r="L247" s="20">
        <f>(4777.24*(L8))</f>
        <v>25558.233999999997</v>
      </c>
      <c r="M247" s="20">
        <f>(4919.34*(L8))</f>
        <v>26318.468999999997</v>
      </c>
      <c r="N247" s="20">
        <f>(5085.13*(L8))</f>
        <v>27205.445499999998</v>
      </c>
      <c r="O247" s="20">
        <f>(5321.98*(L8))</f>
        <v>28472.592999999997</v>
      </c>
      <c r="P247" s="20">
        <f>(5440.4*(L8))</f>
        <v>29106.139999999996</v>
      </c>
      <c r="Q247" s="20">
        <f>(5914.08*(L8))</f>
        <v>31640.327999999998</v>
      </c>
    </row>
    <row r="248" spans="1:17" ht="12.75" customHeight="1" x14ac:dyDescent="0.2">
      <c r="A248" s="6"/>
      <c r="B248" s="10" t="s">
        <v>486</v>
      </c>
      <c r="C248" s="20" t="s">
        <v>278</v>
      </c>
      <c r="D248" s="20" t="s">
        <v>482</v>
      </c>
      <c r="E248" s="20" t="s">
        <v>312</v>
      </c>
      <c r="F248" s="20" t="s">
        <v>405</v>
      </c>
      <c r="G248" s="20" t="s">
        <v>231</v>
      </c>
      <c r="H248" s="20">
        <f>(4434.61*(L8))</f>
        <v>23725.163499999995</v>
      </c>
      <c r="I248" s="20">
        <f>(4557.42*(L8))</f>
        <v>24382.197</v>
      </c>
      <c r="J248" s="20">
        <f>(4631.1*(L8))</f>
        <v>24776.385000000002</v>
      </c>
      <c r="K248" s="20">
        <f>(4827.59*(L8))</f>
        <v>25827.606499999998</v>
      </c>
      <c r="L248" s="20">
        <f>(4950.4*(L8))</f>
        <v>26484.639999999996</v>
      </c>
      <c r="M248" s="20">
        <f>(5097.77*(L8))</f>
        <v>27273.069500000001</v>
      </c>
      <c r="N248" s="20">
        <f>(5269.7*(L8))</f>
        <v>28192.894999999997</v>
      </c>
      <c r="O248" s="20">
        <f>(5515.31*(L8))</f>
        <v>29506.908500000001</v>
      </c>
      <c r="P248" s="20">
        <f>(5638.12*(L8))</f>
        <v>30163.941999999999</v>
      </c>
      <c r="Q248" s="20">
        <f>(6129.35*(L8))</f>
        <v>32792.022499999999</v>
      </c>
    </row>
    <row r="249" spans="1:17" ht="12.75" customHeight="1" x14ac:dyDescent="0.2">
      <c r="A249" s="6"/>
      <c r="B249" s="10" t="s">
        <v>487</v>
      </c>
      <c r="C249" s="20" t="s">
        <v>280</v>
      </c>
      <c r="D249" s="20" t="s">
        <v>482</v>
      </c>
      <c r="E249" s="20" t="s">
        <v>312</v>
      </c>
      <c r="F249" s="20" t="s">
        <v>405</v>
      </c>
      <c r="G249" s="20" t="s">
        <v>435</v>
      </c>
      <c r="H249" s="20">
        <f>(4586.71*(L8))</f>
        <v>24538.898499999999</v>
      </c>
      <c r="I249" s="20">
        <f>(4713.9*(L8))</f>
        <v>25219.364999999998</v>
      </c>
      <c r="J249" s="20">
        <f>(4790.21*(L8))</f>
        <v>25627.623499999998</v>
      </c>
      <c r="K249" s="20">
        <f>(4993.72*(L8))</f>
        <v>26716.401999999998</v>
      </c>
      <c r="L249" s="20">
        <f>(5120.92*(L8))</f>
        <v>27396.921999999999</v>
      </c>
      <c r="M249" s="20">
        <f>(5273.55*(L8))</f>
        <v>28213.4925</v>
      </c>
      <c r="N249" s="20">
        <f>(5451.62*(L8))</f>
        <v>29166.166999999998</v>
      </c>
      <c r="O249" s="20">
        <f>(5706*(L8))</f>
        <v>30527.1</v>
      </c>
      <c r="P249" s="20">
        <f>(5833.2*(L8))</f>
        <v>31207.619999999995</v>
      </c>
      <c r="Q249" s="20">
        <f>(6341.97*(L8))</f>
        <v>33929.539499999999</v>
      </c>
    </row>
    <row r="250" spans="1:17" ht="12.75" customHeight="1" x14ac:dyDescent="0.2">
      <c r="A250" s="6"/>
      <c r="B250" s="10" t="s">
        <v>488</v>
      </c>
      <c r="C250" s="20" t="s">
        <v>236</v>
      </c>
      <c r="D250" s="20" t="s">
        <v>482</v>
      </c>
      <c r="E250" s="20" t="s">
        <v>312</v>
      </c>
      <c r="F250" s="20" t="s">
        <v>405</v>
      </c>
      <c r="G250" s="20" t="s">
        <v>440</v>
      </c>
      <c r="H250" s="20">
        <f>(4778.46*(L8))</f>
        <v>25564.760999999999</v>
      </c>
      <c r="I250" s="20">
        <f>(4914.42*(L8))</f>
        <v>26292.146999999997</v>
      </c>
      <c r="J250" s="20">
        <f>(4996*(L8))</f>
        <v>26728.6</v>
      </c>
      <c r="K250" s="20">
        <f>(5213.54*(L8))</f>
        <v>27892.438999999998</v>
      </c>
      <c r="L250" s="20">
        <f>(5349.51*(L8))</f>
        <v>28619.878499999999</v>
      </c>
      <c r="M250" s="20">
        <f>(5512.67*(L8))</f>
        <v>29492.784499999998</v>
      </c>
      <c r="N250" s="20">
        <f>(5703.02*(L8))</f>
        <v>30511.156999999999</v>
      </c>
      <c r="O250" s="20">
        <f>(5974.95*(L8))</f>
        <v>31965.982499999998</v>
      </c>
      <c r="P250" s="20">
        <f>(6110.91*(L8))</f>
        <v>32693.368499999997</v>
      </c>
      <c r="Q250" s="20">
        <f>(6654.77*(L8))</f>
        <v>35603.019500000002</v>
      </c>
    </row>
    <row r="251" spans="1:17" ht="12.75" customHeight="1" x14ac:dyDescent="0.2">
      <c r="A251" s="6"/>
      <c r="B251" s="10" t="s">
        <v>489</v>
      </c>
      <c r="C251" s="20" t="s">
        <v>292</v>
      </c>
      <c r="D251" s="20" t="s">
        <v>490</v>
      </c>
      <c r="E251" s="20" t="s">
        <v>312</v>
      </c>
      <c r="F251" s="20" t="s">
        <v>405</v>
      </c>
      <c r="G251" s="20" t="s">
        <v>154</v>
      </c>
      <c r="H251" s="20">
        <f>(4461*(L8))</f>
        <v>23866.35</v>
      </c>
      <c r="I251" s="20">
        <f>(4548.72*(L8))</f>
        <v>24335.651999999998</v>
      </c>
      <c r="J251" s="20">
        <f>(4601.35*(L8))</f>
        <v>24617.2225</v>
      </c>
      <c r="K251" s="20">
        <f>(4741.7*(L8))</f>
        <v>25368.094999999998</v>
      </c>
      <c r="L251" s="20">
        <f>(4829.42*(L8))</f>
        <v>25837.396999999997</v>
      </c>
      <c r="M251" s="20">
        <f>(4934.69*(L8))</f>
        <v>26400.591499999995</v>
      </c>
      <c r="N251" s="20">
        <f>(5057.49*(L8))</f>
        <v>27057.571499999998</v>
      </c>
      <c r="O251" s="20">
        <f>(5232.93*(L8))</f>
        <v>27996.175500000001</v>
      </c>
      <c r="P251" s="20">
        <f>(5320.65*(L8))</f>
        <v>28465.477499999997</v>
      </c>
      <c r="Q251" s="20">
        <f>(5671.53*(L8))</f>
        <v>30342.685499999996</v>
      </c>
    </row>
    <row r="252" spans="1:17" ht="30" customHeight="1" x14ac:dyDescent="0.35">
      <c r="A252" s="6"/>
      <c r="B252" s="23" t="s">
        <v>491</v>
      </c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5"/>
    </row>
    <row r="253" spans="1:17" ht="12.75" customHeight="1" x14ac:dyDescent="0.2">
      <c r="A253" s="7" t="s">
        <v>6</v>
      </c>
      <c r="B253" s="8" t="s">
        <v>7</v>
      </c>
      <c r="C253" s="8" t="s">
        <v>8</v>
      </c>
      <c r="D253" s="8" t="s">
        <v>9</v>
      </c>
      <c r="E253" s="8" t="s">
        <v>10</v>
      </c>
      <c r="F253" s="8" t="s">
        <v>11</v>
      </c>
      <c r="G253" s="8" t="s">
        <v>12</v>
      </c>
      <c r="H253" s="8" t="s">
        <v>13</v>
      </c>
      <c r="I253" s="8" t="s">
        <v>14</v>
      </c>
      <c r="J253" s="8" t="s">
        <v>15</v>
      </c>
      <c r="K253" s="8" t="s">
        <v>16</v>
      </c>
      <c r="L253" s="8" t="s">
        <v>17</v>
      </c>
      <c r="M253" s="8" t="s">
        <v>18</v>
      </c>
      <c r="N253" s="8" t="s">
        <v>19</v>
      </c>
      <c r="O253" s="8" t="s">
        <v>20</v>
      </c>
      <c r="P253" s="8" t="s">
        <v>21</v>
      </c>
      <c r="Q253" s="8" t="s">
        <v>22</v>
      </c>
    </row>
    <row r="254" spans="1:17" ht="12.75" customHeight="1" x14ac:dyDescent="0.2">
      <c r="A254" s="6"/>
      <c r="B254" s="10" t="s">
        <v>492</v>
      </c>
      <c r="C254" s="20" t="s">
        <v>493</v>
      </c>
      <c r="D254" s="20" t="s">
        <v>494</v>
      </c>
      <c r="E254" s="20" t="s">
        <v>375</v>
      </c>
      <c r="F254" s="20" t="s">
        <v>27</v>
      </c>
      <c r="G254" s="20" t="s">
        <v>283</v>
      </c>
      <c r="H254" s="20">
        <f>(6322*(L8))</f>
        <v>33822.699999999997</v>
      </c>
      <c r="I254" s="20">
        <f>(6454*(L8))</f>
        <v>34528.899999999994</v>
      </c>
      <c r="J254" s="20">
        <f>(6533*(L8))</f>
        <v>34951.549999999996</v>
      </c>
      <c r="K254" s="20">
        <f>(6743*(L8))</f>
        <v>36075.049999999996</v>
      </c>
      <c r="L254" s="20">
        <f>(6875*(L8))</f>
        <v>36781.25</v>
      </c>
      <c r="M254" s="20">
        <f>(7033*(L8))</f>
        <v>37626.549999999996</v>
      </c>
      <c r="N254" s="20">
        <f>(7217*(L8))</f>
        <v>38610.949999999997</v>
      </c>
      <c r="O254" s="20">
        <f>(7480*(L8))</f>
        <v>40018</v>
      </c>
      <c r="P254" s="20">
        <f>(7612*(L8))</f>
        <v>40724.199999999997</v>
      </c>
      <c r="Q254" s="20">
        <f>(8138*(L8))</f>
        <v>43538.299999999996</v>
      </c>
    </row>
    <row r="255" spans="1:17" ht="30" customHeight="1" x14ac:dyDescent="0.3">
      <c r="A255" s="6"/>
      <c r="B255" s="35" t="s">
        <v>1470</v>
      </c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7"/>
    </row>
    <row r="256" spans="1:17" ht="12.75" customHeight="1" x14ac:dyDescent="0.2">
      <c r="A256" s="7" t="s">
        <v>6</v>
      </c>
      <c r="B256" s="8" t="s">
        <v>7</v>
      </c>
      <c r="C256" s="8" t="s">
        <v>8</v>
      </c>
      <c r="D256" s="8" t="s">
        <v>9</v>
      </c>
      <c r="E256" s="8" t="s">
        <v>10</v>
      </c>
      <c r="F256" s="8" t="s">
        <v>11</v>
      </c>
      <c r="G256" s="8" t="s">
        <v>12</v>
      </c>
      <c r="H256" s="8" t="s">
        <v>13</v>
      </c>
      <c r="I256" s="8" t="s">
        <v>14</v>
      </c>
      <c r="J256" s="8" t="s">
        <v>15</v>
      </c>
      <c r="K256" s="8" t="s">
        <v>16</v>
      </c>
      <c r="L256" s="8" t="s">
        <v>17</v>
      </c>
      <c r="M256" s="8" t="s">
        <v>18</v>
      </c>
      <c r="N256" s="8" t="s">
        <v>19</v>
      </c>
      <c r="O256" s="8" t="s">
        <v>20</v>
      </c>
      <c r="P256" s="8" t="s">
        <v>21</v>
      </c>
      <c r="Q256" s="8" t="s">
        <v>22</v>
      </c>
    </row>
    <row r="257" spans="1:17" ht="12.75" customHeight="1" x14ac:dyDescent="0.2">
      <c r="A257" s="6"/>
      <c r="B257" s="10" t="s">
        <v>495</v>
      </c>
      <c r="C257" s="20" t="s">
        <v>496</v>
      </c>
      <c r="D257" s="20" t="s">
        <v>149</v>
      </c>
      <c r="E257" s="20" t="s">
        <v>312</v>
      </c>
      <c r="F257" s="20" t="s">
        <v>497</v>
      </c>
      <c r="G257" s="20" t="s">
        <v>42</v>
      </c>
      <c r="H257" s="20">
        <f>(3760.95*($L$8))</f>
        <v>20121.082499999997</v>
      </c>
      <c r="I257" s="20">
        <f>(3839.9*($L$8))</f>
        <v>20543.465</v>
      </c>
      <c r="J257" s="20">
        <f>(3887.27*($L$8))</f>
        <v>20796.894499999999</v>
      </c>
      <c r="K257" s="20">
        <f>(4013.58*($L$8))</f>
        <v>21472.652999999998</v>
      </c>
      <c r="L257" s="20">
        <f>(4092.53*($L$8))</f>
        <v>21895.035499999998</v>
      </c>
      <c r="M257" s="20">
        <f>(4187.27*($L$8))</f>
        <v>22401.894500000002</v>
      </c>
      <c r="N257" s="20">
        <f>(4297.8*($L$8))</f>
        <v>22993.23</v>
      </c>
      <c r="O257" s="20">
        <f>(4455.69*($L$8))</f>
        <v>23837.941499999997</v>
      </c>
      <c r="P257" s="20">
        <f>(4534.64*($L$8))</f>
        <v>24260.324000000001</v>
      </c>
      <c r="Q257" s="20">
        <f>(4850.43*($L$8))</f>
        <v>25949.800500000001</v>
      </c>
    </row>
    <row r="258" spans="1:17" ht="12.75" customHeight="1" x14ac:dyDescent="0.2">
      <c r="A258" s="6"/>
      <c r="B258" s="10" t="s">
        <v>498</v>
      </c>
      <c r="C258" s="20" t="s">
        <v>499</v>
      </c>
      <c r="D258" s="20" t="s">
        <v>149</v>
      </c>
      <c r="E258" s="20" t="s">
        <v>312</v>
      </c>
      <c r="F258" s="20" t="s">
        <v>497</v>
      </c>
      <c r="G258" s="20" t="s">
        <v>152</v>
      </c>
      <c r="H258" s="20">
        <f>(3933.09*($L$8))</f>
        <v>21042.031500000001</v>
      </c>
      <c r="I258" s="20">
        <f>(4020.81*($L$8))</f>
        <v>21511.333499999997</v>
      </c>
      <c r="J258" s="20">
        <f>(4073.44*($L$8))</f>
        <v>21792.903999999999</v>
      </c>
      <c r="K258" s="20">
        <f>(4213.8*($L$8))</f>
        <v>22543.829999999998</v>
      </c>
      <c r="L258" s="20">
        <f>(4301.51*($L$8))</f>
        <v>23013.0785</v>
      </c>
      <c r="M258" s="20">
        <f>(4406.78*($L$8))</f>
        <v>23576.272999999997</v>
      </c>
      <c r="N258" s="20">
        <f>(4529.58*($L$8))</f>
        <v>24233.252999999997</v>
      </c>
      <c r="O258" s="20">
        <f>(4705.02*($L$8))</f>
        <v>25171.857</v>
      </c>
      <c r="P258" s="20">
        <f>(4792.74*($L$8))</f>
        <v>25641.158999999996</v>
      </c>
      <c r="Q258" s="20">
        <f>(5143.62*($L$8))</f>
        <v>27518.366999999998</v>
      </c>
    </row>
    <row r="259" spans="1:17" ht="12.75" customHeight="1" x14ac:dyDescent="0.2">
      <c r="A259" s="6"/>
      <c r="B259" s="10" t="s">
        <v>500</v>
      </c>
      <c r="C259" s="20" t="s">
        <v>501</v>
      </c>
      <c r="D259" s="20" t="s">
        <v>149</v>
      </c>
      <c r="E259" s="20" t="s">
        <v>312</v>
      </c>
      <c r="F259" s="20" t="s">
        <v>497</v>
      </c>
      <c r="G259" s="20" t="s">
        <v>154</v>
      </c>
      <c r="H259" s="20">
        <f>(4102.02*($L$8))</f>
        <v>21945.807000000001</v>
      </c>
      <c r="I259" s="20">
        <f>(4194.13*($L$8))</f>
        <v>22438.595499999999</v>
      </c>
      <c r="J259" s="20">
        <f>(4249.39*($L$8))</f>
        <v>22734.236499999999</v>
      </c>
      <c r="K259" s="20">
        <f>(4396.76*($L$8))</f>
        <v>23522.666000000001</v>
      </c>
      <c r="L259" s="20">
        <f>(4488.87*($L$8))</f>
        <v>24015.454499999996</v>
      </c>
      <c r="M259" s="20">
        <f>(4599.39*($L$8))</f>
        <v>24606.736499999999</v>
      </c>
      <c r="N259" s="20">
        <f>(4728.34*($L$8))</f>
        <v>25296.618999999999</v>
      </c>
      <c r="O259" s="20">
        <f>(4912.55*($L$8))</f>
        <v>26282.142499999998</v>
      </c>
      <c r="P259" s="20">
        <f>(5004.65*($L$8))</f>
        <v>26774.877499999995</v>
      </c>
      <c r="Q259" s="20">
        <f>(5373.08*($L$8))</f>
        <v>28745.977999999999</v>
      </c>
    </row>
    <row r="260" spans="1:17" ht="12.75" customHeight="1" x14ac:dyDescent="0.2">
      <c r="A260" s="6"/>
      <c r="B260" s="10" t="s">
        <v>502</v>
      </c>
      <c r="C260" s="20" t="s">
        <v>503</v>
      </c>
      <c r="D260" s="20" t="s">
        <v>149</v>
      </c>
      <c r="E260" s="20" t="s">
        <v>312</v>
      </c>
      <c r="F260" s="20" t="s">
        <v>497</v>
      </c>
      <c r="G260" s="20" t="s">
        <v>160</v>
      </c>
      <c r="H260" s="20">
        <f>(4307.68*($L$8))</f>
        <v>23046.088</v>
      </c>
      <c r="I260" s="20">
        <f>(4404.17*($L$8))</f>
        <v>23562.309499999999</v>
      </c>
      <c r="J260" s="20">
        <f>(4462.07*($L$8))</f>
        <v>23872.074499999995</v>
      </c>
      <c r="K260" s="20">
        <f>(4616.45*($L$8))</f>
        <v>24698.007499999996</v>
      </c>
      <c r="L260" s="20">
        <f>(4712.95*($L$8))</f>
        <v>25214.282499999998</v>
      </c>
      <c r="M260" s="20">
        <f>(4828.74*($L$8))</f>
        <v>25833.758999999998</v>
      </c>
      <c r="N260" s="20">
        <f>(4963.82*($L$8))</f>
        <v>26556.436999999998</v>
      </c>
      <c r="O260" s="20">
        <f>(5156.81*($L$8))</f>
        <v>27588.933499999999</v>
      </c>
      <c r="P260" s="20">
        <f>(5253.3*($L$8))</f>
        <v>28105.154999999999</v>
      </c>
      <c r="Q260" s="20">
        <f>(5639.26*($L$8))</f>
        <v>30170.040999999997</v>
      </c>
    </row>
    <row r="261" spans="1:17" ht="12.75" customHeight="1" x14ac:dyDescent="0.2">
      <c r="A261" s="6"/>
      <c r="B261" s="10" t="s">
        <v>504</v>
      </c>
      <c r="C261" s="20" t="s">
        <v>505</v>
      </c>
      <c r="D261" s="20" t="s">
        <v>149</v>
      </c>
      <c r="E261" s="20" t="s">
        <v>312</v>
      </c>
      <c r="F261" s="20" t="s">
        <v>497</v>
      </c>
      <c r="G261" s="20" t="s">
        <v>182</v>
      </c>
      <c r="H261" s="20">
        <f>(4462.1*($L$8))</f>
        <v>23872.235000000001</v>
      </c>
      <c r="I261" s="20">
        <f>(4562.98*($L$8))</f>
        <v>24411.942999999996</v>
      </c>
      <c r="J261" s="20">
        <f>(4623.51*($L$8))</f>
        <v>24735.7785</v>
      </c>
      <c r="K261" s="20">
        <f>(4784.91*($L$8))</f>
        <v>25599.268499999998</v>
      </c>
      <c r="L261" s="20">
        <f>(4885.79*($L$8))</f>
        <v>26138.976499999997</v>
      </c>
      <c r="M261" s="20">
        <f>(5006.84*($L$8))</f>
        <v>26786.593999999997</v>
      </c>
      <c r="N261" s="20">
        <f>(5148.07*($L$8))</f>
        <v>27542.174499999997</v>
      </c>
      <c r="O261" s="20">
        <f>(5349.82*($L$8))</f>
        <v>28621.536999999997</v>
      </c>
      <c r="P261" s="20">
        <f>(5450.7*($L$8))</f>
        <v>29161.244999999995</v>
      </c>
      <c r="Q261" s="20">
        <f>(5854.21*($L$8))</f>
        <v>31320.023499999999</v>
      </c>
    </row>
    <row r="262" spans="1:17" ht="12.75" customHeight="1" x14ac:dyDescent="0.2">
      <c r="A262" s="6"/>
      <c r="B262" s="10" t="s">
        <v>506</v>
      </c>
      <c r="C262" s="20" t="s">
        <v>507</v>
      </c>
      <c r="D262" s="20" t="s">
        <v>149</v>
      </c>
      <c r="E262" s="20" t="s">
        <v>312</v>
      </c>
      <c r="F262" s="20" t="s">
        <v>497</v>
      </c>
      <c r="G262" s="20" t="s">
        <v>229</v>
      </c>
      <c r="H262" s="20">
        <f>(4617.09*($L$8))</f>
        <v>24701.431499999999</v>
      </c>
      <c r="I262" s="20">
        <f>(4722.35*($L$8))</f>
        <v>25264.572500000002</v>
      </c>
      <c r="J262" s="20">
        <f>(4785.51*($L$8))</f>
        <v>25602.478500000001</v>
      </c>
      <c r="K262" s="20">
        <f>(4953.93*($L$8))</f>
        <v>26503.5255</v>
      </c>
      <c r="L262" s="20">
        <f>(5059.19*($L$8))</f>
        <v>27066.666499999996</v>
      </c>
      <c r="M262" s="20">
        <f>(5185.51*($L$8))</f>
        <v>27742.478500000001</v>
      </c>
      <c r="N262" s="20">
        <f>(5332.88*($L$8))</f>
        <v>28530.907999999999</v>
      </c>
      <c r="O262" s="20">
        <f>(5543.4*($L$8))</f>
        <v>29657.189999999995</v>
      </c>
      <c r="P262" s="20">
        <f>(5648.66*($L$8))</f>
        <v>30220.330999999998</v>
      </c>
      <c r="Q262" s="20">
        <f>(6069.72*($L$8))</f>
        <v>32473.002</v>
      </c>
    </row>
    <row r="263" spans="1:17" ht="12.75" customHeight="1" x14ac:dyDescent="0.2">
      <c r="A263" s="6"/>
      <c r="B263" s="10" t="s">
        <v>508</v>
      </c>
      <c r="C263" s="20" t="s">
        <v>136</v>
      </c>
      <c r="D263" s="20" t="s">
        <v>149</v>
      </c>
      <c r="E263" s="20" t="s">
        <v>312</v>
      </c>
      <c r="F263" s="20" t="s">
        <v>497</v>
      </c>
      <c r="G263" s="20" t="s">
        <v>42</v>
      </c>
      <c r="H263" s="20">
        <f>(3833.27*($L$8))</f>
        <v>20507.994499999997</v>
      </c>
      <c r="I263" s="20">
        <f>(3916.6*($L$8))</f>
        <v>20953.809999999998</v>
      </c>
      <c r="J263" s="20">
        <f>(3966.6*($L$8))</f>
        <v>21221.309999999998</v>
      </c>
      <c r="K263" s="20">
        <f>(4099.94*($L$8))</f>
        <v>21934.678999999996</v>
      </c>
      <c r="L263" s="20">
        <f>(4183.27*($L$8))</f>
        <v>22380.494500000001</v>
      </c>
      <c r="M263" s="20">
        <f>(4283.27*($L$8))</f>
        <v>22915.494500000001</v>
      </c>
      <c r="N263" s="20">
        <f>(4399.94*($L$8))</f>
        <v>23539.678999999996</v>
      </c>
      <c r="O263" s="20">
        <f>(4566.6*($L$8))</f>
        <v>24431.31</v>
      </c>
      <c r="P263" s="20">
        <f>(4649.94*($L$8))</f>
        <v>24877.178999999996</v>
      </c>
      <c r="Q263" s="20">
        <f>(4983.27*($L$8))</f>
        <v>26660.494500000001</v>
      </c>
    </row>
    <row r="264" spans="1:17" ht="12.75" customHeight="1" x14ac:dyDescent="0.2">
      <c r="A264" s="6"/>
      <c r="B264" s="10" t="s">
        <v>509</v>
      </c>
      <c r="C264" s="20" t="s">
        <v>137</v>
      </c>
      <c r="D264" s="20" t="s">
        <v>149</v>
      </c>
      <c r="E264" s="20" t="s">
        <v>312</v>
      </c>
      <c r="F264" s="20" t="s">
        <v>497</v>
      </c>
      <c r="G264" s="20" t="s">
        <v>152</v>
      </c>
      <c r="H264" s="20">
        <f>(4157.68*($L$8))</f>
        <v>22243.588</v>
      </c>
      <c r="I264" s="20">
        <f>(4245.4*($L$8))</f>
        <v>22712.889999999996</v>
      </c>
      <c r="J264" s="20">
        <f>(4298.03*($L$8))</f>
        <v>22994.460499999997</v>
      </c>
      <c r="K264" s="20">
        <f>(4438.38*($L$8))</f>
        <v>23745.332999999999</v>
      </c>
      <c r="L264" s="20">
        <f>(4526.1*($L$8))</f>
        <v>24214.635000000002</v>
      </c>
      <c r="M264" s="20">
        <f>(4631.36*($L$8))</f>
        <v>24777.775999999998</v>
      </c>
      <c r="N264" s="20">
        <f>(4754.17*($L$8))</f>
        <v>25434.809499999999</v>
      </c>
      <c r="O264" s="20">
        <f>(4929.61*($L$8))</f>
        <v>26373.413499999995</v>
      </c>
      <c r="P264" s="20">
        <f>(5017.33*($L$8))</f>
        <v>26842.715499999998</v>
      </c>
      <c r="Q264" s="20">
        <f>(5368.2*($L$8))</f>
        <v>28719.869999999995</v>
      </c>
    </row>
    <row r="265" spans="1:17" ht="12.75" customHeight="1" x14ac:dyDescent="0.2">
      <c r="A265" s="6"/>
      <c r="B265" s="10" t="s">
        <v>510</v>
      </c>
      <c r="C265" s="20" t="s">
        <v>292</v>
      </c>
      <c r="D265" s="20" t="s">
        <v>149</v>
      </c>
      <c r="E265" s="20" t="s">
        <v>312</v>
      </c>
      <c r="F265" s="20" t="s">
        <v>497</v>
      </c>
      <c r="G265" s="20" t="s">
        <v>154</v>
      </c>
      <c r="H265" s="20">
        <f>(4189.25*($L$8))</f>
        <v>22412.487499999999</v>
      </c>
      <c r="I265" s="20">
        <f>(4285.74*($L$8))</f>
        <v>22928.708999999999</v>
      </c>
      <c r="J265" s="20">
        <f>(4343.64*($L$8))</f>
        <v>23238.474000000002</v>
      </c>
      <c r="K265" s="20">
        <f>(4498.02*($L$8))</f>
        <v>24064.406999999999</v>
      </c>
      <c r="L265" s="20">
        <f>(4594.51*($L$8))</f>
        <v>24580.628499999999</v>
      </c>
      <c r="M265" s="20">
        <f>(4710.3*($L$8))</f>
        <v>25200.105</v>
      </c>
      <c r="N265" s="20">
        <f>(4845.39*($L$8))</f>
        <v>25922.836500000001</v>
      </c>
      <c r="O265" s="20">
        <f>(5038.37*($L$8))</f>
        <v>26955.279499999997</v>
      </c>
      <c r="P265" s="20">
        <f>(5134.87*($L$8))</f>
        <v>27471.554499999998</v>
      </c>
      <c r="Q265" s="20">
        <f>(5520.83*($L$8))</f>
        <v>29536.440499999997</v>
      </c>
    </row>
    <row r="266" spans="1:17" ht="12.75" customHeight="1" x14ac:dyDescent="0.2">
      <c r="A266" s="6"/>
      <c r="B266" s="10" t="s">
        <v>511</v>
      </c>
      <c r="C266" s="20" t="s">
        <v>273</v>
      </c>
      <c r="D266" s="20" t="s">
        <v>149</v>
      </c>
      <c r="E266" s="20" t="s">
        <v>312</v>
      </c>
      <c r="F266" s="20" t="s">
        <v>497</v>
      </c>
      <c r="G266" s="20" t="s">
        <v>160</v>
      </c>
      <c r="H266" s="20">
        <f>(4343.37*($L$8))</f>
        <v>23237.029499999997</v>
      </c>
      <c r="I266" s="20">
        <f>(4444.25*($L$8))</f>
        <v>23776.737499999999</v>
      </c>
      <c r="J266" s="20">
        <f>(4504.78*($L$8))</f>
        <v>24100.572999999997</v>
      </c>
      <c r="K266" s="20">
        <f>(4666.18*($L$8))</f>
        <v>24964.062999999998</v>
      </c>
      <c r="L266" s="20">
        <f>(4767.06*($L$8))</f>
        <v>25503.771000000001</v>
      </c>
      <c r="M266" s="20">
        <f>(4888.11*($L$8))</f>
        <v>26151.388499999997</v>
      </c>
      <c r="N266" s="20">
        <f>(5029.34*($L$8))</f>
        <v>26906.968999999997</v>
      </c>
      <c r="O266" s="20">
        <f>(5231.09*($L$8))</f>
        <v>27986.3315</v>
      </c>
      <c r="P266" s="20">
        <f>(5331.97*($L$8))</f>
        <v>28526.039499999999</v>
      </c>
      <c r="Q266" s="20">
        <f>(5735.48*($L$8))</f>
        <v>30684.817999999996</v>
      </c>
    </row>
    <row r="267" spans="1:17" ht="12.75" customHeight="1" x14ac:dyDescent="0.2">
      <c r="A267" s="6"/>
      <c r="B267" s="10" t="s">
        <v>512</v>
      </c>
      <c r="C267" s="20" t="s">
        <v>278</v>
      </c>
      <c r="D267" s="20" t="s">
        <v>149</v>
      </c>
      <c r="E267" s="20" t="s">
        <v>312</v>
      </c>
      <c r="F267" s="20" t="s">
        <v>497</v>
      </c>
      <c r="G267" s="20" t="s">
        <v>182</v>
      </c>
      <c r="H267" s="20">
        <f>(4551.35*($L$8))</f>
        <v>24349.7225</v>
      </c>
      <c r="I267" s="20">
        <f>(4656.61*($L$8))</f>
        <v>24912.863499999996</v>
      </c>
      <c r="J267" s="20">
        <f>(4719.77*($L$8))</f>
        <v>25250.769500000002</v>
      </c>
      <c r="K267" s="20">
        <f>(4888.19*($L$8))</f>
        <v>26151.816499999997</v>
      </c>
      <c r="L267" s="20">
        <f>(4993.45*($L$8))</f>
        <v>26714.957499999997</v>
      </c>
      <c r="M267" s="20">
        <f>(5119.77*($L$8))</f>
        <v>27390.769500000002</v>
      </c>
      <c r="N267" s="20">
        <f>(5267.14*($L$8))</f>
        <v>28179.199000000001</v>
      </c>
      <c r="O267" s="20">
        <f>(5477.66*($L$8))</f>
        <v>29305.480999999996</v>
      </c>
      <c r="P267" s="20">
        <f>(5582.93*($L$8))</f>
        <v>29868.675500000001</v>
      </c>
      <c r="Q267" s="20">
        <f>(6003.98*($L$8))</f>
        <v>32121.292999999994</v>
      </c>
    </row>
    <row r="268" spans="1:17" ht="12.75" customHeight="1" x14ac:dyDescent="0.2">
      <c r="A268" s="6"/>
      <c r="B268" s="10" t="s">
        <v>513</v>
      </c>
      <c r="C268" s="20" t="s">
        <v>280</v>
      </c>
      <c r="D268" s="20" t="s">
        <v>149</v>
      </c>
      <c r="E268" s="20" t="s">
        <v>312</v>
      </c>
      <c r="F268" s="20" t="s">
        <v>497</v>
      </c>
      <c r="G268" s="20" t="s">
        <v>229</v>
      </c>
      <c r="H268" s="20">
        <f>(4709.42*($L$8))</f>
        <v>25195.396999999997</v>
      </c>
      <c r="I268" s="20">
        <f>(4819.07*($L$8))</f>
        <v>25782.024499999996</v>
      </c>
      <c r="J268" s="20">
        <f>(4884.86*($L$8))</f>
        <v>26134.000999999997</v>
      </c>
      <c r="K268" s="20">
        <f>(5060.3*($L$8))</f>
        <v>27072.605</v>
      </c>
      <c r="L268" s="20">
        <f>(5169.95*($L$8))</f>
        <v>27659.232499999998</v>
      </c>
      <c r="M268" s="20">
        <f>(5301.52*($L$8))</f>
        <v>28363.132000000001</v>
      </c>
      <c r="N268" s="20">
        <f>(5455.03*($L$8))</f>
        <v>29184.410499999998</v>
      </c>
      <c r="O268" s="20">
        <f>(5674.33*($L$8))</f>
        <v>30357.665499999999</v>
      </c>
      <c r="P268" s="20">
        <f>(5783.98*($L$8))</f>
        <v>30944.292999999994</v>
      </c>
      <c r="Q268" s="20">
        <f>(6222.58*($L$8))</f>
        <v>33290.803</v>
      </c>
    </row>
    <row r="269" spans="1:17" ht="12.75" customHeight="1" x14ac:dyDescent="0.2">
      <c r="A269" s="6"/>
      <c r="B269" s="10" t="s">
        <v>514</v>
      </c>
      <c r="C269" s="20" t="s">
        <v>236</v>
      </c>
      <c r="D269" s="20" t="s">
        <v>149</v>
      </c>
      <c r="E269" s="20" t="s">
        <v>312</v>
      </c>
      <c r="F269" s="20" t="s">
        <v>497</v>
      </c>
      <c r="G269" s="20" t="s">
        <v>231</v>
      </c>
      <c r="H269" s="20">
        <f>(4974.35*($L$8))</f>
        <v>26612.772499999999</v>
      </c>
      <c r="I269" s="20">
        <f>(5097.15*($L$8))</f>
        <v>27269.752499999995</v>
      </c>
      <c r="J269" s="20">
        <f>(5170.84*($L$8))</f>
        <v>27663.993999999999</v>
      </c>
      <c r="K269" s="20">
        <f>(5367.33*($L$8))</f>
        <v>28715.215499999998</v>
      </c>
      <c r="L269" s="20">
        <f>(5490.14*($L$8))</f>
        <v>29372.249</v>
      </c>
      <c r="M269" s="20">
        <f>(5637.5*($L$8))</f>
        <v>30160.624999999996</v>
      </c>
      <c r="N269" s="20">
        <f>(5809.43*($L$8))</f>
        <v>31080.450499999999</v>
      </c>
      <c r="O269" s="20">
        <f>(6055.05*($L$8))</f>
        <v>32394.517499999998</v>
      </c>
      <c r="P269" s="20">
        <f>(6177.85*($L$8))</f>
        <v>33051.497499999998</v>
      </c>
      <c r="Q269" s="20">
        <f>(6669.08*($L$8))</f>
        <v>35679.577999999994</v>
      </c>
    </row>
    <row r="270" spans="1:17" ht="12.75" customHeight="1" x14ac:dyDescent="0.2">
      <c r="A270" s="6"/>
      <c r="B270" s="10" t="s">
        <v>515</v>
      </c>
      <c r="C270" s="20" t="s">
        <v>79</v>
      </c>
      <c r="D270" s="20" t="s">
        <v>395</v>
      </c>
      <c r="E270" s="20" t="s">
        <v>312</v>
      </c>
      <c r="F270" s="20" t="s">
        <v>497</v>
      </c>
      <c r="G270" s="20" t="s">
        <v>42</v>
      </c>
      <c r="H270" s="20">
        <f>(3515.14*($L$8))</f>
        <v>18805.999</v>
      </c>
      <c r="I270" s="20">
        <f>(3576.55*($L$8))</f>
        <v>19134.5425</v>
      </c>
      <c r="J270" s="20">
        <f>(3613.39*($L$8))</f>
        <v>19331.636499999997</v>
      </c>
      <c r="K270" s="20">
        <f>(3711.63*($L$8))</f>
        <v>19857.220499999999</v>
      </c>
      <c r="L270" s="20">
        <f>(3773.04*($L$8))</f>
        <v>20185.763999999999</v>
      </c>
      <c r="M270" s="20">
        <f>(3846.72*($L$8))</f>
        <v>20579.951999999997</v>
      </c>
      <c r="N270" s="20">
        <f>(3932.69*($L$8))</f>
        <v>21039.891499999998</v>
      </c>
      <c r="O270" s="20">
        <f>(4055.49*($L$8))</f>
        <v>21696.871499999997</v>
      </c>
      <c r="P270" s="20">
        <f>(4116.9*($L$8))</f>
        <v>22025.414999999997</v>
      </c>
      <c r="Q270" s="20">
        <f>(4362.51*($L$8))</f>
        <v>23339.428499999998</v>
      </c>
    </row>
    <row r="271" spans="1:17" ht="12.75" customHeight="1" x14ac:dyDescent="0.2">
      <c r="A271" s="6"/>
      <c r="B271" s="10" t="s">
        <v>516</v>
      </c>
      <c r="C271" s="20" t="s">
        <v>333</v>
      </c>
      <c r="D271" s="20" t="s">
        <v>395</v>
      </c>
      <c r="E271" s="20" t="s">
        <v>312</v>
      </c>
      <c r="F271" s="20" t="s">
        <v>497</v>
      </c>
      <c r="G271" s="20" t="s">
        <v>152</v>
      </c>
      <c r="H271" s="20">
        <f>(3748.16*($L$8))</f>
        <v>20052.655999999999</v>
      </c>
      <c r="I271" s="20">
        <f>(3818.34*($L$8))</f>
        <v>20428.118999999999</v>
      </c>
      <c r="J271" s="20">
        <f>(3860.44*($L$8))</f>
        <v>20653.353999999999</v>
      </c>
      <c r="K271" s="20">
        <f>(3972.72*($L$8))</f>
        <v>21254.051999999996</v>
      </c>
      <c r="L271" s="20">
        <f>(4042.9*($L$8))</f>
        <v>21629.514999999999</v>
      </c>
      <c r="M271" s="20">
        <f>(4127.11*($L$8))</f>
        <v>22080.038499999995</v>
      </c>
      <c r="N271" s="20">
        <f>(4225.36*($L$8))</f>
        <v>22605.675999999996</v>
      </c>
      <c r="O271" s="20">
        <f>(4365.71*($L$8))</f>
        <v>23356.548499999997</v>
      </c>
      <c r="P271" s="20">
        <f>(4435.88*($L$8))</f>
        <v>23731.957999999999</v>
      </c>
      <c r="Q271" s="20">
        <f>(4716.58*($L$8))</f>
        <v>25233.702999999998</v>
      </c>
    </row>
    <row r="272" spans="1:17" ht="12.75" customHeight="1" x14ac:dyDescent="0.2">
      <c r="A272" s="6"/>
      <c r="B272" s="10" t="s">
        <v>517</v>
      </c>
      <c r="C272" s="20" t="s">
        <v>79</v>
      </c>
      <c r="D272" s="20" t="s">
        <v>149</v>
      </c>
      <c r="E272" s="20" t="s">
        <v>518</v>
      </c>
      <c r="F272" s="20" t="s">
        <v>27</v>
      </c>
      <c r="G272" s="20" t="s">
        <v>403</v>
      </c>
      <c r="H272" s="20">
        <f>(2087.97*($L$8))</f>
        <v>11170.639499999997</v>
      </c>
      <c r="I272" s="20">
        <f>(2114.29*($L$8))</f>
        <v>11311.451499999999</v>
      </c>
      <c r="J272" s="20">
        <f>(2130.08*($L$8))</f>
        <v>11395.927999999998</v>
      </c>
      <c r="K272" s="20">
        <f>(2172.18*($L$8))</f>
        <v>11621.162999999999</v>
      </c>
      <c r="L272" s="20">
        <f>(2198.5*($L$8))</f>
        <v>11761.974999999999</v>
      </c>
      <c r="M272" s="20">
        <f>(2230.08*($L$8))</f>
        <v>11930.927999999998</v>
      </c>
      <c r="N272" s="20">
        <f>(2266.92*($L$8))</f>
        <v>12128.021999999999</v>
      </c>
      <c r="O272" s="20">
        <f>(2319.55*($L$8))</f>
        <v>12409.592500000001</v>
      </c>
      <c r="P272" s="20">
        <f>(2345.86*($L$8))</f>
        <v>12550.351000000001</v>
      </c>
      <c r="Q272" s="20">
        <f>(2451.13*($L$8))</f>
        <v>13113.5455</v>
      </c>
    </row>
    <row r="273" spans="1:17" ht="12.75" customHeight="1" x14ac:dyDescent="0.2">
      <c r="A273" s="6"/>
      <c r="B273" s="10" t="s">
        <v>519</v>
      </c>
      <c r="C273" s="20" t="s">
        <v>333</v>
      </c>
      <c r="D273" s="20" t="s">
        <v>520</v>
      </c>
      <c r="E273" s="20" t="s">
        <v>518</v>
      </c>
      <c r="F273" s="20" t="s">
        <v>27</v>
      </c>
      <c r="G273" s="20" t="s">
        <v>218</v>
      </c>
      <c r="H273" s="20">
        <f>(2010.66*($L$8))</f>
        <v>10757.030999999999</v>
      </c>
      <c r="I273" s="20">
        <f>(2036.97*($L$8))</f>
        <v>10897.789499999999</v>
      </c>
      <c r="J273" s="20">
        <f>(2052.76*($L$8))</f>
        <v>10982.266</v>
      </c>
      <c r="K273" s="20">
        <f>(2094.87*($L$8))</f>
        <v>11207.554499999998</v>
      </c>
      <c r="L273" s="20">
        <f>(2121.18*($L$8))</f>
        <v>11348.312999999998</v>
      </c>
      <c r="M273" s="20">
        <f>(2152.76*($L$8))</f>
        <v>11517.266</v>
      </c>
      <c r="N273" s="20">
        <f>(2189.6*($L$8))</f>
        <v>11714.359999999999</v>
      </c>
      <c r="O273" s="20">
        <f>(2242.24*($L$8))</f>
        <v>11995.983999999999</v>
      </c>
      <c r="P273" s="20">
        <f>(2268.55*($L$8))</f>
        <v>12136.7425</v>
      </c>
      <c r="Q273" s="20">
        <f>(2373.81*($L$8))</f>
        <v>12699.883499999998</v>
      </c>
    </row>
    <row r="274" spans="1:17" ht="12.75" customHeight="1" x14ac:dyDescent="0.2">
      <c r="A274" s="6"/>
      <c r="B274" s="10" t="s">
        <v>521</v>
      </c>
      <c r="C274" s="20" t="s">
        <v>333</v>
      </c>
      <c r="D274" s="20" t="s">
        <v>522</v>
      </c>
      <c r="E274" s="20" t="s">
        <v>518</v>
      </c>
      <c r="F274" s="20" t="s">
        <v>27</v>
      </c>
      <c r="G274" s="20" t="s">
        <v>247</v>
      </c>
      <c r="H274" s="20">
        <f>(2484.72*($L$8))</f>
        <v>13293.251999999999</v>
      </c>
      <c r="I274" s="20">
        <f>(2524.19*($L$8))</f>
        <v>13504.416499999999</v>
      </c>
      <c r="J274" s="20">
        <f>(2547.88*($L$8))</f>
        <v>13631.157999999999</v>
      </c>
      <c r="K274" s="20">
        <f>(2611.03*($L$8))</f>
        <v>13969.0105</v>
      </c>
      <c r="L274" s="20">
        <f>(2650.51*($L$8))</f>
        <v>14180.228500000001</v>
      </c>
      <c r="M274" s="20">
        <f>(2697.88*($L$8))</f>
        <v>14433.657999999999</v>
      </c>
      <c r="N274" s="20">
        <f>(2753.14*($L$8))</f>
        <v>14729.298999999999</v>
      </c>
      <c r="O274" s="20">
        <f>(2832.09*($L$8))</f>
        <v>15151.681500000001</v>
      </c>
      <c r="P274" s="20">
        <f>(2871.56*($L$8))</f>
        <v>15362.846</v>
      </c>
      <c r="Q274" s="20">
        <f>(3029.45*($L$8))</f>
        <v>16207.557499999997</v>
      </c>
    </row>
    <row r="275" spans="1:17" ht="12.75" customHeight="1" x14ac:dyDescent="0.2">
      <c r="A275" s="6"/>
      <c r="B275" s="10" t="s">
        <v>523</v>
      </c>
      <c r="C275" s="20" t="s">
        <v>135</v>
      </c>
      <c r="D275" s="20" t="s">
        <v>520</v>
      </c>
      <c r="E275" s="20" t="s">
        <v>518</v>
      </c>
      <c r="F275" s="20" t="s">
        <v>27</v>
      </c>
      <c r="G275" s="20" t="s">
        <v>524</v>
      </c>
      <c r="H275" s="20">
        <f>(2268.58*($L$8))</f>
        <v>12136.902999999998</v>
      </c>
      <c r="I275" s="20">
        <f>(2299.28*($L$8))</f>
        <v>12301.148000000001</v>
      </c>
      <c r="J275" s="20">
        <f>(2317.7*($L$8))</f>
        <v>12399.694999999998</v>
      </c>
      <c r="K275" s="20">
        <f>(2366.82*($L$8))</f>
        <v>12662.486999999999</v>
      </c>
      <c r="L275" s="20">
        <f>(2397.52*($L$8))</f>
        <v>12826.731999999998</v>
      </c>
      <c r="M275" s="20">
        <f>(2434.36*($L$8))</f>
        <v>13023.825999999999</v>
      </c>
      <c r="N275" s="20">
        <f>(2477.35*($L$8))</f>
        <v>13253.822499999998</v>
      </c>
      <c r="O275" s="20">
        <f>(2538.75*($L$8))</f>
        <v>13582.3125</v>
      </c>
      <c r="P275" s="20">
        <f>(2569.45*($L$8))</f>
        <v>13746.557499999999</v>
      </c>
      <c r="Q275" s="20">
        <f>(2692.26*($L$8))</f>
        <v>14403.591</v>
      </c>
    </row>
    <row r="276" spans="1:17" ht="30" customHeight="1" x14ac:dyDescent="0.3">
      <c r="A276" s="6"/>
      <c r="B276" s="108" t="s">
        <v>525</v>
      </c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10"/>
    </row>
    <row r="277" spans="1:17" ht="12.75" customHeight="1" x14ac:dyDescent="0.2">
      <c r="A277" s="7" t="s">
        <v>6</v>
      </c>
      <c r="B277" s="8" t="s">
        <v>7</v>
      </c>
      <c r="C277" s="8" t="s">
        <v>8</v>
      </c>
      <c r="D277" s="8" t="s">
        <v>9</v>
      </c>
      <c r="E277" s="8" t="s">
        <v>10</v>
      </c>
      <c r="F277" s="8" t="s">
        <v>11</v>
      </c>
      <c r="G277" s="8" t="s">
        <v>12</v>
      </c>
      <c r="H277" s="8" t="s">
        <v>13</v>
      </c>
      <c r="I277" s="8" t="s">
        <v>14</v>
      </c>
      <c r="J277" s="8" t="s">
        <v>15</v>
      </c>
      <c r="K277" s="8" t="s">
        <v>16</v>
      </c>
      <c r="L277" s="8" t="s">
        <v>17</v>
      </c>
      <c r="M277" s="8" t="s">
        <v>18</v>
      </c>
      <c r="N277" s="8" t="s">
        <v>19</v>
      </c>
      <c r="O277" s="8" t="s">
        <v>20</v>
      </c>
      <c r="P277" s="8" t="s">
        <v>21</v>
      </c>
      <c r="Q277" s="8" t="s">
        <v>22</v>
      </c>
    </row>
    <row r="278" spans="1:17" ht="12.75" customHeight="1" x14ac:dyDescent="0.2">
      <c r="A278" s="6"/>
      <c r="B278" s="10" t="s">
        <v>526</v>
      </c>
      <c r="C278" s="20" t="s">
        <v>137</v>
      </c>
      <c r="D278" s="20" t="s">
        <v>149</v>
      </c>
      <c r="E278" s="20" t="s">
        <v>527</v>
      </c>
      <c r="F278" s="20" t="s">
        <v>383</v>
      </c>
      <c r="G278" s="20" t="s">
        <v>182</v>
      </c>
      <c r="H278" s="20">
        <f>(4545.22*(L8))</f>
        <v>24316.927</v>
      </c>
      <c r="I278" s="20">
        <f>(4637.32*(L8))</f>
        <v>24809.661999999997</v>
      </c>
      <c r="J278" s="20">
        <f>(4692.58*(L8))</f>
        <v>25105.302999999996</v>
      </c>
      <c r="K278" s="20">
        <f>(4839.95*(L8))</f>
        <v>25893.732499999998</v>
      </c>
      <c r="L278" s="20">
        <f>(4932.06*(L8))</f>
        <v>26386.521000000001</v>
      </c>
      <c r="M278" s="20">
        <f>(5042.58*(L8))</f>
        <v>26977.802999999996</v>
      </c>
      <c r="N278" s="20">
        <f>(5171.53*(L8))</f>
        <v>27667.685499999996</v>
      </c>
      <c r="O278" s="20">
        <f>(5355.74*(L8))</f>
        <v>28653.208999999995</v>
      </c>
      <c r="P278" s="20">
        <f>(5447.85*(L8))</f>
        <v>29145.997500000001</v>
      </c>
      <c r="Q278" s="20">
        <f>(5816.27*(L8))</f>
        <v>31117.0445</v>
      </c>
    </row>
    <row r="279" spans="1:17" ht="12.75" customHeight="1" x14ac:dyDescent="0.2">
      <c r="A279" s="6"/>
      <c r="B279" s="10" t="s">
        <v>528</v>
      </c>
      <c r="C279" s="20" t="s">
        <v>292</v>
      </c>
      <c r="D279" s="20" t="s">
        <v>149</v>
      </c>
      <c r="E279" s="20" t="s">
        <v>527</v>
      </c>
      <c r="F279" s="20" t="s">
        <v>383</v>
      </c>
      <c r="G279" s="20" t="s">
        <v>182</v>
      </c>
      <c r="H279" s="20">
        <f>(4645.93*(L8))</f>
        <v>24855.7255</v>
      </c>
      <c r="I279" s="20">
        <f>(4746.8*(L8))</f>
        <v>25395.38</v>
      </c>
      <c r="J279" s="20">
        <f>(4807.33*(L8))</f>
        <v>25719.215499999998</v>
      </c>
      <c r="K279" s="20">
        <f>(4968.73*(L8))</f>
        <v>26582.705499999996</v>
      </c>
      <c r="L279" s="20">
        <f>(5069.61*(L8))</f>
        <v>27122.413499999995</v>
      </c>
      <c r="M279" s="20">
        <f>(5190.66*(L8))</f>
        <v>27770.030999999999</v>
      </c>
      <c r="N279" s="20">
        <f>(5331.89*(L8))</f>
        <v>28525.611499999999</v>
      </c>
      <c r="O279" s="20">
        <f>(5533.64*(L8))</f>
        <v>29604.973999999998</v>
      </c>
      <c r="P279" s="20">
        <f>(5634.52*(L8))</f>
        <v>30144.682000000001</v>
      </c>
      <c r="Q279" s="20">
        <f>(6038.03*(L8))</f>
        <v>32303.460499999997</v>
      </c>
    </row>
    <row r="280" spans="1:17" ht="12.75" customHeight="1" x14ac:dyDescent="0.2">
      <c r="A280" s="6"/>
      <c r="B280" s="10" t="s">
        <v>529</v>
      </c>
      <c r="C280" s="20" t="s">
        <v>273</v>
      </c>
      <c r="D280" s="20" t="s">
        <v>149</v>
      </c>
      <c r="E280" s="20" t="s">
        <v>527</v>
      </c>
      <c r="F280" s="20" t="s">
        <v>383</v>
      </c>
      <c r="G280" s="20" t="s">
        <v>185</v>
      </c>
      <c r="H280" s="20">
        <f>(4905.68*(L8))</f>
        <v>26245.387999999999</v>
      </c>
      <c r="I280" s="20">
        <f>(5010.95*(L8))</f>
        <v>26808.582499999997</v>
      </c>
      <c r="J280" s="20">
        <f>(5074.1*(L8))</f>
        <v>27146.435000000001</v>
      </c>
      <c r="K280" s="20">
        <f>(5242.52*(L8))</f>
        <v>28047.482</v>
      </c>
      <c r="L280" s="20">
        <f>(5347.79*(L8))</f>
        <v>28610.676499999998</v>
      </c>
      <c r="M280" s="20">
        <f>(5474.1*(L8))</f>
        <v>29286.435000000001</v>
      </c>
      <c r="N280" s="20">
        <f>(5621.47*(L8))</f>
        <v>30074.8645</v>
      </c>
      <c r="O280" s="20">
        <f>(5832*(L8))</f>
        <v>31201.199999999997</v>
      </c>
      <c r="P280" s="20">
        <f>(5937.26*(L8))</f>
        <v>31764.341</v>
      </c>
      <c r="Q280" s="20">
        <f>(6358.31*(L8))</f>
        <v>34016.958500000001</v>
      </c>
    </row>
    <row r="281" spans="1:17" ht="12.75" customHeight="1" x14ac:dyDescent="0.2">
      <c r="A281" s="6"/>
      <c r="B281" s="10" t="s">
        <v>530</v>
      </c>
      <c r="C281" s="20" t="s">
        <v>278</v>
      </c>
      <c r="D281" s="20" t="s">
        <v>149</v>
      </c>
      <c r="E281" s="20" t="s">
        <v>527</v>
      </c>
      <c r="F281" s="20" t="s">
        <v>383</v>
      </c>
      <c r="G281" s="20" t="s">
        <v>229</v>
      </c>
      <c r="H281" s="20">
        <f>(5094.32*(L8))</f>
        <v>27254.611999999997</v>
      </c>
      <c r="I281" s="20">
        <f>(5208.36*(L8))</f>
        <v>27864.725999999995</v>
      </c>
      <c r="J281" s="20">
        <f>(5276.78*(L8))</f>
        <v>28230.772999999997</v>
      </c>
      <c r="K281" s="20">
        <f>(5459.23*(L8))</f>
        <v>29206.880499999996</v>
      </c>
      <c r="L281" s="20">
        <f>(5573.27*(L8))</f>
        <v>29816.994500000001</v>
      </c>
      <c r="M281" s="20">
        <f>(5710.11*(L8))</f>
        <v>30549.088499999998</v>
      </c>
      <c r="N281" s="20">
        <f>(5869.76*(L8))</f>
        <v>31403.216</v>
      </c>
      <c r="O281" s="20">
        <f>(6097.83*(L8))</f>
        <v>32623.390499999998</v>
      </c>
      <c r="P281" s="20">
        <f>(6211.86*(L8))</f>
        <v>33233.450999999994</v>
      </c>
      <c r="Q281" s="20">
        <f>(6668.01*(L8))</f>
        <v>35673.853499999997</v>
      </c>
    </row>
    <row r="282" spans="1:17" ht="12.75" customHeight="1" x14ac:dyDescent="0.2">
      <c r="A282" s="6"/>
      <c r="B282" s="10" t="s">
        <v>531</v>
      </c>
      <c r="C282" s="20" t="s">
        <v>280</v>
      </c>
      <c r="D282" s="20" t="s">
        <v>149</v>
      </c>
      <c r="E282" s="20" t="s">
        <v>527</v>
      </c>
      <c r="F282" s="20" t="s">
        <v>383</v>
      </c>
      <c r="G282" s="20" t="s">
        <v>421</v>
      </c>
      <c r="H282" s="20">
        <f>(5260.15*(L8))</f>
        <v>28141.802499999998</v>
      </c>
      <c r="I282" s="20">
        <f>(5378.57*(L8))</f>
        <v>28775.349499999997</v>
      </c>
      <c r="J282" s="20">
        <f>(5449.63*(L8))</f>
        <v>29155.520499999999</v>
      </c>
      <c r="K282" s="20">
        <f>(5639.1*(L8))</f>
        <v>30169.185000000001</v>
      </c>
      <c r="L282" s="20">
        <f>(5757.52*(L8))</f>
        <v>30802.732</v>
      </c>
      <c r="M282" s="20">
        <f>(5899.63*(L8))</f>
        <v>31563.020499999999</v>
      </c>
      <c r="N282" s="20">
        <f>(6065.42*(L8))</f>
        <v>32449.996999999999</v>
      </c>
      <c r="O282" s="20">
        <f>(6302.26*(L8))</f>
        <v>33717.091</v>
      </c>
      <c r="P282" s="20">
        <f>(6420.68*(L8))</f>
        <v>34350.637999999999</v>
      </c>
      <c r="Q282" s="20">
        <f>(6894.36*(L8))</f>
        <v>36884.825999999994</v>
      </c>
    </row>
    <row r="283" spans="1:17" ht="12.75" customHeight="1" x14ac:dyDescent="0.2">
      <c r="A283" s="6"/>
      <c r="B283" s="10" t="s">
        <v>532</v>
      </c>
      <c r="C283" s="20" t="s">
        <v>501</v>
      </c>
      <c r="D283" s="20" t="s">
        <v>149</v>
      </c>
      <c r="E283" s="20" t="s">
        <v>527</v>
      </c>
      <c r="F283" s="20" t="s">
        <v>383</v>
      </c>
      <c r="G283" s="20" t="s">
        <v>42</v>
      </c>
      <c r="H283" s="20">
        <f>(4285.5*(L8))</f>
        <v>22927.424999999999</v>
      </c>
      <c r="I283" s="20">
        <f>(4355.67*(L8))</f>
        <v>23302.834499999997</v>
      </c>
      <c r="J283" s="20">
        <f>(4397.78*(L8))</f>
        <v>23528.122999999996</v>
      </c>
      <c r="K283" s="20">
        <f>(4510.06*(L8))</f>
        <v>24128.821</v>
      </c>
      <c r="L283" s="20">
        <f>(4580.23*(L8))</f>
        <v>24504.230499999998</v>
      </c>
      <c r="M283" s="20">
        <f>(4664.44*(L8))</f>
        <v>24954.753999999997</v>
      </c>
      <c r="N283" s="20">
        <f>(4762.69*(L8))</f>
        <v>25480.391499999998</v>
      </c>
      <c r="O283" s="20">
        <f>(4903.04*(L8))</f>
        <v>26231.263999999999</v>
      </c>
      <c r="P283" s="20">
        <f>(4973.22*(L8))</f>
        <v>26606.726999999999</v>
      </c>
      <c r="Q283" s="20">
        <f>(5253.92*(L8))</f>
        <v>28108.471999999998</v>
      </c>
    </row>
    <row r="284" spans="1:17" ht="12.75" customHeight="1" x14ac:dyDescent="0.2">
      <c r="A284" s="6"/>
      <c r="B284" s="10" t="s">
        <v>533</v>
      </c>
      <c r="C284" s="20" t="s">
        <v>507</v>
      </c>
      <c r="D284" s="20" t="s">
        <v>149</v>
      </c>
      <c r="E284" s="20" t="s">
        <v>527</v>
      </c>
      <c r="F284" s="20" t="s">
        <v>383</v>
      </c>
      <c r="G284" s="20" t="s">
        <v>163</v>
      </c>
      <c r="H284" s="20">
        <f>(4777.05*(L8))</f>
        <v>25557.217499999999</v>
      </c>
      <c r="I284" s="20">
        <f>(4864.77*(L8))</f>
        <v>26026.519500000002</v>
      </c>
      <c r="J284" s="20">
        <f>(4917.4*(L8))</f>
        <v>26308.089999999997</v>
      </c>
      <c r="K284" s="20">
        <f>(5057.75*(L8))</f>
        <v>27058.962499999998</v>
      </c>
      <c r="L284" s="20">
        <f>(5145.47*(L8))</f>
        <v>27528.264500000001</v>
      </c>
      <c r="M284" s="20">
        <f>(5250.74*(L8))</f>
        <v>28091.458999999995</v>
      </c>
      <c r="N284" s="20">
        <f>(5373.54*(L8))</f>
        <v>28748.438999999998</v>
      </c>
      <c r="O284" s="20">
        <f>(5548.98*(L8))</f>
        <v>29687.042999999994</v>
      </c>
      <c r="P284" s="20">
        <f>(5636.7*(L8))</f>
        <v>30156.344999999998</v>
      </c>
      <c r="Q284" s="20">
        <f>(5987.58*(L8))</f>
        <v>32033.552999999996</v>
      </c>
    </row>
    <row r="285" spans="1:17" ht="12.75" customHeight="1" x14ac:dyDescent="0.2">
      <c r="A285" s="6"/>
      <c r="B285" s="10" t="s">
        <v>534</v>
      </c>
      <c r="C285" s="20" t="s">
        <v>535</v>
      </c>
      <c r="D285" s="20" t="s">
        <v>149</v>
      </c>
      <c r="E285" s="20" t="s">
        <v>527</v>
      </c>
      <c r="F285" s="20" t="s">
        <v>383</v>
      </c>
      <c r="G285" s="20" t="s">
        <v>182</v>
      </c>
      <c r="H285" s="20">
        <f>(4920.38*(L8))</f>
        <v>26324.032999999999</v>
      </c>
      <c r="I285" s="20">
        <f>(5012.49*(L8))</f>
        <v>26816.821499999998</v>
      </c>
      <c r="J285" s="20">
        <f>(5067.75*(L8))</f>
        <v>27112.462499999998</v>
      </c>
      <c r="K285" s="20">
        <f>(5215.12*(L8))</f>
        <v>27900.891999999996</v>
      </c>
      <c r="L285" s="20">
        <f>(5307.23*(L8))</f>
        <v>28393.680499999995</v>
      </c>
      <c r="M285" s="20">
        <f>(5417.75*(L8))</f>
        <v>28984.962499999998</v>
      </c>
      <c r="N285" s="20">
        <f>(5546.7*(L8))</f>
        <v>29674.844999999998</v>
      </c>
      <c r="O285" s="20">
        <f>(5730.91*(L8))</f>
        <v>30660.368499999997</v>
      </c>
      <c r="P285" s="20">
        <f>(5823.02*(L8))</f>
        <v>31153.156999999999</v>
      </c>
      <c r="Q285" s="20">
        <f>(6191.44*(L8))</f>
        <v>33124.203999999998</v>
      </c>
    </row>
    <row r="286" spans="1:17" ht="12.75" customHeight="1" x14ac:dyDescent="0.2">
      <c r="A286" s="6"/>
      <c r="B286" s="10" t="s">
        <v>536</v>
      </c>
      <c r="C286" s="20" t="s">
        <v>537</v>
      </c>
      <c r="D286" s="20" t="s">
        <v>149</v>
      </c>
      <c r="E286" s="20" t="s">
        <v>527</v>
      </c>
      <c r="F286" s="20" t="s">
        <v>383</v>
      </c>
      <c r="G286" s="20" t="s">
        <v>185</v>
      </c>
      <c r="H286" s="20">
        <f>(5120.45*(L8))</f>
        <v>27394.407499999998</v>
      </c>
      <c r="I286" s="20">
        <f>(5221.33*(L8))</f>
        <v>27934.115499999996</v>
      </c>
      <c r="J286" s="20">
        <f>(5281.86*(L8))</f>
        <v>28257.950999999997</v>
      </c>
      <c r="K286" s="20">
        <f>(5443.26*(L8))</f>
        <v>29121.440999999999</v>
      </c>
      <c r="L286" s="20">
        <f>(5544.14*(L8))</f>
        <v>29661.149000000001</v>
      </c>
      <c r="M286" s="20">
        <f>(5665.19*(L8))</f>
        <v>30308.766499999994</v>
      </c>
      <c r="N286" s="20">
        <f>(5806.42*(L8))</f>
        <v>31064.346999999998</v>
      </c>
      <c r="O286" s="20">
        <f>(6008.17*(L8))</f>
        <v>32143.709499999997</v>
      </c>
      <c r="P286" s="20">
        <f>(6109.05*(L8))</f>
        <v>32683.4175</v>
      </c>
      <c r="Q286" s="20">
        <f>(6512.56*(L8))</f>
        <v>34842.195999999996</v>
      </c>
    </row>
    <row r="287" spans="1:17" ht="12.75" customHeight="1" x14ac:dyDescent="0.2">
      <c r="A287" s="6"/>
      <c r="B287" s="10" t="s">
        <v>538</v>
      </c>
      <c r="C287" s="20" t="s">
        <v>539</v>
      </c>
      <c r="D287" s="20" t="s">
        <v>149</v>
      </c>
      <c r="E287" s="20" t="s">
        <v>527</v>
      </c>
      <c r="F287" s="20" t="s">
        <v>383</v>
      </c>
      <c r="G287" s="20" t="s">
        <v>229</v>
      </c>
      <c r="H287" s="20">
        <f>(5323.83*(L8))</f>
        <v>28482.490499999996</v>
      </c>
      <c r="I287" s="20">
        <f>(5437.86*(L8))</f>
        <v>29092.550999999996</v>
      </c>
      <c r="J287" s="20">
        <f>(5506.29*(L8))</f>
        <v>29458.651499999996</v>
      </c>
      <c r="K287" s="20">
        <f>(5688.74*(L8))</f>
        <v>30434.758999999998</v>
      </c>
      <c r="L287" s="20">
        <f>(5802.78*(L8))</f>
        <v>31044.872999999996</v>
      </c>
      <c r="M287" s="20">
        <f>(5939.62*(L8))</f>
        <v>31776.966999999997</v>
      </c>
      <c r="N287" s="20">
        <f>(6099.27*(L8))</f>
        <v>32631.094499999999</v>
      </c>
      <c r="O287" s="20">
        <f>(6327.34*(L8))</f>
        <v>33851.269</v>
      </c>
      <c r="P287" s="20">
        <f>(6441.37*(L8))</f>
        <v>34461.3295</v>
      </c>
      <c r="Q287" s="20">
        <f>(6897.51*(L8))</f>
        <v>36901.678500000002</v>
      </c>
    </row>
    <row r="288" spans="1:17" ht="12.75" customHeight="1" x14ac:dyDescent="0.2">
      <c r="A288" s="6"/>
      <c r="B288" s="10" t="s">
        <v>540</v>
      </c>
      <c r="C288" s="20" t="s">
        <v>541</v>
      </c>
      <c r="D288" s="20" t="s">
        <v>149</v>
      </c>
      <c r="E288" s="20" t="s">
        <v>527</v>
      </c>
      <c r="F288" s="20" t="s">
        <v>383</v>
      </c>
      <c r="G288" s="20" t="s">
        <v>421</v>
      </c>
      <c r="H288" s="20">
        <f>(5500.66*(L8))</f>
        <v>29428.530999999999</v>
      </c>
      <c r="I288" s="20">
        <f>(5619.08*(L8))</f>
        <v>30062.077999999998</v>
      </c>
      <c r="J288" s="20">
        <f>(5690.14*(L8))</f>
        <v>30442.249</v>
      </c>
      <c r="K288" s="20">
        <f>(5879.61*(L8))</f>
        <v>31455.913499999995</v>
      </c>
      <c r="L288" s="20">
        <f>(5998.03*(L8))</f>
        <v>32089.460499999997</v>
      </c>
      <c r="M288" s="20">
        <f>(6140.14*(L8))</f>
        <v>32849.748999999996</v>
      </c>
      <c r="N288" s="20">
        <f>(6305.92*(L8))</f>
        <v>33736.671999999999</v>
      </c>
      <c r="O288" s="20">
        <f>(6542.77*(L8))</f>
        <v>35003.819499999998</v>
      </c>
      <c r="P288" s="20">
        <f>(6661.19*(L8))</f>
        <v>35637.366499999996</v>
      </c>
      <c r="Q288" s="20">
        <f>(7134.87*(L8))</f>
        <v>38171.554499999998</v>
      </c>
    </row>
    <row r="289" spans="1:17" ht="12.75" customHeight="1" x14ac:dyDescent="0.2">
      <c r="A289" s="6"/>
      <c r="B289" s="10" t="s">
        <v>542</v>
      </c>
      <c r="C289" s="20" t="s">
        <v>543</v>
      </c>
      <c r="D289" s="20" t="s">
        <v>149</v>
      </c>
      <c r="E289" s="20" t="s">
        <v>527</v>
      </c>
      <c r="F289" s="20" t="s">
        <v>383</v>
      </c>
      <c r="G289" s="20" t="s">
        <v>231</v>
      </c>
      <c r="H289" s="20">
        <f>(5664.23*(L8))</f>
        <v>30303.630499999996</v>
      </c>
      <c r="I289" s="20">
        <f>(5787.04*(L8))</f>
        <v>30960.663999999997</v>
      </c>
      <c r="J289" s="20">
        <f>(5860.72*(L8))</f>
        <v>31354.851999999999</v>
      </c>
      <c r="K289" s="20">
        <f>(6057.21*(L8))</f>
        <v>32406.073499999999</v>
      </c>
      <c r="L289" s="20">
        <f>(6180.02*(L8))</f>
        <v>33063.107000000004</v>
      </c>
      <c r="M289" s="20">
        <f>(6327.39*(L8))</f>
        <v>33851.536500000002</v>
      </c>
      <c r="N289" s="20">
        <f>(6499.32*(L8))</f>
        <v>34771.361999999994</v>
      </c>
      <c r="O289" s="20">
        <f>(6744.93*(L8))</f>
        <v>36085.375500000002</v>
      </c>
      <c r="P289" s="20">
        <f>(6867.74*(L8))</f>
        <v>36742.409</v>
      </c>
      <c r="Q289" s="20">
        <f>(7358.97*(L8))</f>
        <v>39370.489499999996</v>
      </c>
    </row>
    <row r="290" spans="1:17" ht="12.75" customHeight="1" x14ac:dyDescent="0.2">
      <c r="A290" s="6"/>
      <c r="B290" s="10" t="s">
        <v>544</v>
      </c>
      <c r="C290" s="20" t="s">
        <v>292</v>
      </c>
      <c r="D290" s="20" t="s">
        <v>149</v>
      </c>
      <c r="E290" s="20" t="s">
        <v>527</v>
      </c>
      <c r="F290" s="20" t="s">
        <v>383</v>
      </c>
      <c r="G290" s="20" t="s">
        <v>182</v>
      </c>
      <c r="H290" s="20">
        <f>(4943.75*(L8))</f>
        <v>26449.0625</v>
      </c>
      <c r="I290" s="20">
        <f>(5044.63*(L8))</f>
        <v>26988.770499999999</v>
      </c>
      <c r="J290" s="20">
        <f>(5105.15*(L8))</f>
        <v>27312.552499999998</v>
      </c>
      <c r="K290" s="20">
        <f>(5266.56*(L8))</f>
        <v>28176.096000000001</v>
      </c>
      <c r="L290" s="20">
        <f>(5367.43*(L8))</f>
        <v>28715.750499999998</v>
      </c>
      <c r="M290" s="20">
        <f>(5488.49*(L8))</f>
        <v>29363.421499999997</v>
      </c>
      <c r="N290" s="20">
        <f>(5629.72*(L8))</f>
        <v>30119.002</v>
      </c>
      <c r="O290" s="20">
        <f>(5831.47*(L8))</f>
        <v>31198.3645</v>
      </c>
      <c r="P290" s="20">
        <f>(5932.35*(L8))</f>
        <v>31738.072499999998</v>
      </c>
      <c r="Q290" s="20">
        <f>(6335.86*(L8))</f>
        <v>33896.850999999995</v>
      </c>
    </row>
    <row r="291" spans="1:17" ht="12.75" customHeight="1" x14ac:dyDescent="0.2">
      <c r="A291" s="6"/>
      <c r="B291" s="10" t="s">
        <v>545</v>
      </c>
      <c r="C291" s="20" t="s">
        <v>273</v>
      </c>
      <c r="D291" s="20" t="s">
        <v>149</v>
      </c>
      <c r="E291" s="20" t="s">
        <v>527</v>
      </c>
      <c r="F291" s="20" t="s">
        <v>383</v>
      </c>
      <c r="G291" s="20" t="s">
        <v>185</v>
      </c>
      <c r="H291" s="20">
        <f>(5115*(L8))</f>
        <v>27365.25</v>
      </c>
      <c r="I291" s="20">
        <f>(5220.26*(L8))</f>
        <v>27928.391</v>
      </c>
      <c r="J291" s="20">
        <f>(5283.42*(L8))</f>
        <v>28266.296999999999</v>
      </c>
      <c r="K291" s="20">
        <f>(5451.84*(L8))</f>
        <v>29167.343999999997</v>
      </c>
      <c r="L291" s="20">
        <f>(5557.1*(L8))</f>
        <v>29730.485000000001</v>
      </c>
      <c r="M291" s="20">
        <f>(5683.42*(L8))</f>
        <v>30406.296999999999</v>
      </c>
      <c r="N291" s="20">
        <f>(5830.79*(L8))</f>
        <v>31194.726499999997</v>
      </c>
      <c r="O291" s="20">
        <f>(6041.31*(L8))</f>
        <v>32321.0085</v>
      </c>
      <c r="P291" s="20">
        <f>(6146.58*(L8))</f>
        <v>32884.202999999994</v>
      </c>
      <c r="Q291" s="20">
        <f>(6567.63*(L8))</f>
        <v>35136.820500000002</v>
      </c>
    </row>
    <row r="292" spans="1:17" ht="12.75" customHeight="1" x14ac:dyDescent="0.2">
      <c r="A292" s="6"/>
      <c r="B292" s="10" t="s">
        <v>546</v>
      </c>
      <c r="C292" s="20" t="s">
        <v>278</v>
      </c>
      <c r="D292" s="20" t="s">
        <v>149</v>
      </c>
      <c r="E292" s="20" t="s">
        <v>527</v>
      </c>
      <c r="F292" s="20" t="s">
        <v>383</v>
      </c>
      <c r="G292" s="20" t="s">
        <v>229</v>
      </c>
      <c r="H292" s="20">
        <f>(5421.55*(L8))</f>
        <v>29005.2925</v>
      </c>
      <c r="I292" s="20">
        <f>(5535.58*(L8))</f>
        <v>29615.352999999999</v>
      </c>
      <c r="J292" s="20">
        <f>(5604.01*(L8))</f>
        <v>29981.4535</v>
      </c>
      <c r="K292" s="20">
        <f>(5786.46*(L8))</f>
        <v>30957.560999999998</v>
      </c>
      <c r="L292" s="20">
        <f>(5900.5*(L8))</f>
        <v>31567.674999999999</v>
      </c>
      <c r="M292" s="20">
        <f>(6037.34*(L8))</f>
        <v>32299.769</v>
      </c>
      <c r="N292" s="20">
        <f>(6196.99*(L8))</f>
        <v>33153.896499999995</v>
      </c>
      <c r="O292" s="20">
        <f>(6425.06*(L8))</f>
        <v>34374.070999999996</v>
      </c>
      <c r="P292" s="20">
        <f>(6539.09*(L8))</f>
        <v>34984.131499999996</v>
      </c>
      <c r="Q292" s="20">
        <f>(6995.23*(L8))</f>
        <v>37424.480499999998</v>
      </c>
    </row>
    <row r="293" spans="1:17" ht="12.75" customHeight="1" x14ac:dyDescent="0.2">
      <c r="A293" s="6"/>
      <c r="B293" s="10" t="s">
        <v>547</v>
      </c>
      <c r="C293" s="20" t="s">
        <v>280</v>
      </c>
      <c r="D293" s="20" t="s">
        <v>149</v>
      </c>
      <c r="E293" s="20" t="s">
        <v>527</v>
      </c>
      <c r="F293" s="20" t="s">
        <v>383</v>
      </c>
      <c r="G293" s="20" t="s">
        <v>421</v>
      </c>
      <c r="H293" s="20">
        <f>(5660.7*(L8))</f>
        <v>30284.744999999995</v>
      </c>
      <c r="I293" s="20">
        <f>(5779.12*(L8))</f>
        <v>30918.291999999998</v>
      </c>
      <c r="J293" s="20">
        <f>(5850.17*(L8))</f>
        <v>31298.409499999998</v>
      </c>
      <c r="K293" s="20">
        <f>(6039.64*(L8))</f>
        <v>32312.074000000001</v>
      </c>
      <c r="L293" s="20">
        <f>(6158.07*(L8))</f>
        <v>32945.674499999994</v>
      </c>
      <c r="M293" s="20">
        <f>(6300.17*(L8))</f>
        <v>33705.909500000002</v>
      </c>
      <c r="N293" s="20">
        <f>(6465.96*(L8))</f>
        <v>34592.885999999999</v>
      </c>
      <c r="O293" s="20">
        <f>(6702.8*(L8))</f>
        <v>35859.979999999996</v>
      </c>
      <c r="P293" s="20">
        <f>(6821.22*(L8))</f>
        <v>36493.527000000002</v>
      </c>
      <c r="Q293" s="20">
        <f>(7294.91*(L8))</f>
        <v>39027.768499999998</v>
      </c>
    </row>
    <row r="294" spans="1:17" ht="12.75" customHeight="1" x14ac:dyDescent="0.2">
      <c r="A294" s="6"/>
      <c r="B294" s="10" t="s">
        <v>548</v>
      </c>
      <c r="C294" s="20" t="s">
        <v>236</v>
      </c>
      <c r="D294" s="20" t="s">
        <v>149</v>
      </c>
      <c r="E294" s="20" t="s">
        <v>527</v>
      </c>
      <c r="F294" s="20" t="s">
        <v>383</v>
      </c>
      <c r="G294" s="20" t="s">
        <v>231</v>
      </c>
      <c r="H294" s="20">
        <f>(5837.42*(L8))</f>
        <v>31230.197</v>
      </c>
      <c r="I294" s="20">
        <f>(5960.23*(L8))</f>
        <v>31887.230499999994</v>
      </c>
      <c r="J294" s="20">
        <f>(6033.91*(L8))</f>
        <v>32281.418499999996</v>
      </c>
      <c r="K294" s="20">
        <f>(6230.41*(L8))</f>
        <v>33332.693499999994</v>
      </c>
      <c r="L294" s="20">
        <f>(6353.21*(L8))</f>
        <v>33989.673499999997</v>
      </c>
      <c r="M294" s="20">
        <f>(6500.58*(L8))</f>
        <v>34778.102999999996</v>
      </c>
      <c r="N294" s="20">
        <f>(6672.51*(L8))</f>
        <v>35697.928500000002</v>
      </c>
      <c r="O294" s="20">
        <f>(6918.12*(L8))</f>
        <v>37011.941999999995</v>
      </c>
      <c r="P294" s="20">
        <f>(7040.93*(L8))</f>
        <v>37668.9755</v>
      </c>
      <c r="Q294" s="20">
        <f>(7532.16*(L8))</f>
        <v>40297.055999999997</v>
      </c>
    </row>
    <row r="295" spans="1:17" ht="30" customHeight="1" x14ac:dyDescent="0.35">
      <c r="A295" s="6"/>
      <c r="B295" s="23" t="s">
        <v>1454</v>
      </c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5"/>
    </row>
    <row r="296" spans="1:17" ht="12.75" customHeight="1" x14ac:dyDescent="0.2">
      <c r="A296" s="7" t="s">
        <v>6</v>
      </c>
      <c r="B296" s="8" t="s">
        <v>7</v>
      </c>
      <c r="C296" s="8" t="s">
        <v>8</v>
      </c>
      <c r="D296" s="8" t="s">
        <v>9</v>
      </c>
      <c r="E296" s="8" t="s">
        <v>10</v>
      </c>
      <c r="F296" s="8" t="s">
        <v>11</v>
      </c>
      <c r="G296" s="8" t="s">
        <v>12</v>
      </c>
      <c r="H296" s="8" t="s">
        <v>13</v>
      </c>
      <c r="I296" s="8" t="s">
        <v>14</v>
      </c>
      <c r="J296" s="8" t="s">
        <v>15</v>
      </c>
      <c r="K296" s="8" t="s">
        <v>16</v>
      </c>
      <c r="L296" s="8" t="s">
        <v>17</v>
      </c>
      <c r="M296" s="8" t="s">
        <v>18</v>
      </c>
      <c r="N296" s="8" t="s">
        <v>19</v>
      </c>
      <c r="O296" s="8" t="s">
        <v>20</v>
      </c>
      <c r="P296" s="8" t="s">
        <v>21</v>
      </c>
      <c r="Q296" s="8" t="s">
        <v>22</v>
      </c>
    </row>
    <row r="297" spans="1:17" ht="12.75" customHeight="1" x14ac:dyDescent="0.2">
      <c r="A297" s="6"/>
      <c r="B297" s="10" t="s">
        <v>1428</v>
      </c>
      <c r="C297" s="20" t="s">
        <v>88</v>
      </c>
      <c r="D297" s="20" t="s">
        <v>464</v>
      </c>
      <c r="E297" s="20" t="s">
        <v>275</v>
      </c>
      <c r="F297" s="20" t="s">
        <v>405</v>
      </c>
      <c r="G297" s="20" t="s">
        <v>182</v>
      </c>
      <c r="H297" s="20">
        <f>(4220.1*(L8))</f>
        <v>22577.535</v>
      </c>
      <c r="I297" s="20">
        <f>(4334.14*(L8))</f>
        <v>23187.649000000001</v>
      </c>
      <c r="J297" s="20">
        <f>(4402.56*(L8))</f>
        <v>23553.696</v>
      </c>
      <c r="K297" s="20">
        <f>(4585.02*(L8))</f>
        <v>24529.857</v>
      </c>
      <c r="L297" s="20">
        <f>(4699.05*(L8))</f>
        <v>25139.9175</v>
      </c>
      <c r="M297" s="20">
        <f>(4835.89*(L8))</f>
        <v>25872.011500000001</v>
      </c>
      <c r="N297" s="20">
        <f>(4995.54*(L8))</f>
        <v>26726.138999999999</v>
      </c>
      <c r="O297" s="20">
        <f>(5223.61*(L8))</f>
        <v>27946.313499999997</v>
      </c>
      <c r="P297" s="20">
        <f>(5337.65*(L8))</f>
        <v>28556.427499999998</v>
      </c>
      <c r="Q297" s="20">
        <f>(5793.79*(L8))</f>
        <v>30996.776499999996</v>
      </c>
    </row>
    <row r="298" spans="1:17" ht="12.75" customHeight="1" x14ac:dyDescent="0.2">
      <c r="A298" s="6"/>
      <c r="B298" s="10" t="s">
        <v>549</v>
      </c>
      <c r="C298" s="20" t="s">
        <v>228</v>
      </c>
      <c r="D298" s="20" t="s">
        <v>464</v>
      </c>
      <c r="E298" s="20" t="s">
        <v>275</v>
      </c>
      <c r="F298" s="20" t="s">
        <v>405</v>
      </c>
      <c r="G298" s="20" t="s">
        <v>185</v>
      </c>
      <c r="H298" s="20">
        <f>(4377.02*(L8))</f>
        <v>23417.057000000001</v>
      </c>
      <c r="I298" s="20">
        <f>(4495.44*(L8))</f>
        <v>24050.603999999996</v>
      </c>
      <c r="J298" s="20">
        <f>(4566.5*(L8))</f>
        <v>24430.774999999998</v>
      </c>
      <c r="K298" s="20">
        <f>(4755.97*(L8))</f>
        <v>25444.4395</v>
      </c>
      <c r="L298" s="20">
        <f>(4874.39*(L8))</f>
        <v>26077.986499999999</v>
      </c>
      <c r="M298" s="20">
        <f>(5016.5*(L8))</f>
        <v>26838.274999999998</v>
      </c>
      <c r="N298" s="20">
        <f>(5182.29*(L8))</f>
        <v>27725.251499999998</v>
      </c>
      <c r="O298" s="20">
        <f>(5419.13*(L8))</f>
        <v>28992.345499999999</v>
      </c>
      <c r="P298" s="20">
        <f>(5537.55*(L8))</f>
        <v>29625.892499999998</v>
      </c>
      <c r="Q298" s="20">
        <f>(6011.23*(L8))</f>
        <v>32160.080499999996</v>
      </c>
    </row>
    <row r="299" spans="1:17" ht="12.75" customHeight="1" x14ac:dyDescent="0.2">
      <c r="A299" s="6"/>
      <c r="B299" s="10" t="s">
        <v>550</v>
      </c>
      <c r="C299" s="20" t="s">
        <v>551</v>
      </c>
      <c r="D299" s="20" t="s">
        <v>464</v>
      </c>
      <c r="E299" s="20" t="s">
        <v>275</v>
      </c>
      <c r="F299" s="20" t="s">
        <v>405</v>
      </c>
      <c r="G299" s="20" t="s">
        <v>421</v>
      </c>
      <c r="H299" s="20">
        <f>(4561.63*(L8))</f>
        <v>24404.720499999999</v>
      </c>
      <c r="I299" s="20">
        <f>(4688.82*(L8))</f>
        <v>25085.186999999998</v>
      </c>
      <c r="J299" s="20">
        <f>(4765.14*(L8))</f>
        <v>25493.499</v>
      </c>
      <c r="K299" s="20">
        <f>(4968.64*(L8))</f>
        <v>26582.223999999998</v>
      </c>
      <c r="L299" s="20">
        <f>(5095.84*(L8))</f>
        <v>27262.743999999999</v>
      </c>
      <c r="M299" s="20">
        <f>(5248.47*(L8))</f>
        <v>28079.3145</v>
      </c>
      <c r="N299" s="20">
        <f>(5426.54*(L8))</f>
        <v>29031.988999999998</v>
      </c>
      <c r="O299" s="20">
        <f>(5680.92*(L8))</f>
        <v>30392.921999999999</v>
      </c>
      <c r="P299" s="20">
        <f>(5808.12*(L8))</f>
        <v>31073.441999999999</v>
      </c>
      <c r="Q299" s="20">
        <f>(6316.89*(L8))</f>
        <v>33795.361499999999</v>
      </c>
    </row>
    <row r="300" spans="1:17" ht="12.75" customHeight="1" x14ac:dyDescent="0.2">
      <c r="A300" s="6"/>
      <c r="B300" s="10" t="s">
        <v>552</v>
      </c>
      <c r="C300" s="20" t="s">
        <v>553</v>
      </c>
      <c r="D300" s="20" t="s">
        <v>464</v>
      </c>
      <c r="E300" s="20" t="s">
        <v>275</v>
      </c>
      <c r="F300" s="20" t="s">
        <v>405</v>
      </c>
      <c r="G300" s="20" t="s">
        <v>440</v>
      </c>
      <c r="H300" s="20">
        <f>(4795.16*(L8))</f>
        <v>25654.105999999996</v>
      </c>
      <c r="I300" s="20">
        <f>(4939.9*(L8))</f>
        <v>26428.464999999997</v>
      </c>
      <c r="J300" s="20">
        <f>(5026.74*(L8))</f>
        <v>26893.058999999997</v>
      </c>
      <c r="K300" s="20">
        <f>(5258.32*(L8))</f>
        <v>28132.011999999995</v>
      </c>
      <c r="L300" s="20">
        <f>(5403.05*(L8))</f>
        <v>28906.317499999997</v>
      </c>
      <c r="M300" s="20">
        <f>(5576.74*(L8))</f>
        <v>29835.558999999997</v>
      </c>
      <c r="N300" s="20">
        <f>(5779.37*(L8))</f>
        <v>30919.629499999999</v>
      </c>
      <c r="O300" s="20">
        <f>(6068.84*(L8))</f>
        <v>32468.293999999998</v>
      </c>
      <c r="P300" s="20">
        <f>(6213.58*(L8))</f>
        <v>33242.652999999998</v>
      </c>
      <c r="Q300" s="20">
        <f>(6792.53*(L8))</f>
        <v>36340.035499999998</v>
      </c>
    </row>
    <row r="301" spans="1:17" ht="12.75" customHeight="1" x14ac:dyDescent="0.2">
      <c r="A301" s="6"/>
      <c r="B301" s="10" t="s">
        <v>554</v>
      </c>
      <c r="C301" s="20" t="s">
        <v>555</v>
      </c>
      <c r="D301" s="20" t="s">
        <v>464</v>
      </c>
      <c r="E301" s="20" t="s">
        <v>275</v>
      </c>
      <c r="F301" s="20" t="s">
        <v>405</v>
      </c>
      <c r="G301" s="20" t="s">
        <v>477</v>
      </c>
      <c r="H301" s="20">
        <f>(5015.62*(L8))</f>
        <v>26833.566999999999</v>
      </c>
      <c r="I301" s="20">
        <f>(5169.13*(L8))</f>
        <v>27654.845499999999</v>
      </c>
      <c r="J301" s="20">
        <f>(5261.24*(L8))</f>
        <v>28147.633999999998</v>
      </c>
      <c r="K301" s="20">
        <f>(5506.85*(L8))</f>
        <v>29461.647499999999</v>
      </c>
      <c r="L301" s="20">
        <f>(5660.36*(L8))</f>
        <v>30282.925999999996</v>
      </c>
      <c r="M301" s="20">
        <f>(5844.57*(L8))</f>
        <v>31268.449499999995</v>
      </c>
      <c r="N301" s="20">
        <f>(6059.48*(L8))</f>
        <v>32418.217999999997</v>
      </c>
      <c r="O301" s="20">
        <f>(6366.5*(L8))</f>
        <v>34060.774999999994</v>
      </c>
      <c r="P301" s="20">
        <f>(6520.01*(L8))</f>
        <v>34882.053500000002</v>
      </c>
      <c r="Q301" s="20">
        <f>(7134.05*(L8))</f>
        <v>38167.167499999996</v>
      </c>
    </row>
    <row r="302" spans="1:17" ht="12.75" customHeight="1" x14ac:dyDescent="0.2">
      <c r="A302" s="6"/>
      <c r="B302" s="10" t="s">
        <v>556</v>
      </c>
      <c r="C302" s="20" t="s">
        <v>292</v>
      </c>
      <c r="D302" s="20" t="s">
        <v>464</v>
      </c>
      <c r="E302" s="20" t="s">
        <v>275</v>
      </c>
      <c r="F302" s="20" t="s">
        <v>405</v>
      </c>
      <c r="G302" s="20" t="s">
        <v>229</v>
      </c>
      <c r="H302" s="20">
        <f>(4289.07*(L8))</f>
        <v>22946.524499999996</v>
      </c>
      <c r="I302" s="20">
        <f>(4407.49*(L8))</f>
        <v>23580.071499999998</v>
      </c>
      <c r="J302" s="20">
        <f>(4478.54*(L8))</f>
        <v>23960.188999999998</v>
      </c>
      <c r="K302" s="20">
        <f>(4668.02*(L8))</f>
        <v>24973.906999999999</v>
      </c>
      <c r="L302" s="20">
        <f>(4786.44*(L8))</f>
        <v>25607.453999999998</v>
      </c>
      <c r="M302" s="20">
        <f>(4928.54*(L8))</f>
        <v>26367.688999999998</v>
      </c>
      <c r="N302" s="20">
        <f>(5094.33*(L8))</f>
        <v>27254.665499999999</v>
      </c>
      <c r="O302" s="20">
        <f>(5331.17*(L8))</f>
        <v>28521.7595</v>
      </c>
      <c r="P302" s="20">
        <f>(5449.59*(L8))</f>
        <v>29155.306499999999</v>
      </c>
      <c r="Q302" s="20">
        <f>(5923.28*(L8))</f>
        <v>31689.547999999995</v>
      </c>
    </row>
    <row r="303" spans="1:17" ht="12.75" customHeight="1" x14ac:dyDescent="0.2">
      <c r="A303" s="6"/>
      <c r="B303" s="10" t="s">
        <v>557</v>
      </c>
      <c r="C303" s="20" t="s">
        <v>273</v>
      </c>
      <c r="D303" s="20" t="s">
        <v>464</v>
      </c>
      <c r="E303" s="20" t="s">
        <v>275</v>
      </c>
      <c r="F303" s="20" t="s">
        <v>405</v>
      </c>
      <c r="G303" s="20" t="s">
        <v>231</v>
      </c>
      <c r="H303" s="20">
        <f>(4442.57*(L8))</f>
        <v>23767.749499999998</v>
      </c>
      <c r="I303" s="20">
        <f>(4569.76*(L8))</f>
        <v>24448.216</v>
      </c>
      <c r="J303" s="20">
        <f>(4646.08*(L8))</f>
        <v>24856.527999999998</v>
      </c>
      <c r="K303" s="20">
        <f>(4849.58*(L8))</f>
        <v>25945.252999999997</v>
      </c>
      <c r="L303" s="20">
        <f>(4976.78*(L8))</f>
        <v>26625.772999999997</v>
      </c>
      <c r="M303" s="20">
        <f>(5129.41*(L8))</f>
        <v>27442.343499999999</v>
      </c>
      <c r="N303" s="20">
        <f>(5307.48*(L8))</f>
        <v>28395.017999999996</v>
      </c>
      <c r="O303" s="20">
        <f>(5561.86*(L8))</f>
        <v>29755.950999999997</v>
      </c>
      <c r="P303" s="20">
        <f>(5689.06*(L8))</f>
        <v>30436.471000000001</v>
      </c>
      <c r="Q303" s="20">
        <f>(6197.83*(L8))</f>
        <v>33158.390499999994</v>
      </c>
    </row>
    <row r="304" spans="1:17" ht="12.75" customHeight="1" x14ac:dyDescent="0.2">
      <c r="A304" s="6"/>
      <c r="B304" s="10" t="s">
        <v>558</v>
      </c>
      <c r="C304" s="20" t="s">
        <v>278</v>
      </c>
      <c r="D304" s="20" t="s">
        <v>464</v>
      </c>
      <c r="E304" s="20" t="s">
        <v>275</v>
      </c>
      <c r="F304" s="20" t="s">
        <v>405</v>
      </c>
      <c r="G304" s="20" t="s">
        <v>237</v>
      </c>
      <c r="H304" s="20">
        <f>(4611.08*(L8))</f>
        <v>24669.277999999998</v>
      </c>
      <c r="I304" s="20">
        <f>(4742.66*(L8))</f>
        <v>25373.230999999996</v>
      </c>
      <c r="J304" s="20">
        <f>(4821.61*(L8))</f>
        <v>25795.613499999996</v>
      </c>
      <c r="K304" s="20">
        <f>(5032.14*(L8))</f>
        <v>26921.949000000001</v>
      </c>
      <c r="L304" s="20">
        <f>(5163.71*(L8))</f>
        <v>27625.8485</v>
      </c>
      <c r="M304" s="20">
        <f>(5321.61*(L8))</f>
        <v>28470.613499999996</v>
      </c>
      <c r="N304" s="20">
        <f>(5505.82*(L8))</f>
        <v>29456.136999999995</v>
      </c>
      <c r="O304" s="20">
        <f>(5768.98*(L8))</f>
        <v>30864.042999999994</v>
      </c>
      <c r="P304" s="20">
        <f>(5900.56*(L8))</f>
        <v>31567.995999999999</v>
      </c>
      <c r="Q304" s="20">
        <f>(6426.87*(L8))</f>
        <v>34383.754499999995</v>
      </c>
    </row>
    <row r="305" spans="1:17" ht="12.75" customHeight="1" x14ac:dyDescent="0.2">
      <c r="A305" s="6"/>
      <c r="B305" s="10" t="s">
        <v>559</v>
      </c>
      <c r="C305" s="20" t="s">
        <v>280</v>
      </c>
      <c r="D305" s="20" t="s">
        <v>464</v>
      </c>
      <c r="E305" s="20" t="s">
        <v>275</v>
      </c>
      <c r="F305" s="20" t="s">
        <v>405</v>
      </c>
      <c r="G305" s="20" t="s">
        <v>243</v>
      </c>
      <c r="H305" s="20">
        <f>(4880.65*(L8))</f>
        <v>26111.477499999997</v>
      </c>
      <c r="I305" s="20">
        <f>(5034.16*(L8))</f>
        <v>26932.755999999998</v>
      </c>
      <c r="J305" s="20">
        <f>(5126.26*(L8))</f>
        <v>27425.490999999998</v>
      </c>
      <c r="K305" s="20">
        <f>(5371.88*(L8))</f>
        <v>28739.557999999997</v>
      </c>
      <c r="L305" s="20">
        <f>(5525.39*(L8))</f>
        <v>29560.836500000001</v>
      </c>
      <c r="M305" s="20">
        <f>(5709.6*(L8))</f>
        <v>30546.36</v>
      </c>
      <c r="N305" s="20">
        <f>(5924.51*(L8))</f>
        <v>31696.128499999999</v>
      </c>
      <c r="O305" s="20">
        <f>(6231.53*(L8))</f>
        <v>33338.6855</v>
      </c>
      <c r="P305" s="20">
        <f>(6385.04*(L8))</f>
        <v>34159.964</v>
      </c>
      <c r="Q305" s="20">
        <f>(6999.07*(L8))</f>
        <v>37445.0245</v>
      </c>
    </row>
    <row r="306" spans="1:17" ht="12.75" customHeight="1" x14ac:dyDescent="0.2">
      <c r="A306" s="6"/>
      <c r="B306" s="10" t="s">
        <v>560</v>
      </c>
      <c r="C306" s="20" t="s">
        <v>236</v>
      </c>
      <c r="D306" s="20" t="s">
        <v>464</v>
      </c>
      <c r="E306" s="20" t="s">
        <v>275</v>
      </c>
      <c r="F306" s="20" t="s">
        <v>405</v>
      </c>
      <c r="G306" s="20" t="s">
        <v>283</v>
      </c>
      <c r="H306" s="20">
        <f>(5057.26*(L8))</f>
        <v>27056.341</v>
      </c>
      <c r="I306" s="20">
        <f>(5219.54*(L8))</f>
        <v>27924.538999999997</v>
      </c>
      <c r="J306" s="20">
        <f>(5316.91*(L8))</f>
        <v>28445.468499999999</v>
      </c>
      <c r="K306" s="20">
        <f>(5576.55*(L8))</f>
        <v>29834.5425</v>
      </c>
      <c r="L306" s="20">
        <f>(5738.83*(L8))</f>
        <v>30702.740499999996</v>
      </c>
      <c r="M306" s="20">
        <f>(5933.57*(L8))</f>
        <v>31744.599499999997</v>
      </c>
      <c r="N306" s="20">
        <f>(6160.76*(L8))</f>
        <v>32960.065999999999</v>
      </c>
      <c r="O306" s="20">
        <f>(6485.33*(L8))</f>
        <v>34696.515499999994</v>
      </c>
      <c r="P306" s="20">
        <f>(6647.61*(L8))</f>
        <v>35564.713499999998</v>
      </c>
      <c r="Q306" s="20">
        <f>(7296.73*(L8))</f>
        <v>39037.505499999992</v>
      </c>
    </row>
    <row r="307" spans="1:17" ht="12.75" customHeight="1" x14ac:dyDescent="0.2">
      <c r="A307" s="6"/>
      <c r="B307" s="10" t="s">
        <v>561</v>
      </c>
      <c r="C307" s="20" t="s">
        <v>562</v>
      </c>
      <c r="D307" s="20" t="s">
        <v>395</v>
      </c>
      <c r="E307" s="20" t="s">
        <v>275</v>
      </c>
      <c r="F307" s="20" t="s">
        <v>405</v>
      </c>
      <c r="G307" s="20" t="s">
        <v>154</v>
      </c>
      <c r="H307" s="20">
        <f>(4063.44*(L8))</f>
        <v>21739.403999999999</v>
      </c>
      <c r="I307" s="20">
        <f>(4151.16*(L8))</f>
        <v>22208.705999999998</v>
      </c>
      <c r="J307" s="20">
        <f>(4203.79*(L8))</f>
        <v>22490.2765</v>
      </c>
      <c r="K307" s="20">
        <f>(4344.14*(L8))</f>
        <v>23241.149000000001</v>
      </c>
      <c r="L307" s="20">
        <f>(4431.86*(L8))</f>
        <v>23710.450999999997</v>
      </c>
      <c r="M307" s="20">
        <f>(4537.12*(L8))</f>
        <v>24273.591999999997</v>
      </c>
      <c r="N307" s="20">
        <f>(4659.93*(L8))</f>
        <v>24930.625499999998</v>
      </c>
      <c r="O307" s="20">
        <f>(4835.37*(L8))</f>
        <v>25869.229499999998</v>
      </c>
      <c r="P307" s="20">
        <f>(4923.09*(L8))</f>
        <v>26338.531499999997</v>
      </c>
      <c r="Q307" s="20">
        <f>(5273.96*(L8))</f>
        <v>28215.685999999998</v>
      </c>
    </row>
    <row r="308" spans="1:17" ht="12.75" customHeight="1" x14ac:dyDescent="0.2">
      <c r="A308" s="6"/>
      <c r="B308" s="10" t="s">
        <v>563</v>
      </c>
      <c r="C308" s="20" t="s">
        <v>79</v>
      </c>
      <c r="D308" s="20" t="s">
        <v>395</v>
      </c>
      <c r="E308" s="20" t="s">
        <v>275</v>
      </c>
      <c r="F308" s="20" t="s">
        <v>27</v>
      </c>
      <c r="G308" s="20" t="s">
        <v>152</v>
      </c>
      <c r="H308" s="20">
        <f>(3927.66*(L8))</f>
        <v>21012.980999999996</v>
      </c>
      <c r="I308" s="20">
        <f>(4006.61*(L8))</f>
        <v>21435.363499999999</v>
      </c>
      <c r="J308" s="20">
        <f>(4053.98*(L8))</f>
        <v>21688.792999999998</v>
      </c>
      <c r="K308" s="20">
        <f>(4180.3*(L8))</f>
        <v>22364.605</v>
      </c>
      <c r="L308" s="20">
        <f>(4259.24*(L8))</f>
        <v>22786.933999999997</v>
      </c>
      <c r="M308" s="20">
        <f>(4353.98*(L8))</f>
        <v>23293.792999999998</v>
      </c>
      <c r="N308" s="20">
        <f>(4464.51*(L8))</f>
        <v>23885.128499999999</v>
      </c>
      <c r="O308" s="20">
        <f>(4622.4*(L8))</f>
        <v>24729.839999999997</v>
      </c>
      <c r="P308" s="20">
        <f>(4701.35*(L8))</f>
        <v>25152.2225</v>
      </c>
      <c r="Q308" s="20">
        <f>(5017.14*(L8))</f>
        <v>26841.699000000001</v>
      </c>
    </row>
    <row r="309" spans="1:17" ht="12.75" customHeight="1" x14ac:dyDescent="0.2">
      <c r="A309" s="6"/>
      <c r="B309" s="10" t="s">
        <v>564</v>
      </c>
      <c r="C309" s="20" t="s">
        <v>565</v>
      </c>
      <c r="D309" s="20" t="s">
        <v>395</v>
      </c>
      <c r="E309" s="20" t="s">
        <v>275</v>
      </c>
      <c r="F309" s="20" t="s">
        <v>27</v>
      </c>
      <c r="G309" s="20" t="s">
        <v>237</v>
      </c>
      <c r="H309" s="20">
        <f>(4181.85*(L8))</f>
        <v>22372.897499999999</v>
      </c>
      <c r="I309" s="20">
        <f>(4265.18*(L8))</f>
        <v>22818.713</v>
      </c>
      <c r="J309" s="20">
        <f>(4315.18*(L8))</f>
        <v>23086.213</v>
      </c>
      <c r="K309" s="20">
        <f>(4448.51*(L8))</f>
        <v>23799.5285</v>
      </c>
      <c r="L309" s="20">
        <f>(4531.85*(L8))</f>
        <v>24245.397499999999</v>
      </c>
      <c r="M309" s="20">
        <f>(4631.85*(L8))</f>
        <v>24780.397499999999</v>
      </c>
      <c r="N309" s="20">
        <f>(4748.51*(L8))</f>
        <v>25404.5285</v>
      </c>
      <c r="O309" s="20">
        <f>(4915.18*(L8))</f>
        <v>26296.213</v>
      </c>
      <c r="P309" s="20">
        <f>(4998.51*(L8))</f>
        <v>26742.0285</v>
      </c>
      <c r="Q309" s="20">
        <f>(5331.85*(L8))</f>
        <v>28525.397499999999</v>
      </c>
    </row>
    <row r="310" spans="1:17" ht="12.75" customHeight="1" x14ac:dyDescent="0.2">
      <c r="A310" s="6"/>
      <c r="B310" s="10" t="s">
        <v>566</v>
      </c>
      <c r="C310" s="20" t="s">
        <v>79</v>
      </c>
      <c r="D310" s="20" t="s">
        <v>149</v>
      </c>
      <c r="E310" s="20" t="s">
        <v>567</v>
      </c>
      <c r="F310" s="20" t="s">
        <v>27</v>
      </c>
      <c r="G310" s="20" t="s">
        <v>247</v>
      </c>
      <c r="H310" s="20">
        <f>(2034.98*(L8))</f>
        <v>10887.143</v>
      </c>
      <c r="I310" s="20">
        <f>(2065.68*(L8))</f>
        <v>11051.387999999999</v>
      </c>
      <c r="J310" s="20">
        <f>(2084.1*(L8))</f>
        <v>11149.934999999999</v>
      </c>
      <c r="K310" s="20">
        <f>(2133.22*(L8))</f>
        <v>11412.726999999999</v>
      </c>
      <c r="L310" s="20">
        <f>(2163.92*(L8))</f>
        <v>11576.972</v>
      </c>
      <c r="M310" s="20">
        <f>(2200.76*(L8))</f>
        <v>11774.066000000001</v>
      </c>
      <c r="N310" s="20">
        <f>(2243.75*(L8))</f>
        <v>12004.0625</v>
      </c>
      <c r="O310" s="20">
        <f>(2305.15*(L8))</f>
        <v>12332.5525</v>
      </c>
      <c r="P310" s="20">
        <f>(2335.85*(L8))</f>
        <v>12496.797499999999</v>
      </c>
      <c r="Q310" s="20">
        <f>(2458.66*(L8))</f>
        <v>13153.830999999998</v>
      </c>
    </row>
    <row r="311" spans="1:17" ht="30" customHeight="1" x14ac:dyDescent="0.35">
      <c r="A311" s="6"/>
      <c r="B311" s="23" t="s">
        <v>568</v>
      </c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5"/>
    </row>
    <row r="312" spans="1:17" ht="12.75" customHeight="1" x14ac:dyDescent="0.2">
      <c r="A312" s="7" t="s">
        <v>6</v>
      </c>
      <c r="B312" s="8" t="s">
        <v>7</v>
      </c>
      <c r="C312" s="8" t="s">
        <v>8</v>
      </c>
      <c r="D312" s="8" t="s">
        <v>9</v>
      </c>
      <c r="E312" s="8" t="s">
        <v>10</v>
      </c>
      <c r="F312" s="8" t="s">
        <v>11</v>
      </c>
      <c r="G312" s="8" t="s">
        <v>12</v>
      </c>
      <c r="H312" s="8" t="s">
        <v>13</v>
      </c>
      <c r="I312" s="8" t="s">
        <v>14</v>
      </c>
      <c r="J312" s="8" t="s">
        <v>15</v>
      </c>
      <c r="K312" s="8" t="s">
        <v>16</v>
      </c>
      <c r="L312" s="8" t="s">
        <v>17</v>
      </c>
      <c r="M312" s="8" t="s">
        <v>18</v>
      </c>
      <c r="N312" s="8" t="s">
        <v>19</v>
      </c>
      <c r="O312" s="8" t="s">
        <v>20</v>
      </c>
      <c r="P312" s="8" t="s">
        <v>21</v>
      </c>
      <c r="Q312" s="8" t="s">
        <v>22</v>
      </c>
    </row>
    <row r="313" spans="1:17" ht="12.75" customHeight="1" x14ac:dyDescent="0.2">
      <c r="A313" s="6"/>
      <c r="B313" s="10" t="s">
        <v>569</v>
      </c>
      <c r="C313" s="20" t="s">
        <v>52</v>
      </c>
      <c r="D313" s="20" t="s">
        <v>464</v>
      </c>
      <c r="E313" s="20" t="s">
        <v>570</v>
      </c>
      <c r="F313" s="20" t="s">
        <v>571</v>
      </c>
      <c r="G313" s="20" t="s">
        <v>38</v>
      </c>
      <c r="H313" s="20">
        <f>(3084.9*(L8))</f>
        <v>16504.215</v>
      </c>
      <c r="I313" s="20">
        <f>(3159.46*(L8))</f>
        <v>16903.111000000001</v>
      </c>
      <c r="J313" s="20">
        <f>(3204.2*(L8))</f>
        <v>17142.469999999998</v>
      </c>
      <c r="K313" s="20">
        <f>(3323.49*(L8))</f>
        <v>17780.671499999997</v>
      </c>
      <c r="L313" s="20">
        <f>(3398.06*(L8))</f>
        <v>18179.620999999999</v>
      </c>
      <c r="M313" s="20">
        <f>(3487.53*(L8))</f>
        <v>18658.285499999998</v>
      </c>
      <c r="N313" s="20">
        <f>(3591.92*(L8))</f>
        <v>19216.772000000001</v>
      </c>
      <c r="O313" s="20">
        <f>(3741.04*(L8))</f>
        <v>20014.563999999998</v>
      </c>
      <c r="P313" s="20">
        <f>(3815.6*(L8))</f>
        <v>20413.46</v>
      </c>
      <c r="Q313" s="20">
        <f>(4113.85*(L8))</f>
        <v>22009.0975</v>
      </c>
    </row>
    <row r="314" spans="1:17" ht="12.75" customHeight="1" x14ac:dyDescent="0.2">
      <c r="A314" s="6"/>
      <c r="B314" s="10" t="s">
        <v>572</v>
      </c>
      <c r="C314" s="20" t="s">
        <v>148</v>
      </c>
      <c r="D314" s="20" t="s">
        <v>464</v>
      </c>
      <c r="E314" s="20" t="s">
        <v>570</v>
      </c>
      <c r="F314" s="20" t="s">
        <v>571</v>
      </c>
      <c r="G314" s="20" t="s">
        <v>60</v>
      </c>
      <c r="H314" s="20">
        <f>(3284.42*(L8))</f>
        <v>17571.647000000001</v>
      </c>
      <c r="I314" s="20">
        <f>(3363.37*(L8))</f>
        <v>17994.029499999997</v>
      </c>
      <c r="J314" s="20">
        <f>(3410.74*(L8))</f>
        <v>18247.458999999999</v>
      </c>
      <c r="K314" s="20">
        <f>(3537.05*(L8))</f>
        <v>18923.217499999999</v>
      </c>
      <c r="L314" s="20">
        <f>(3616*(L8))</f>
        <v>19345.599999999999</v>
      </c>
      <c r="M314" s="20">
        <f>(3710.74*(L8))</f>
        <v>19852.458999999999</v>
      </c>
      <c r="N314" s="20">
        <f>(3821.26*(L8))</f>
        <v>20443.740999999998</v>
      </c>
      <c r="O314" s="20">
        <f>(3979.16*(L8))</f>
        <v>21288.505999999998</v>
      </c>
      <c r="P314" s="20">
        <f>(4058.11*(L8))</f>
        <v>21710.888500000001</v>
      </c>
      <c r="Q314" s="20">
        <f>(4373.89*(L8))</f>
        <v>23400.3115</v>
      </c>
    </row>
    <row r="315" spans="1:17" ht="12.75" customHeight="1" x14ac:dyDescent="0.2">
      <c r="A315" s="6"/>
      <c r="B315" s="10" t="s">
        <v>573</v>
      </c>
      <c r="C315" s="20" t="s">
        <v>417</v>
      </c>
      <c r="D315" s="20" t="s">
        <v>464</v>
      </c>
      <c r="E315" s="20" t="s">
        <v>570</v>
      </c>
      <c r="F315" s="20" t="s">
        <v>571</v>
      </c>
      <c r="G315" s="20" t="s">
        <v>42</v>
      </c>
      <c r="H315" s="20">
        <f>(3492.71*(L8))</f>
        <v>18685.998499999998</v>
      </c>
      <c r="I315" s="20">
        <f>(3580.43*(L8))</f>
        <v>19155.300499999998</v>
      </c>
      <c r="J315" s="20">
        <f>(3633.06*(L8))</f>
        <v>19436.870999999999</v>
      </c>
      <c r="K315" s="20">
        <f>(3773.41*(L8))</f>
        <v>20187.743499999997</v>
      </c>
      <c r="L315" s="20">
        <f>(3861.13*(L8))</f>
        <v>20657.0455</v>
      </c>
      <c r="M315" s="20">
        <f>(3966.39*(L8))</f>
        <v>21220.186499999996</v>
      </c>
      <c r="N315" s="20">
        <f>(4089.2*(L8))</f>
        <v>21877.219999999998</v>
      </c>
      <c r="O315" s="20">
        <f>(4264.64*(L8))</f>
        <v>22815.824000000001</v>
      </c>
      <c r="P315" s="20">
        <f>(4352.36*(L8))</f>
        <v>23285.125999999997</v>
      </c>
      <c r="Q315" s="20">
        <f>(4703.23*(L8))</f>
        <v>25162.280499999997</v>
      </c>
    </row>
    <row r="316" spans="1:17" ht="12.75" customHeight="1" x14ac:dyDescent="0.2">
      <c r="A316" s="6"/>
      <c r="B316" s="10" t="s">
        <v>574</v>
      </c>
      <c r="C316" s="20" t="s">
        <v>442</v>
      </c>
      <c r="D316" s="20" t="s">
        <v>464</v>
      </c>
      <c r="E316" s="20" t="s">
        <v>570</v>
      </c>
      <c r="F316" s="20" t="s">
        <v>571</v>
      </c>
      <c r="G316" s="20" t="s">
        <v>262</v>
      </c>
      <c r="H316" s="20">
        <f>(4323.6*(L8))</f>
        <v>23131.260000000002</v>
      </c>
      <c r="I316" s="20">
        <f>(4415.7*(L8))</f>
        <v>23623.994999999999</v>
      </c>
      <c r="J316" s="20">
        <f>(4470.96*(L8))</f>
        <v>23919.635999999999</v>
      </c>
      <c r="K316" s="20">
        <f>(4618.33*(L8))</f>
        <v>24708.065499999997</v>
      </c>
      <c r="L316" s="20">
        <f>(4710.44*(L8))</f>
        <v>25200.853999999996</v>
      </c>
      <c r="M316" s="20">
        <f>(4820.96*(L8))</f>
        <v>25792.135999999999</v>
      </c>
      <c r="N316" s="20">
        <f>(4949.91*(L8))</f>
        <v>26482.018499999998</v>
      </c>
      <c r="O316" s="20">
        <f>(5134.12*(L8))</f>
        <v>27467.541999999998</v>
      </c>
      <c r="P316" s="20">
        <f>(5226.23*(L8))</f>
        <v>27960.330499999996</v>
      </c>
      <c r="Q316" s="20">
        <f>(5594.65*(L8))</f>
        <v>29931.377499999995</v>
      </c>
    </row>
    <row r="317" spans="1:17" ht="12.75" customHeight="1" x14ac:dyDescent="0.2">
      <c r="A317" s="6"/>
      <c r="B317" s="10" t="s">
        <v>575</v>
      </c>
      <c r="C317" s="20" t="s">
        <v>576</v>
      </c>
      <c r="D317" s="20" t="s">
        <v>464</v>
      </c>
      <c r="E317" s="20" t="s">
        <v>570</v>
      </c>
      <c r="F317" s="20" t="s">
        <v>571</v>
      </c>
      <c r="G317" s="20" t="s">
        <v>152</v>
      </c>
      <c r="H317" s="20">
        <f>(4596.56*(L8))</f>
        <v>24591.596000000001</v>
      </c>
      <c r="I317" s="20">
        <f>(4693.05*(L8))</f>
        <v>25107.817500000001</v>
      </c>
      <c r="J317" s="20">
        <f>(4750.95*(L8))</f>
        <v>25417.582499999997</v>
      </c>
      <c r="K317" s="20">
        <f>(4905.33*(L8))</f>
        <v>26243.515499999998</v>
      </c>
      <c r="L317" s="20">
        <f>(5001.83*(L8))</f>
        <v>26759.790499999999</v>
      </c>
      <c r="M317" s="20">
        <f>(5117.62*(L8))</f>
        <v>27379.266999999996</v>
      </c>
      <c r="N317" s="20">
        <f>(5252.7*(L8))</f>
        <v>28101.944999999996</v>
      </c>
      <c r="O317" s="20">
        <f>(5445.69*(L8))</f>
        <v>29134.441499999997</v>
      </c>
      <c r="P317" s="20">
        <f>(5542.18*(L8))</f>
        <v>29650.663</v>
      </c>
      <c r="Q317" s="20">
        <f>(5928.14*(L8))</f>
        <v>31715.548999999999</v>
      </c>
    </row>
    <row r="318" spans="1:17" ht="12.75" customHeight="1" x14ac:dyDescent="0.2">
      <c r="A318" s="6"/>
      <c r="B318" s="10" t="s">
        <v>577</v>
      </c>
      <c r="C318" s="20" t="s">
        <v>179</v>
      </c>
      <c r="D318" s="20" t="s">
        <v>464</v>
      </c>
      <c r="E318" s="20" t="s">
        <v>570</v>
      </c>
      <c r="F318" s="20" t="s">
        <v>571</v>
      </c>
      <c r="G318" s="20" t="s">
        <v>154</v>
      </c>
      <c r="H318" s="20">
        <f>(3859.49*(L8))</f>
        <v>20648.271499999999</v>
      </c>
      <c r="I318" s="20">
        <f>(3960.37*(L8))</f>
        <v>21187.979499999998</v>
      </c>
      <c r="J318" s="20">
        <f>(4020.9*(L8))</f>
        <v>21511.814999999999</v>
      </c>
      <c r="K318" s="20">
        <f>(4182.3*(L8))</f>
        <v>22375.305</v>
      </c>
      <c r="L318" s="20">
        <f>(4283.18*(L8))</f>
        <v>22915.012999999999</v>
      </c>
      <c r="M318" s="20">
        <f>(4404.23*(L8))</f>
        <v>23562.630499999996</v>
      </c>
      <c r="N318" s="20">
        <f>(4545.46*(L8))</f>
        <v>24318.210999999999</v>
      </c>
      <c r="O318" s="20">
        <f>(4747.21*(L8))</f>
        <v>25397.573499999999</v>
      </c>
      <c r="P318" s="20">
        <f>(4848.09*(L8))</f>
        <v>25937.281499999997</v>
      </c>
      <c r="Q318" s="20">
        <f>(5251.6*(L8))</f>
        <v>28096.06</v>
      </c>
    </row>
    <row r="319" spans="1:17" ht="12.75" customHeight="1" x14ac:dyDescent="0.2">
      <c r="A319" s="6"/>
      <c r="B319" s="10" t="s">
        <v>578</v>
      </c>
      <c r="C319" s="20" t="s">
        <v>236</v>
      </c>
      <c r="D319" s="20" t="s">
        <v>464</v>
      </c>
      <c r="E319" s="20" t="s">
        <v>570</v>
      </c>
      <c r="F319" s="20" t="s">
        <v>571</v>
      </c>
      <c r="G319" s="20" t="s">
        <v>182</v>
      </c>
      <c r="H319" s="20">
        <f>(4083.43*(L8))</f>
        <v>21846.350499999997</v>
      </c>
      <c r="I319" s="20">
        <f>(4193.08*(L8))</f>
        <v>22432.977999999999</v>
      </c>
      <c r="J319" s="20">
        <f>(4258.87*(L8))</f>
        <v>22784.954499999996</v>
      </c>
      <c r="K319" s="20">
        <f>(4434.3*(L8))</f>
        <v>23723.505000000001</v>
      </c>
      <c r="L319" s="20">
        <f>(4543.95*(L8))</f>
        <v>24310.132499999996</v>
      </c>
      <c r="M319" s="20">
        <f>(4675.53*(L8))</f>
        <v>25014.085499999997</v>
      </c>
      <c r="N319" s="20">
        <f>(4829.04*(L8))</f>
        <v>25835.363999999998</v>
      </c>
      <c r="O319" s="20">
        <f>(5048.34*(L8))</f>
        <v>27008.618999999999</v>
      </c>
      <c r="P319" s="20">
        <f>(5157.99*(L8))</f>
        <v>27595.246499999997</v>
      </c>
      <c r="Q319" s="20">
        <f>(5596.58*(L8))</f>
        <v>29941.702999999998</v>
      </c>
    </row>
    <row r="320" spans="1:17" ht="12.75" customHeight="1" x14ac:dyDescent="0.2">
      <c r="A320" s="6"/>
      <c r="B320" s="10" t="s">
        <v>579</v>
      </c>
      <c r="C320" s="20" t="s">
        <v>202</v>
      </c>
      <c r="D320" s="20" t="s">
        <v>580</v>
      </c>
      <c r="E320" s="20" t="s">
        <v>570</v>
      </c>
      <c r="F320" s="20" t="s">
        <v>571</v>
      </c>
      <c r="G320" s="20" t="s">
        <v>35</v>
      </c>
      <c r="H320" s="20">
        <f>(3346.54*(L8))</f>
        <v>17903.988999999998</v>
      </c>
      <c r="I320" s="20">
        <f>(3407.94*(L8))</f>
        <v>18232.478999999999</v>
      </c>
      <c r="J320" s="20">
        <f>(3444.78*(L8))</f>
        <v>18429.573</v>
      </c>
      <c r="K320" s="20">
        <f>(3543.03*(L8))</f>
        <v>18955.210500000001</v>
      </c>
      <c r="L320" s="20">
        <f>(3604.43*(L8))</f>
        <v>19283.700499999999</v>
      </c>
      <c r="M320" s="20">
        <f>(3678.12*(L8))</f>
        <v>19677.941999999999</v>
      </c>
      <c r="N320" s="20">
        <f>(3764.08*(L8))</f>
        <v>20137.827999999998</v>
      </c>
      <c r="O320" s="20">
        <f>(3886.89*(L8))</f>
        <v>20794.861499999999</v>
      </c>
      <c r="P320" s="20">
        <f>(3948.29*(L8))</f>
        <v>21123.351499999997</v>
      </c>
      <c r="Q320" s="20">
        <f>(4193.9*(L8))</f>
        <v>22437.364999999998</v>
      </c>
    </row>
    <row r="321" spans="1:17" ht="12.75" customHeight="1" x14ac:dyDescent="0.2">
      <c r="A321" s="6"/>
      <c r="B321" s="10" t="s">
        <v>581</v>
      </c>
      <c r="C321" s="20" t="s">
        <v>52</v>
      </c>
      <c r="D321" s="20" t="s">
        <v>582</v>
      </c>
      <c r="E321" s="20" t="s">
        <v>570</v>
      </c>
      <c r="F321" s="20" t="s">
        <v>571</v>
      </c>
      <c r="G321" s="20" t="s">
        <v>38</v>
      </c>
      <c r="H321" s="20">
        <f>(3196.91*(L8))</f>
        <v>17103.468499999999</v>
      </c>
      <c r="I321" s="20">
        <f>(3280.24*(L8))</f>
        <v>17549.283999999996</v>
      </c>
      <c r="J321" s="20">
        <f>(3330.24*(L8))</f>
        <v>17816.783999999996</v>
      </c>
      <c r="K321" s="20">
        <f>(3463.57*(L8))</f>
        <v>18530.0995</v>
      </c>
      <c r="L321" s="20">
        <f>(3546.91*(L8))</f>
        <v>18975.968499999999</v>
      </c>
      <c r="M321" s="20">
        <f>(3646.91*(L8))</f>
        <v>19510.968499999999</v>
      </c>
      <c r="N321" s="20">
        <f>(3763.57*(L8))</f>
        <v>20135.0995</v>
      </c>
      <c r="O321" s="20">
        <f>(3930.24*(L8))</f>
        <v>21026.783999999996</v>
      </c>
      <c r="P321" s="20">
        <f>(4013.57*(L8))</f>
        <v>21472.5995</v>
      </c>
      <c r="Q321" s="20">
        <f>(4346.91*(L8))</f>
        <v>23255.968499999999</v>
      </c>
    </row>
    <row r="322" spans="1:17" ht="12.75" customHeight="1" x14ac:dyDescent="0.2">
      <c r="A322" s="6"/>
      <c r="B322" s="10" t="s">
        <v>583</v>
      </c>
      <c r="C322" s="20" t="s">
        <v>148</v>
      </c>
      <c r="D322" s="20" t="s">
        <v>582</v>
      </c>
      <c r="E322" s="20" t="s">
        <v>570</v>
      </c>
      <c r="F322" s="20" t="s">
        <v>571</v>
      </c>
      <c r="G322" s="20" t="s">
        <v>60</v>
      </c>
      <c r="H322" s="20">
        <f>(3409.88*(L8))</f>
        <v>18242.858</v>
      </c>
      <c r="I322" s="20">
        <f>(3497.6*(L8))</f>
        <v>18712.16</v>
      </c>
      <c r="J322" s="20">
        <f>(3550.23*(L8))</f>
        <v>18993.730499999998</v>
      </c>
      <c r="K322" s="20">
        <f>(3690.58*(L8))</f>
        <v>19744.602999999999</v>
      </c>
      <c r="L322" s="20">
        <f>(3778.3*(L8))</f>
        <v>20213.904999999999</v>
      </c>
      <c r="M322" s="20">
        <f>(3883.56*(L8))</f>
        <v>20777.045999999998</v>
      </c>
      <c r="N322" s="20">
        <f>(4006.37*(L8))</f>
        <v>21434.079499999996</v>
      </c>
      <c r="O322" s="20">
        <f>(4181.81*(L8))</f>
        <v>22372.683499999999</v>
      </c>
      <c r="P322" s="20">
        <f>(4269.53*(L8))</f>
        <v>22841.985499999999</v>
      </c>
      <c r="Q322" s="20">
        <f>(4620.41*(L8))</f>
        <v>24719.193499999998</v>
      </c>
    </row>
    <row r="323" spans="1:17" ht="12.75" customHeight="1" x14ac:dyDescent="0.2">
      <c r="A323" s="6"/>
      <c r="B323" s="10" t="s">
        <v>584</v>
      </c>
      <c r="C323" s="20" t="s">
        <v>417</v>
      </c>
      <c r="D323" s="20" t="s">
        <v>582</v>
      </c>
      <c r="E323" s="20" t="s">
        <v>570</v>
      </c>
      <c r="F323" s="20" t="s">
        <v>571</v>
      </c>
      <c r="G323" s="20" t="s">
        <v>152</v>
      </c>
      <c r="H323" s="20">
        <f>(3616.23*(L8))</f>
        <v>19346.8305</v>
      </c>
      <c r="I323" s="20">
        <f>(3708.33*(L8))</f>
        <v>19839.565499999997</v>
      </c>
      <c r="J323" s="20">
        <f>(3763.6*(L8))</f>
        <v>20135.259999999998</v>
      </c>
      <c r="K323" s="20">
        <f>(3910.97*(L8))</f>
        <v>20923.689499999997</v>
      </c>
      <c r="L323" s="20">
        <f>(4003.07*(L8))</f>
        <v>21416.424500000001</v>
      </c>
      <c r="M323" s="20">
        <f>(4113.6*(L8))</f>
        <v>22007.760000000002</v>
      </c>
      <c r="N323" s="20">
        <f>(4242.55*(L8))</f>
        <v>22697.642499999998</v>
      </c>
      <c r="O323" s="20">
        <f>(4426.76*(L8))</f>
        <v>23683.166000000001</v>
      </c>
      <c r="P323" s="20">
        <f>(4518.86*(L8))</f>
        <v>24175.900999999998</v>
      </c>
      <c r="Q323" s="20">
        <f>(4887.28*(L8))</f>
        <v>26146.947999999997</v>
      </c>
    </row>
    <row r="324" spans="1:17" ht="12.75" customHeight="1" x14ac:dyDescent="0.2">
      <c r="A324" s="6"/>
      <c r="B324" s="10" t="s">
        <v>585</v>
      </c>
      <c r="C324" s="20" t="s">
        <v>442</v>
      </c>
      <c r="D324" s="20" t="s">
        <v>582</v>
      </c>
      <c r="E324" s="20" t="s">
        <v>570</v>
      </c>
      <c r="F324" s="20" t="s">
        <v>571</v>
      </c>
      <c r="G324" s="20" t="s">
        <v>262</v>
      </c>
      <c r="H324" s="20">
        <f>(3575.37*(L8))</f>
        <v>19128.229499999998</v>
      </c>
      <c r="I324" s="20">
        <f>(3671.86*(L8))</f>
        <v>19644.451000000001</v>
      </c>
      <c r="J324" s="20">
        <f>(3729.75*(L8))</f>
        <v>19954.162499999999</v>
      </c>
      <c r="K324" s="20">
        <f>(3884.14*(L8))</f>
        <v>20780.148999999998</v>
      </c>
      <c r="L324" s="20">
        <f>(3980.63*(L8))</f>
        <v>21296.370500000001</v>
      </c>
      <c r="M324" s="20">
        <f>(4096.42*(L8))</f>
        <v>21915.846999999998</v>
      </c>
      <c r="N324" s="20">
        <f>(4231.51*(L8))</f>
        <v>22638.5785</v>
      </c>
      <c r="O324" s="20">
        <f>(4424.49*(L8))</f>
        <v>23671.021499999999</v>
      </c>
      <c r="P324" s="20">
        <f>(4520.98*(L8))</f>
        <v>24187.242999999995</v>
      </c>
      <c r="Q324" s="20">
        <f>(4906.95*(L8))</f>
        <v>26252.182499999999</v>
      </c>
    </row>
    <row r="325" spans="1:17" ht="12.75" customHeight="1" x14ac:dyDescent="0.2">
      <c r="A325" s="6"/>
      <c r="B325" s="10" t="s">
        <v>586</v>
      </c>
      <c r="C325" s="20" t="s">
        <v>576</v>
      </c>
      <c r="D325" s="20" t="s">
        <v>582</v>
      </c>
      <c r="E325" s="20" t="s">
        <v>570</v>
      </c>
      <c r="F325" s="20" t="s">
        <v>571</v>
      </c>
      <c r="G325" s="20" t="s">
        <v>152</v>
      </c>
      <c r="H325" s="20">
        <f>(3759.46*(L8))</f>
        <v>20113.110999999997</v>
      </c>
      <c r="I325" s="20">
        <f>(3860.33*(L8))</f>
        <v>20652.765499999998</v>
      </c>
      <c r="J325" s="20">
        <f>(3920.86*(L8))</f>
        <v>20976.600999999999</v>
      </c>
      <c r="K325" s="20">
        <f>(4082.26*(L8))</f>
        <v>21840.091</v>
      </c>
      <c r="L325" s="20">
        <f>(4183.14*(L8))</f>
        <v>22379.798999999999</v>
      </c>
      <c r="M325" s="20">
        <f>(4304.19*(L8))</f>
        <v>23027.416499999996</v>
      </c>
      <c r="N325" s="20">
        <f>(4445.42*(L8))</f>
        <v>23782.996999999999</v>
      </c>
      <c r="O325" s="20">
        <f>(4647.18*(L8))</f>
        <v>24862.413</v>
      </c>
      <c r="P325" s="20">
        <f>(4748.05*(L8))</f>
        <v>25402.067500000001</v>
      </c>
      <c r="Q325" s="20">
        <f>(5151.56*(L8))</f>
        <v>27560.846000000001</v>
      </c>
    </row>
    <row r="326" spans="1:17" ht="12.75" customHeight="1" x14ac:dyDescent="0.2">
      <c r="A326" s="6"/>
      <c r="B326" s="10" t="s">
        <v>587</v>
      </c>
      <c r="C326" s="20" t="s">
        <v>179</v>
      </c>
      <c r="D326" s="20" t="s">
        <v>582</v>
      </c>
      <c r="E326" s="20" t="s">
        <v>570</v>
      </c>
      <c r="F326" s="20" t="s">
        <v>571</v>
      </c>
      <c r="G326" s="20" t="s">
        <v>154</v>
      </c>
      <c r="H326" s="20">
        <f>(3960.76*(L8))</f>
        <v>21190.065999999999</v>
      </c>
      <c r="I326" s="20">
        <f>(4066.02*(L8))</f>
        <v>21753.206999999999</v>
      </c>
      <c r="J326" s="20">
        <f>(4129.18*(L8))</f>
        <v>22091.113000000001</v>
      </c>
      <c r="K326" s="20">
        <f>(4297.6*(L8))</f>
        <v>22992.16</v>
      </c>
      <c r="L326" s="20">
        <f>(4402.86*(L8))</f>
        <v>23555.300999999996</v>
      </c>
      <c r="M326" s="20">
        <f>(4529.18*(L8))</f>
        <v>24231.113000000001</v>
      </c>
      <c r="N326" s="20">
        <f>(4676.55*(L8))</f>
        <v>25019.5425</v>
      </c>
      <c r="O326" s="20">
        <f>(4887.07*(L8))</f>
        <v>26145.824499999995</v>
      </c>
      <c r="P326" s="20">
        <f>(4992.34*(L8))</f>
        <v>26709.019</v>
      </c>
      <c r="Q326" s="20">
        <f>(5413.39*(L8))</f>
        <v>28961.636500000001</v>
      </c>
    </row>
    <row r="327" spans="1:17" ht="12.75" customHeight="1" x14ac:dyDescent="0.2">
      <c r="A327" s="6"/>
      <c r="B327" s="10" t="s">
        <v>588</v>
      </c>
      <c r="C327" s="20" t="s">
        <v>236</v>
      </c>
      <c r="D327" s="20" t="s">
        <v>582</v>
      </c>
      <c r="E327" s="20" t="s">
        <v>570</v>
      </c>
      <c r="F327" s="20" t="s">
        <v>571</v>
      </c>
      <c r="G327" s="20" t="s">
        <v>182</v>
      </c>
      <c r="H327" s="20">
        <f>(4222.2*(L8))</f>
        <v>22588.769999999997</v>
      </c>
      <c r="I327" s="20">
        <f>(4336.23*(L8))</f>
        <v>23198.830499999996</v>
      </c>
      <c r="J327" s="20">
        <f>(4404.65*(L8))</f>
        <v>23564.877499999995</v>
      </c>
      <c r="K327" s="20">
        <f>(4587.11*(L8))</f>
        <v>24541.038499999995</v>
      </c>
      <c r="L327" s="20">
        <f>(4701.15*(L8))</f>
        <v>25151.152499999997</v>
      </c>
      <c r="M327" s="20">
        <f>(4837.99*(L8))</f>
        <v>25883.246499999997</v>
      </c>
      <c r="N327" s="20">
        <f>(4997.64*(L8))</f>
        <v>26737.374</v>
      </c>
      <c r="O327" s="20">
        <f>(5225.71*(L8))</f>
        <v>27957.548499999997</v>
      </c>
      <c r="P327" s="20">
        <f>(5339.74*(L8))</f>
        <v>28567.608999999997</v>
      </c>
      <c r="Q327" s="20">
        <f>(5795.88*(L8))</f>
        <v>31007.957999999999</v>
      </c>
    </row>
    <row r="328" spans="1:17" ht="12.75" customHeight="1" x14ac:dyDescent="0.2">
      <c r="A328" s="6"/>
      <c r="B328" s="10" t="s">
        <v>589</v>
      </c>
      <c r="C328" s="20" t="s">
        <v>202</v>
      </c>
      <c r="D328" s="20" t="s">
        <v>580</v>
      </c>
      <c r="E328" s="20" t="s">
        <v>570</v>
      </c>
      <c r="F328" s="20" t="s">
        <v>571</v>
      </c>
      <c r="G328" s="20" t="s">
        <v>35</v>
      </c>
      <c r="H328" s="20">
        <f>(3392.78*(L8))</f>
        <v>18151.373</v>
      </c>
      <c r="I328" s="20">
        <f>(3458.57*(L8))</f>
        <v>18503.3495</v>
      </c>
      <c r="J328" s="20">
        <f>(3498.05*(L8))</f>
        <v>18714.567500000001</v>
      </c>
      <c r="K328" s="20">
        <f>(3603.31*(L8))</f>
        <v>19277.708499999997</v>
      </c>
      <c r="L328" s="20">
        <f>(3669.1*(L8))</f>
        <v>19629.684999999998</v>
      </c>
      <c r="M328" s="20">
        <f>(3748.05*(L8))</f>
        <v>20052.067500000001</v>
      </c>
      <c r="N328" s="20">
        <f>(3840.15*(L8))</f>
        <v>20544.802499999998</v>
      </c>
      <c r="O328" s="20">
        <f>(3971.73*(L8))</f>
        <v>21248.755499999999</v>
      </c>
      <c r="P328" s="20">
        <f>(4037.52*(L8))</f>
        <v>21600.732</v>
      </c>
      <c r="Q328" s="20">
        <f>(4300.68*(L8))</f>
        <v>23008.637999999999</v>
      </c>
    </row>
    <row r="329" spans="1:17" ht="30" customHeight="1" x14ac:dyDescent="0.35">
      <c r="A329" s="6"/>
      <c r="B329" s="111" t="s">
        <v>590</v>
      </c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3"/>
    </row>
    <row r="330" spans="1:17" ht="12.75" customHeight="1" x14ac:dyDescent="0.2">
      <c r="A330" s="114" t="s">
        <v>6</v>
      </c>
      <c r="B330" s="114" t="s">
        <v>7</v>
      </c>
      <c r="C330" s="114" t="s">
        <v>8</v>
      </c>
      <c r="D330" s="114" t="s">
        <v>9</v>
      </c>
      <c r="E330" s="114" t="s">
        <v>10</v>
      </c>
      <c r="F330" s="114" t="s">
        <v>11</v>
      </c>
      <c r="G330" s="114" t="s">
        <v>12</v>
      </c>
      <c r="H330" s="114" t="s">
        <v>13</v>
      </c>
      <c r="I330" s="114" t="s">
        <v>14</v>
      </c>
      <c r="J330" s="114" t="s">
        <v>15</v>
      </c>
      <c r="K330" s="114" t="s">
        <v>16</v>
      </c>
      <c r="L330" s="114" t="s">
        <v>17</v>
      </c>
      <c r="M330" s="114" t="s">
        <v>18</v>
      </c>
      <c r="N330" s="114" t="s">
        <v>19</v>
      </c>
      <c r="O330" s="114" t="s">
        <v>20</v>
      </c>
      <c r="P330" s="114" t="s">
        <v>21</v>
      </c>
      <c r="Q330" s="114" t="s">
        <v>22</v>
      </c>
    </row>
    <row r="331" spans="1:17" ht="12.75" customHeight="1" x14ac:dyDescent="0.2">
      <c r="B331" s="6" t="s">
        <v>591</v>
      </c>
      <c r="C331" s="6" t="s">
        <v>265</v>
      </c>
      <c r="D331" s="6" t="s">
        <v>149</v>
      </c>
      <c r="E331" s="6" t="s">
        <v>256</v>
      </c>
      <c r="F331" s="6" t="s">
        <v>210</v>
      </c>
      <c r="G331" s="17" t="s">
        <v>42</v>
      </c>
      <c r="H331" s="20">
        <f>(3116.65*($L$8))</f>
        <v>16674.077499999999</v>
      </c>
      <c r="I331" s="20">
        <f>(3186.82*($L$8))</f>
        <v>17049.487000000001</v>
      </c>
      <c r="J331" s="20">
        <f>(3228.93*($L$8))</f>
        <v>17274.7755</v>
      </c>
      <c r="K331" s="20">
        <f>(3341.21*($L$8))</f>
        <v>17875.4735</v>
      </c>
      <c r="L331" s="20">
        <f>(3411.38*($L$8))</f>
        <v>18250.882999999998</v>
      </c>
      <c r="M331" s="20">
        <f>(3495.59*($L$8))</f>
        <v>18701.406500000001</v>
      </c>
      <c r="N331" s="20">
        <f>(3593.84*($L$8))</f>
        <v>19227.043999999998</v>
      </c>
      <c r="O331" s="20">
        <f>(3734.19*($L$8))</f>
        <v>19977.916499999999</v>
      </c>
      <c r="P331" s="20">
        <f>(3804.36*($L$8))</f>
        <v>20353.326000000001</v>
      </c>
      <c r="Q331" s="20">
        <f>(4085.07*($L$8))</f>
        <v>21855.124499999998</v>
      </c>
    </row>
    <row r="332" spans="1:17" ht="12.75" customHeight="1" x14ac:dyDescent="0.2">
      <c r="B332" s="6" t="s">
        <v>592</v>
      </c>
      <c r="C332" s="6" t="s">
        <v>267</v>
      </c>
      <c r="D332" s="6" t="s">
        <v>149</v>
      </c>
      <c r="E332" s="6" t="s">
        <v>256</v>
      </c>
      <c r="F332" s="6" t="s">
        <v>210</v>
      </c>
      <c r="G332" s="17" t="s">
        <v>262</v>
      </c>
      <c r="H332" s="20">
        <f>(3200.78*($L$8))</f>
        <v>17124.172999999999</v>
      </c>
      <c r="I332" s="20">
        <f>(3275.34*($L$8))</f>
        <v>17523.069</v>
      </c>
      <c r="J332" s="20">
        <f>(3320.08*($L$8))</f>
        <v>17762.428</v>
      </c>
      <c r="K332" s="20">
        <f>(3439.37*($L$8))</f>
        <v>18400.629499999999</v>
      </c>
      <c r="L332" s="20">
        <f>(3513.93*($L$8))</f>
        <v>18799.525499999996</v>
      </c>
      <c r="M332" s="20">
        <f>(3603.41*($L$8))</f>
        <v>19278.243499999997</v>
      </c>
      <c r="N332" s="20">
        <f>(3707.79*($L$8))</f>
        <v>19836.676499999998</v>
      </c>
      <c r="O332" s="20">
        <f>(3856.92*($L$8))</f>
        <v>20634.521999999997</v>
      </c>
      <c r="P332" s="20">
        <f>(3931.48*($L$8))</f>
        <v>21033.417999999998</v>
      </c>
      <c r="Q332" s="20">
        <f>(4229.72*($L$8))</f>
        <v>22629.002</v>
      </c>
    </row>
    <row r="333" spans="1:17" ht="12.75" customHeight="1" x14ac:dyDescent="0.2">
      <c r="B333" s="6" t="s">
        <v>593</v>
      </c>
      <c r="C333" s="6" t="s">
        <v>270</v>
      </c>
      <c r="D333" s="6" t="s">
        <v>149</v>
      </c>
      <c r="E333" s="6" t="s">
        <v>256</v>
      </c>
      <c r="F333" s="6" t="s">
        <v>210</v>
      </c>
      <c r="G333" s="17" t="s">
        <v>152</v>
      </c>
      <c r="H333" s="20">
        <f>(3287.05*($L$8))</f>
        <v>17585.717499999999</v>
      </c>
      <c r="I333" s="20">
        <f>(3366*($L$8))</f>
        <v>18008.099999999999</v>
      </c>
      <c r="J333" s="20">
        <f>(3413.37*($L$8))</f>
        <v>18261.529499999997</v>
      </c>
      <c r="K333" s="20">
        <f>(3539.69*($L$8))</f>
        <v>18937.341499999999</v>
      </c>
      <c r="L333" s="20">
        <f>(3618.63*($L$8))</f>
        <v>19359.6705</v>
      </c>
      <c r="M333" s="20">
        <f>(3713.37*($L$8))</f>
        <v>19866.529499999997</v>
      </c>
      <c r="N333" s="20">
        <f>(3823.9*($L$8))</f>
        <v>20457.864999999998</v>
      </c>
      <c r="O333" s="20">
        <f>(3981.79*($L$8))</f>
        <v>21302.576499999999</v>
      </c>
      <c r="P333" s="20">
        <f>(4060.74*($L$8))</f>
        <v>21724.958999999999</v>
      </c>
      <c r="Q333" s="20">
        <f>(4376.53*($L$8))</f>
        <v>23414.435499999996</v>
      </c>
    </row>
    <row r="334" spans="1:17" ht="12.75" customHeight="1" x14ac:dyDescent="0.2">
      <c r="B334" s="6" t="s">
        <v>594</v>
      </c>
      <c r="C334" s="6" t="s">
        <v>30</v>
      </c>
      <c r="D334" s="6" t="s">
        <v>149</v>
      </c>
      <c r="E334" s="6" t="s">
        <v>256</v>
      </c>
      <c r="F334" s="6" t="s">
        <v>210</v>
      </c>
      <c r="G334" s="17" t="s">
        <v>166</v>
      </c>
      <c r="H334" s="20">
        <f>(3372.69*($L$8))</f>
        <v>18043.891499999998</v>
      </c>
      <c r="I334" s="20">
        <f>(3456.02*($L$8))</f>
        <v>18489.706999999999</v>
      </c>
      <c r="J334" s="20">
        <f>(3506.02*($L$8))</f>
        <v>18757.206999999999</v>
      </c>
      <c r="K334" s="20">
        <f>(3639.35*($L$8))</f>
        <v>19470.522499999999</v>
      </c>
      <c r="L334" s="20">
        <f>(3722.69*($L$8))</f>
        <v>19916.391499999998</v>
      </c>
      <c r="M334" s="20">
        <f>(3822.69*($L$8))</f>
        <v>20451.391499999998</v>
      </c>
      <c r="N334" s="20">
        <f>(3939.35*($L$8))</f>
        <v>21075.522499999999</v>
      </c>
      <c r="O334" s="20">
        <f>(4106.02*($L$8))</f>
        <v>21967.207000000002</v>
      </c>
      <c r="P334" s="20">
        <f>(4189.35*($L$8))</f>
        <v>22413.022499999999</v>
      </c>
      <c r="Q334" s="20">
        <f>(4522.69*($L$8))</f>
        <v>24196.391499999998</v>
      </c>
    </row>
    <row r="335" spans="1:17" ht="12.75" customHeight="1" x14ac:dyDescent="0.2">
      <c r="B335" s="6" t="s">
        <v>595</v>
      </c>
      <c r="C335" s="6" t="s">
        <v>425</v>
      </c>
      <c r="D335" s="6" t="s">
        <v>149</v>
      </c>
      <c r="E335" s="6" t="s">
        <v>256</v>
      </c>
      <c r="F335" s="6" t="s">
        <v>210</v>
      </c>
      <c r="G335" s="17" t="s">
        <v>154</v>
      </c>
      <c r="H335" s="20">
        <f>(3447.92*($L$8))</f>
        <v>18446.371999999999</v>
      </c>
      <c r="I335" s="20">
        <f>(3535.64*($L$8))</f>
        <v>18915.673999999999</v>
      </c>
      <c r="J335" s="20">
        <f>(3588.27*($L$8))</f>
        <v>19197.244499999997</v>
      </c>
      <c r="K335" s="20">
        <f>(3728.62*($L$8))</f>
        <v>19948.116999999998</v>
      </c>
      <c r="L335" s="20">
        <f>(3816.34*($L$8))</f>
        <v>20417.418999999998</v>
      </c>
      <c r="M335" s="20">
        <f>(3921.6*($L$8))</f>
        <v>20980.559999999998</v>
      </c>
      <c r="N335" s="20">
        <f>(4044.41*($L$8))</f>
        <v>21637.593499999999</v>
      </c>
      <c r="O335" s="20">
        <f>(4219.85*($L$8))</f>
        <v>22576.197500000002</v>
      </c>
      <c r="P335" s="20">
        <f>(4307.57*($L$8))</f>
        <v>23045.499499999998</v>
      </c>
      <c r="Q335" s="20">
        <f>(4658.45*($L$8))</f>
        <v>24922.707499999997</v>
      </c>
    </row>
    <row r="336" spans="1:17" ht="12.75" customHeight="1" x14ac:dyDescent="0.2">
      <c r="B336" s="6" t="s">
        <v>596</v>
      </c>
      <c r="C336" s="6" t="s">
        <v>33</v>
      </c>
      <c r="D336" s="6" t="s">
        <v>149</v>
      </c>
      <c r="E336" s="6" t="s">
        <v>256</v>
      </c>
      <c r="F336" s="6" t="s">
        <v>210</v>
      </c>
      <c r="G336" s="17" t="s">
        <v>157</v>
      </c>
      <c r="H336" s="20">
        <f>(3547.14*($L$8))</f>
        <v>18977.198999999997</v>
      </c>
      <c r="I336" s="20">
        <f>(3639.25*($L$8))</f>
        <v>19469.987499999999</v>
      </c>
      <c r="J336" s="20">
        <f>(3694.51*($L$8))</f>
        <v>19765.628499999999</v>
      </c>
      <c r="K336" s="20">
        <f>(3841.88*($L$8))</f>
        <v>20554.058000000001</v>
      </c>
      <c r="L336" s="20">
        <f>(3933.98*($L$8))</f>
        <v>21046.792999999998</v>
      </c>
      <c r="M336" s="20">
        <f>(4044.51*($L$8))</f>
        <v>21638.128499999999</v>
      </c>
      <c r="N336" s="20">
        <f>(4173.46*($L$8))</f>
        <v>22328.010999999999</v>
      </c>
      <c r="O336" s="20">
        <f>(4357.67*($L$8))</f>
        <v>23313.534499999998</v>
      </c>
      <c r="P336" s="20">
        <f>(4449.77*($L$8))</f>
        <v>23806.269500000002</v>
      </c>
      <c r="Q336" s="20">
        <f>(4818.19*($L$8))</f>
        <v>25777.316499999997</v>
      </c>
    </row>
    <row r="337" spans="2:17" ht="12.75" customHeight="1" x14ac:dyDescent="0.2">
      <c r="B337" s="6" t="s">
        <v>597</v>
      </c>
      <c r="C337" s="6" t="s">
        <v>165</v>
      </c>
      <c r="D337" s="6" t="s">
        <v>149</v>
      </c>
      <c r="E337" s="6" t="s">
        <v>256</v>
      </c>
      <c r="F337" s="6" t="s">
        <v>210</v>
      </c>
      <c r="G337" s="17" t="s">
        <v>160</v>
      </c>
      <c r="H337" s="20">
        <f>(4525.55*($L$8))</f>
        <v>24211.692500000001</v>
      </c>
      <c r="I337" s="20">
        <f>(4622.04*($L$8))</f>
        <v>24727.913999999997</v>
      </c>
      <c r="J337" s="20">
        <f>(4679.94*($L$8))</f>
        <v>25037.678999999996</v>
      </c>
      <c r="K337" s="20">
        <f>(4834.32*($L$8))</f>
        <v>25863.611999999997</v>
      </c>
      <c r="L337" s="20">
        <f>(4930.81*($L$8))</f>
        <v>26379.833500000001</v>
      </c>
      <c r="M337" s="20">
        <f>(5046.6*($L$8))</f>
        <v>26999.31</v>
      </c>
      <c r="N337" s="20">
        <f>(5181.69*($L$8))</f>
        <v>27722.041499999996</v>
      </c>
      <c r="O337" s="20">
        <f>(5374.67*($L$8))</f>
        <v>28754.484499999999</v>
      </c>
      <c r="P337" s="20">
        <f>(5471.16*($L$8))</f>
        <v>29270.705999999998</v>
      </c>
      <c r="Q337" s="20">
        <f>(5857.13*($L$8))</f>
        <v>31335.645499999999</v>
      </c>
    </row>
    <row r="338" spans="2:17" ht="12.75" customHeight="1" x14ac:dyDescent="0.2">
      <c r="B338" s="6" t="s">
        <v>598</v>
      </c>
      <c r="C338" s="6" t="s">
        <v>168</v>
      </c>
      <c r="D338" s="6" t="s">
        <v>149</v>
      </c>
      <c r="E338" s="6" t="s">
        <v>256</v>
      </c>
      <c r="F338" s="6" t="s">
        <v>210</v>
      </c>
      <c r="G338" s="17" t="s">
        <v>163</v>
      </c>
      <c r="H338" s="20">
        <f>(4713.01*($L$8))</f>
        <v>25214.603500000001</v>
      </c>
      <c r="I338" s="20">
        <f>(4813.88*($L$8))</f>
        <v>25754.257999999998</v>
      </c>
      <c r="J338" s="20">
        <f>(4874.41*($L$8))</f>
        <v>26078.093499999999</v>
      </c>
      <c r="K338" s="20">
        <f>(5035.81*($L$8))</f>
        <v>26941.583500000001</v>
      </c>
      <c r="L338" s="20">
        <f>(5136.69*($L$8))</f>
        <v>27481.291499999996</v>
      </c>
      <c r="M338" s="20">
        <f>(5257.74*($L$8))</f>
        <v>28128.908999999996</v>
      </c>
      <c r="N338" s="20">
        <f>(5398.97*($L$8))</f>
        <v>28884.4895</v>
      </c>
      <c r="O338" s="20">
        <f>(5600.73*($L$8))</f>
        <v>29963.905499999997</v>
      </c>
      <c r="P338" s="20">
        <f>(5701.6*($L$8))</f>
        <v>30503.56</v>
      </c>
      <c r="Q338" s="20">
        <f>(6105.11*($L$8))</f>
        <v>32662.338499999994</v>
      </c>
    </row>
    <row r="339" spans="2:17" ht="12.75" customHeight="1" x14ac:dyDescent="0.2">
      <c r="B339" s="6" t="s">
        <v>599</v>
      </c>
      <c r="C339" s="6" t="s">
        <v>170</v>
      </c>
      <c r="D339" s="6" t="s">
        <v>149</v>
      </c>
      <c r="E339" s="6" t="s">
        <v>256</v>
      </c>
      <c r="F339" s="6" t="s">
        <v>210</v>
      </c>
      <c r="G339" s="17" t="s">
        <v>182</v>
      </c>
      <c r="H339" s="20">
        <f>(4897.25*($L$8))</f>
        <v>26200.287499999999</v>
      </c>
      <c r="I339" s="20">
        <f>(5002.51*($L$8))</f>
        <v>26763.428499999998</v>
      </c>
      <c r="J339" s="20">
        <f>(5065.67*($L$8))</f>
        <v>27101.334499999997</v>
      </c>
      <c r="K339" s="20">
        <f>(5234.09*($L$8))</f>
        <v>28002.3815</v>
      </c>
      <c r="L339" s="20">
        <f>(5339.36*($L$8))</f>
        <v>28565.575999999997</v>
      </c>
      <c r="M339" s="20">
        <f>(5465.67*($L$8))</f>
        <v>29241.334499999997</v>
      </c>
      <c r="N339" s="20">
        <f>(5613.04*($L$8))</f>
        <v>30029.763999999999</v>
      </c>
      <c r="O339" s="20">
        <f>(5823.57*($L$8))</f>
        <v>31156.099499999997</v>
      </c>
      <c r="P339" s="20">
        <f>(5928.83*($L$8))</f>
        <v>31719.240499999996</v>
      </c>
      <c r="Q339" s="20">
        <f>(6349.88*($L$8))</f>
        <v>33971.858</v>
      </c>
    </row>
    <row r="340" spans="2:17" ht="12.75" customHeight="1" x14ac:dyDescent="0.2">
      <c r="B340" s="6" t="s">
        <v>600</v>
      </c>
      <c r="C340" s="6" t="s">
        <v>172</v>
      </c>
      <c r="D340" s="6" t="s">
        <v>149</v>
      </c>
      <c r="E340" s="6" t="s">
        <v>256</v>
      </c>
      <c r="F340" s="6" t="s">
        <v>210</v>
      </c>
      <c r="G340" s="17" t="s">
        <v>185</v>
      </c>
      <c r="H340" s="20">
        <f>(5112.9*($L$8))</f>
        <v>27354.014999999996</v>
      </c>
      <c r="I340" s="20">
        <f>(5222.55*($L$8))</f>
        <v>27940.642499999998</v>
      </c>
      <c r="J340" s="20">
        <f>(5288.34*($L$8))</f>
        <v>28292.618999999999</v>
      </c>
      <c r="K340" s="20">
        <f>(5463.78*($L$8))</f>
        <v>29231.222999999998</v>
      </c>
      <c r="L340" s="20">
        <f>(5573.43*($L$8))</f>
        <v>29817.8505</v>
      </c>
      <c r="M340" s="20">
        <f>(5705.01*($L$8))</f>
        <v>30521.803499999998</v>
      </c>
      <c r="N340" s="20">
        <f>(5858.51*($L$8))</f>
        <v>31343.0285</v>
      </c>
      <c r="O340" s="20">
        <f>(6077.81*($L$8))</f>
        <v>32516.283500000001</v>
      </c>
      <c r="P340" s="20">
        <f>(6187.46*($L$8))</f>
        <v>33102.911</v>
      </c>
      <c r="Q340" s="20">
        <f>(6626.06*($L$8))</f>
        <v>35449.421000000002</v>
      </c>
    </row>
    <row r="341" spans="2:17" ht="12.75" customHeight="1" x14ac:dyDescent="0.2">
      <c r="B341" s="6" t="s">
        <v>601</v>
      </c>
      <c r="C341" s="6" t="s">
        <v>265</v>
      </c>
      <c r="D341" s="6" t="s">
        <v>602</v>
      </c>
      <c r="E341" s="6" t="s">
        <v>256</v>
      </c>
      <c r="F341" s="6" t="s">
        <v>210</v>
      </c>
      <c r="G341" s="17" t="s">
        <v>38</v>
      </c>
      <c r="H341" s="20">
        <f>(3384.97*($L$8))</f>
        <v>18109.589499999998</v>
      </c>
      <c r="I341" s="20">
        <f>(3450.76*($L$8))</f>
        <v>18461.565999999999</v>
      </c>
      <c r="J341" s="20">
        <f>(3490.23*($L$8))</f>
        <v>18672.730499999998</v>
      </c>
      <c r="K341" s="20">
        <f>(3595.5*($L$8))</f>
        <v>19235.924999999999</v>
      </c>
      <c r="L341" s="20">
        <f>(3661.29*($L$8))</f>
        <v>19587.9015</v>
      </c>
      <c r="M341" s="20">
        <f>(3740.23*($L$8))</f>
        <v>20010.230499999998</v>
      </c>
      <c r="N341" s="20">
        <f>(3832.34*($L$8))</f>
        <v>20503.019</v>
      </c>
      <c r="O341" s="20">
        <f>(3963.92*($L$8))</f>
        <v>21206.971999999998</v>
      </c>
      <c r="P341" s="20">
        <f>(4029.71*($L$8))</f>
        <v>21558.948499999999</v>
      </c>
      <c r="Q341" s="20">
        <f>(4292.86*($L$8))</f>
        <v>22966.800999999996</v>
      </c>
    </row>
    <row r="342" spans="2:17" ht="12.75" customHeight="1" x14ac:dyDescent="0.2">
      <c r="B342" s="6" t="s">
        <v>603</v>
      </c>
      <c r="C342" s="6" t="s">
        <v>267</v>
      </c>
      <c r="D342" s="6" t="s">
        <v>602</v>
      </c>
      <c r="E342" s="6" t="s">
        <v>256</v>
      </c>
      <c r="F342" s="6" t="s">
        <v>210</v>
      </c>
      <c r="G342" s="17" t="s">
        <v>38</v>
      </c>
      <c r="H342" s="20">
        <f>(3481.26*($L$8))</f>
        <v>18624.740999999998</v>
      </c>
      <c r="I342" s="20">
        <f>(3547.05*($L$8))</f>
        <v>18976.717499999999</v>
      </c>
      <c r="J342" s="20">
        <f>(3586.53*($L$8))</f>
        <v>19187.9355</v>
      </c>
      <c r="K342" s="20">
        <f>(3691.79*($L$8))</f>
        <v>19751.076499999999</v>
      </c>
      <c r="L342" s="20">
        <f>(3757.58*($L$8))</f>
        <v>20103.053</v>
      </c>
      <c r="M342" s="20">
        <f>(3836.53*($L$8))</f>
        <v>20525.4355</v>
      </c>
      <c r="N342" s="20">
        <f>(3928.63*($L$8))</f>
        <v>21018.1705</v>
      </c>
      <c r="O342" s="20">
        <f>(4060.21*($L$8))</f>
        <v>21722.123499999998</v>
      </c>
      <c r="P342" s="20">
        <f>(4126*($L$8))</f>
        <v>22074.1</v>
      </c>
      <c r="Q342" s="20">
        <f>(4389.16*($L$8))</f>
        <v>23482.005999999998</v>
      </c>
    </row>
    <row r="343" spans="2:17" ht="12.75" customHeight="1" x14ac:dyDescent="0.2">
      <c r="B343" s="6" t="s">
        <v>604</v>
      </c>
      <c r="C343" s="6" t="s">
        <v>270</v>
      </c>
      <c r="D343" s="6" t="s">
        <v>602</v>
      </c>
      <c r="E343" s="6" t="s">
        <v>256</v>
      </c>
      <c r="F343" s="6" t="s">
        <v>210</v>
      </c>
      <c r="G343" s="17" t="s">
        <v>38</v>
      </c>
      <c r="H343" s="20">
        <f>(3598.83*($L$8))</f>
        <v>19253.7405</v>
      </c>
      <c r="I343" s="20">
        <f>(3669*($L$8))</f>
        <v>19629.149999999998</v>
      </c>
      <c r="J343" s="20">
        <f>(3711.11*($L$8))</f>
        <v>19854.4385</v>
      </c>
      <c r="K343" s="20">
        <f>(3823.39*($L$8))</f>
        <v>20455.136499999997</v>
      </c>
      <c r="L343" s="20">
        <f>(3893.56*($L$8))</f>
        <v>20830.545999999998</v>
      </c>
      <c r="M343" s="20">
        <f>(3977.77*($L$8))</f>
        <v>21281.069499999998</v>
      </c>
      <c r="N343" s="20">
        <f>(4076.02*($L$8))</f>
        <v>21806.706999999999</v>
      </c>
      <c r="O343" s="20">
        <f>(4216.37*($L$8))</f>
        <v>22557.579499999996</v>
      </c>
      <c r="P343" s="20">
        <f>(4286.55*($L$8))</f>
        <v>22933.0425</v>
      </c>
      <c r="Q343" s="20">
        <f>(4567.25*($L$8))</f>
        <v>24434.787499999999</v>
      </c>
    </row>
    <row r="344" spans="2:17" ht="12.75" customHeight="1" x14ac:dyDescent="0.2">
      <c r="B344" s="6" t="s">
        <v>605</v>
      </c>
      <c r="C344" s="6" t="s">
        <v>30</v>
      </c>
      <c r="D344" s="6" t="s">
        <v>602</v>
      </c>
      <c r="E344" s="6" t="s">
        <v>256</v>
      </c>
      <c r="F344" s="6" t="s">
        <v>210</v>
      </c>
      <c r="G344" s="17" t="s">
        <v>38</v>
      </c>
      <c r="H344" s="20">
        <f>(3719.28*($L$8))</f>
        <v>19898.148000000001</v>
      </c>
      <c r="I344" s="20">
        <f>(3793.84*($L$8))</f>
        <v>20297.043999999998</v>
      </c>
      <c r="J344" s="20">
        <f>(3838.58*($L$8))</f>
        <v>20536.402999999998</v>
      </c>
      <c r="K344" s="20">
        <f>(3957.88*($L$8))</f>
        <v>21174.657999999999</v>
      </c>
      <c r="L344" s="20">
        <f>(4032.44*($L$8))</f>
        <v>21573.554</v>
      </c>
      <c r="M344" s="20">
        <f>(4121.91*($L$8))</f>
        <v>22052.218499999999</v>
      </c>
      <c r="N344" s="20">
        <f>(4226.3*($L$8))</f>
        <v>22610.704999999998</v>
      </c>
      <c r="O344" s="20">
        <f>(4375.42*($L$8))</f>
        <v>23408.496999999999</v>
      </c>
      <c r="P344" s="20">
        <f>(4449.98*($L$8))</f>
        <v>23807.392999999996</v>
      </c>
      <c r="Q344" s="20">
        <f>(4748.23*($L$8))</f>
        <v>25403.030499999997</v>
      </c>
    </row>
    <row r="345" spans="2:17" ht="12.75" customHeight="1" x14ac:dyDescent="0.2">
      <c r="B345" s="6" t="s">
        <v>606</v>
      </c>
      <c r="C345" s="6" t="s">
        <v>79</v>
      </c>
      <c r="D345" s="6" t="s">
        <v>602</v>
      </c>
      <c r="E345" s="6" t="s">
        <v>256</v>
      </c>
      <c r="F345" s="6" t="s">
        <v>27</v>
      </c>
      <c r="G345" s="17" t="s">
        <v>54</v>
      </c>
      <c r="H345" s="20">
        <f>(2843.18*($L$8))</f>
        <v>15211.012999999999</v>
      </c>
      <c r="I345" s="20">
        <f>(2900.19*($L$8))</f>
        <v>15516.0165</v>
      </c>
      <c r="J345" s="20">
        <f>(2934.4*($L$8))</f>
        <v>15699.039999999999</v>
      </c>
      <c r="K345" s="20">
        <f>(3025.63*($L$8))</f>
        <v>16187.120499999999</v>
      </c>
      <c r="L345" s="20">
        <f>(3082.65*($L$8))</f>
        <v>16492.177499999998</v>
      </c>
      <c r="M345" s="20">
        <f>(3151.07*($L$8))</f>
        <v>16858.2245</v>
      </c>
      <c r="N345" s="20">
        <f>(3230.89*($L$8))</f>
        <v>17285.261499999997</v>
      </c>
      <c r="O345" s="20">
        <f>(3344.93*($L$8))</f>
        <v>17895.375499999998</v>
      </c>
      <c r="P345" s="20">
        <f>(3401.95*($L$8))</f>
        <v>18200.432499999999</v>
      </c>
      <c r="Q345" s="20">
        <f>(3630.02*($L$8))</f>
        <v>19420.607</v>
      </c>
    </row>
    <row r="346" spans="2:17" ht="12.75" customHeight="1" x14ac:dyDescent="0.2">
      <c r="B346" s="6" t="s">
        <v>607</v>
      </c>
      <c r="C346" s="6" t="s">
        <v>134</v>
      </c>
      <c r="D346" s="6" t="s">
        <v>602</v>
      </c>
      <c r="E346" s="6" t="s">
        <v>256</v>
      </c>
      <c r="F346" s="6" t="s">
        <v>27</v>
      </c>
      <c r="G346" s="17" t="s">
        <v>54</v>
      </c>
      <c r="H346" s="20">
        <f>(3011.88*($L$8))</f>
        <v>16113.557999999999</v>
      </c>
      <c r="I346" s="20">
        <f>(3073.29*($L$8))</f>
        <v>16442.101499999997</v>
      </c>
      <c r="J346" s="20">
        <f>(3110.13*($L$8))</f>
        <v>16639.195499999998</v>
      </c>
      <c r="K346" s="20">
        <f>(3208.37*($L$8))</f>
        <v>17164.779499999997</v>
      </c>
      <c r="L346" s="20">
        <f>(3269.78*($L$8))</f>
        <v>17493.323</v>
      </c>
      <c r="M346" s="20">
        <f>(3343.46*($L$8))</f>
        <v>17887.510999999999</v>
      </c>
      <c r="N346" s="20">
        <f>(3429.43*($L$8))</f>
        <v>18347.450499999999</v>
      </c>
      <c r="O346" s="20">
        <f>(3552.23*($L$8))</f>
        <v>19004.430499999999</v>
      </c>
      <c r="P346" s="20">
        <f>(3613.64*($L$8))</f>
        <v>19332.973999999998</v>
      </c>
      <c r="Q346" s="20">
        <f>(3859.25*($L$8))</f>
        <v>20646.987499999999</v>
      </c>
    </row>
    <row r="347" spans="2:17" ht="12.75" customHeight="1" x14ac:dyDescent="0.2">
      <c r="B347" s="6" t="s">
        <v>608</v>
      </c>
      <c r="C347" s="6" t="s">
        <v>333</v>
      </c>
      <c r="D347" s="6" t="s">
        <v>602</v>
      </c>
      <c r="E347" s="6" t="s">
        <v>256</v>
      </c>
      <c r="F347" s="6" t="s">
        <v>27</v>
      </c>
      <c r="G347" s="17" t="s">
        <v>54</v>
      </c>
      <c r="H347" s="20">
        <f>(3123.73*($L$8))</f>
        <v>16711.9555</v>
      </c>
      <c r="I347" s="20">
        <f>(3189.52*($L$8))</f>
        <v>17063.931999999997</v>
      </c>
      <c r="J347" s="20">
        <f>(3229*($L$8))</f>
        <v>17275.149999999998</v>
      </c>
      <c r="K347" s="20">
        <f>(3334.26*($L$8))</f>
        <v>17838.291000000001</v>
      </c>
      <c r="L347" s="20">
        <f>(3400.05*($L$8))</f>
        <v>18190.267499999998</v>
      </c>
      <c r="M347" s="20">
        <f>(3479*($L$8))</f>
        <v>18612.649999999998</v>
      </c>
      <c r="N347" s="20">
        <f>(3571.1*($L$8))</f>
        <v>19105.384999999998</v>
      </c>
      <c r="O347" s="20">
        <f>(3702.68*($L$8))</f>
        <v>19809.337999999996</v>
      </c>
      <c r="P347" s="20">
        <f>(3768.47*($L$8))</f>
        <v>20161.314499999997</v>
      </c>
      <c r="Q347" s="20">
        <f>(4031.63*($L$8))</f>
        <v>21569.220499999999</v>
      </c>
    </row>
    <row r="348" spans="2:17" ht="12.75" customHeight="1" x14ac:dyDescent="0.2">
      <c r="B348" s="6" t="s">
        <v>609</v>
      </c>
      <c r="C348" s="6" t="s">
        <v>565</v>
      </c>
      <c r="D348" s="6" t="s">
        <v>602</v>
      </c>
      <c r="E348" s="6" t="s">
        <v>256</v>
      </c>
      <c r="F348" s="6" t="s">
        <v>27</v>
      </c>
      <c r="G348" s="17" t="s">
        <v>38</v>
      </c>
      <c r="H348" s="20">
        <f>(3247.93*($L$8))</f>
        <v>17376.425499999998</v>
      </c>
      <c r="I348" s="20">
        <f>(3318.11*($L$8))</f>
        <v>17751.888500000001</v>
      </c>
      <c r="J348" s="20">
        <f>(3360.21*($L$8))</f>
        <v>17977.123499999998</v>
      </c>
      <c r="K348" s="20">
        <f>(3472.49*($L$8))</f>
        <v>18577.821499999998</v>
      </c>
      <c r="L348" s="20">
        <f>(3542.67*($L$8))</f>
        <v>18953.284499999998</v>
      </c>
      <c r="M348" s="20">
        <f>(3626.88*($L$8))</f>
        <v>19403.808000000001</v>
      </c>
      <c r="N348" s="20">
        <f>(3725.13*($L$8))</f>
        <v>19929.445499999998</v>
      </c>
      <c r="O348" s="20">
        <f>(3865.48*($L$8))</f>
        <v>20680.317999999999</v>
      </c>
      <c r="P348" s="20">
        <f>(3935.65*($L$8))</f>
        <v>21055.727500000001</v>
      </c>
      <c r="Q348" s="20">
        <f>(4216.35*($L$8))</f>
        <v>22557.4725</v>
      </c>
    </row>
    <row r="349" spans="2:17" ht="12.75" customHeight="1" x14ac:dyDescent="0.2">
      <c r="B349" s="6" t="s">
        <v>610</v>
      </c>
      <c r="C349" s="6" t="s">
        <v>385</v>
      </c>
      <c r="D349" s="6" t="s">
        <v>602</v>
      </c>
      <c r="E349" s="6" t="s">
        <v>256</v>
      </c>
      <c r="F349" s="6" t="s">
        <v>27</v>
      </c>
      <c r="G349" s="17" t="s">
        <v>38</v>
      </c>
      <c r="H349" s="20">
        <f>(3362.81*($L$8))</f>
        <v>17991.033499999998</v>
      </c>
      <c r="I349" s="20">
        <f>(3437.37*($L$8))</f>
        <v>18389.929499999998</v>
      </c>
      <c r="J349" s="20">
        <f>(3482.11*($L$8))</f>
        <v>18629.288499999999</v>
      </c>
      <c r="K349" s="20">
        <f>(3601.41*($L$8))</f>
        <v>19267.543499999996</v>
      </c>
      <c r="L349" s="20">
        <f>(3675.97*($L$8))</f>
        <v>19666.439499999997</v>
      </c>
      <c r="M349" s="20">
        <f>(3765.44*($L$8))</f>
        <v>20145.103999999999</v>
      </c>
      <c r="N349" s="20">
        <f>(3869.83*($L$8))</f>
        <v>20703.590499999998</v>
      </c>
      <c r="O349" s="20">
        <f>(4018.95*($L$8))</f>
        <v>21501.382499999996</v>
      </c>
      <c r="P349" s="20">
        <f>(4093.51*($L$8))</f>
        <v>21900.2785</v>
      </c>
      <c r="Q349" s="20">
        <f>(4391.76*($L$8))</f>
        <v>23495.916000000001</v>
      </c>
    </row>
    <row r="350" spans="2:17" ht="12.75" customHeight="1" x14ac:dyDescent="0.2">
      <c r="B350" s="6" t="s">
        <v>611</v>
      </c>
      <c r="C350" s="6" t="s">
        <v>385</v>
      </c>
      <c r="D350" s="6" t="s">
        <v>397</v>
      </c>
      <c r="E350" s="6" t="s">
        <v>612</v>
      </c>
      <c r="F350" s="6" t="s">
        <v>27</v>
      </c>
      <c r="G350" s="17" t="s">
        <v>35</v>
      </c>
      <c r="H350" s="20">
        <f>(2410.63*($L$8))</f>
        <v>12896.870499999999</v>
      </c>
      <c r="I350" s="20">
        <f>(2463.26*($L$8))</f>
        <v>13178.441000000001</v>
      </c>
      <c r="J350" s="20">
        <f>(2494.84*($L$8))</f>
        <v>13347.394</v>
      </c>
      <c r="K350" s="20">
        <f>(2579.05*($L$8))</f>
        <v>13797.9175</v>
      </c>
      <c r="L350" s="20">
        <f>(2631.69*($L$8))</f>
        <v>14079.541499999999</v>
      </c>
      <c r="M350" s="20">
        <f>(2694.84*($L$8))</f>
        <v>14417.394</v>
      </c>
      <c r="N350" s="20">
        <f>(2768.53*($L$8))</f>
        <v>14811.6355</v>
      </c>
      <c r="O350" s="20">
        <f>(2873.79*($L$8))</f>
        <v>15374.776499999998</v>
      </c>
      <c r="P350" s="20">
        <f>(2926.42*($L$8))</f>
        <v>15656.347</v>
      </c>
      <c r="Q350" s="20">
        <f>(3136.95*($L$8))</f>
        <v>16782.682499999999</v>
      </c>
    </row>
    <row r="351" spans="2:17" ht="12.75" customHeight="1" x14ac:dyDescent="0.2">
      <c r="B351" s="6" t="s">
        <v>613</v>
      </c>
      <c r="C351" s="6" t="s">
        <v>135</v>
      </c>
      <c r="D351" s="6" t="s">
        <v>397</v>
      </c>
      <c r="E351" s="6" t="s">
        <v>612</v>
      </c>
      <c r="F351" s="6" t="s">
        <v>27</v>
      </c>
      <c r="G351" s="17" t="s">
        <v>54</v>
      </c>
      <c r="H351" s="20">
        <f>(2518.93*($L$8))</f>
        <v>13476.275499999998</v>
      </c>
      <c r="I351" s="20">
        <f>(2575.95*($L$8))</f>
        <v>13781.332499999999</v>
      </c>
      <c r="J351" s="20">
        <f>(2610.16*($L$8))</f>
        <v>13964.355999999998</v>
      </c>
      <c r="K351" s="20">
        <f>(2701.38*($L$8))</f>
        <v>14452.383</v>
      </c>
      <c r="L351" s="20">
        <f>(2758.4*($L$8))</f>
        <v>14757.439999999999</v>
      </c>
      <c r="M351" s="20">
        <f>(2826.82*($L$8))</f>
        <v>15123.486999999999</v>
      </c>
      <c r="N351" s="20">
        <f>(2906.65*($L$8))</f>
        <v>15550.577499999999</v>
      </c>
      <c r="O351" s="20">
        <f>(3020.68*($L$8))</f>
        <v>16160.637999999997</v>
      </c>
      <c r="P351" s="20">
        <f>(3077.7*($L$8))</f>
        <v>16465.695</v>
      </c>
      <c r="Q351" s="20">
        <f>(3305.77*($L$8))</f>
        <v>17685.869499999997</v>
      </c>
    </row>
    <row r="352" spans="2:17" ht="12.75" customHeight="1" x14ac:dyDescent="0.2">
      <c r="B352" s="6" t="s">
        <v>614</v>
      </c>
      <c r="C352" s="6" t="s">
        <v>136</v>
      </c>
      <c r="D352" s="6" t="s">
        <v>397</v>
      </c>
      <c r="E352" s="6" t="s">
        <v>612</v>
      </c>
      <c r="F352" s="6" t="s">
        <v>27</v>
      </c>
      <c r="G352" s="17" t="s">
        <v>38</v>
      </c>
      <c r="H352" s="20">
        <f>(2626.36*($L$8))</f>
        <v>14051.026</v>
      </c>
      <c r="I352" s="20">
        <f>(2687.77*($L$8))</f>
        <v>14379.5695</v>
      </c>
      <c r="J352" s="20">
        <f>(2724.61*($L$8))</f>
        <v>14576.663500000001</v>
      </c>
      <c r="K352" s="20">
        <f>(2822.86*($L$8))</f>
        <v>15102.300999999999</v>
      </c>
      <c r="L352" s="20">
        <f>(2884.26*($L$8))</f>
        <v>15430.790999999999</v>
      </c>
      <c r="M352" s="20">
        <f>(2957.94*($L$8))</f>
        <v>15824.978999999999</v>
      </c>
      <c r="N352" s="20">
        <f>(3043.91*($L$8))</f>
        <v>16284.918499999998</v>
      </c>
      <c r="O352" s="20">
        <f>(3166.72*($L$8))</f>
        <v>16941.951999999997</v>
      </c>
      <c r="P352" s="20">
        <f>(3228.12*($L$8))</f>
        <v>17270.441999999999</v>
      </c>
      <c r="Q352" s="20">
        <f>(3473.73*($L$8))</f>
        <v>18584.4555</v>
      </c>
    </row>
    <row r="353" spans="2:17" ht="12.75" customHeight="1" x14ac:dyDescent="0.2">
      <c r="B353" s="6" t="s">
        <v>615</v>
      </c>
      <c r="C353" s="6" t="s">
        <v>137</v>
      </c>
      <c r="D353" s="6" t="s">
        <v>397</v>
      </c>
      <c r="E353" s="6" t="s">
        <v>612</v>
      </c>
      <c r="F353" s="6" t="s">
        <v>27</v>
      </c>
      <c r="G353" s="17" t="s">
        <v>60</v>
      </c>
      <c r="H353" s="20">
        <f>(2754.78*($L$8))</f>
        <v>14738.073</v>
      </c>
      <c r="I353" s="20">
        <f>(2820.57*($L$8))</f>
        <v>15090.049499999999</v>
      </c>
      <c r="J353" s="20">
        <f>(2860.04*($L$8))</f>
        <v>15301.213999999998</v>
      </c>
      <c r="K353" s="20">
        <f>(2965.31*($L$8))</f>
        <v>15864.4085</v>
      </c>
      <c r="L353" s="20">
        <f>(3031.1*($L$8))</f>
        <v>16216.384999999998</v>
      </c>
      <c r="M353" s="20">
        <f>(3110.04*($L$8))</f>
        <v>16638.714</v>
      </c>
      <c r="N353" s="20">
        <f>(3202.15*($L$8))</f>
        <v>17131.502499999999</v>
      </c>
      <c r="O353" s="20">
        <f>(3333.73*($L$8))</f>
        <v>17835.4555</v>
      </c>
      <c r="P353" s="20">
        <f>(3399.52*($L$8))</f>
        <v>18187.431999999997</v>
      </c>
      <c r="Q353" s="20">
        <f>(3662.67*($L$8))</f>
        <v>19595.284499999998</v>
      </c>
    </row>
    <row r="354" spans="2:17" ht="12.75" customHeight="1" x14ac:dyDescent="0.2">
      <c r="B354" s="6" t="s">
        <v>616</v>
      </c>
      <c r="C354" s="6" t="s">
        <v>292</v>
      </c>
      <c r="D354" s="6" t="s">
        <v>397</v>
      </c>
      <c r="E354" s="6" t="s">
        <v>612</v>
      </c>
      <c r="F354" s="6" t="s">
        <v>27</v>
      </c>
      <c r="G354" s="17" t="s">
        <v>42</v>
      </c>
      <c r="H354" s="20">
        <f>(2862.07*($L$8))</f>
        <v>15312.074500000001</v>
      </c>
      <c r="I354" s="20">
        <f>(2932.24*($L$8))</f>
        <v>15687.483999999999</v>
      </c>
      <c r="J354" s="20">
        <f>(2974.35*($L$8))</f>
        <v>15912.772499999999</v>
      </c>
      <c r="K354" s="20">
        <f>(3086.63*($L$8))</f>
        <v>16513.470499999999</v>
      </c>
      <c r="L354" s="20">
        <f>(3156.8*($L$8))</f>
        <v>16888.88</v>
      </c>
      <c r="M354" s="20">
        <f>(3241.01*($L$8))</f>
        <v>17339.4035</v>
      </c>
      <c r="N354" s="20">
        <f>(3339.26*($L$8))</f>
        <v>17865.041000000001</v>
      </c>
      <c r="O354" s="20">
        <f>(3479.61*($L$8))</f>
        <v>18615.913499999999</v>
      </c>
      <c r="P354" s="20">
        <f>(3549.79*($L$8))</f>
        <v>18991.376499999998</v>
      </c>
      <c r="Q354" s="20">
        <f>(3830.49*($L$8))</f>
        <v>20493.121499999997</v>
      </c>
    </row>
    <row r="355" spans="2:17" ht="12.75" customHeight="1" x14ac:dyDescent="0.2">
      <c r="B355" s="6" t="s">
        <v>617</v>
      </c>
      <c r="C355" s="6" t="s">
        <v>273</v>
      </c>
      <c r="D355" s="6" t="s">
        <v>397</v>
      </c>
      <c r="E355" s="6" t="s">
        <v>612</v>
      </c>
      <c r="F355" s="6" t="s">
        <v>27</v>
      </c>
      <c r="G355" s="17" t="s">
        <v>262</v>
      </c>
      <c r="H355" s="20">
        <f>(2974.82*($L$8))</f>
        <v>15915.287</v>
      </c>
      <c r="I355" s="20">
        <f>(3049.38*($L$8))</f>
        <v>16314.182999999999</v>
      </c>
      <c r="J355" s="20">
        <f>(3094.12*($L$8))</f>
        <v>16553.541999999998</v>
      </c>
      <c r="K355" s="20">
        <f>(3213.42*($L$8))</f>
        <v>17191.796999999999</v>
      </c>
      <c r="L355" s="20">
        <f>(3287.98*($L$8))</f>
        <v>17590.692999999999</v>
      </c>
      <c r="M355" s="20">
        <f>(3377.45*($L$8))</f>
        <v>18069.357499999998</v>
      </c>
      <c r="N355" s="20">
        <f>(3481.84*($L$8))</f>
        <v>18627.844000000001</v>
      </c>
      <c r="O355" s="20">
        <f>(3630.96*($L$8))</f>
        <v>19425.635999999999</v>
      </c>
      <c r="P355" s="20">
        <f>(3705.52*($L$8))</f>
        <v>19824.531999999999</v>
      </c>
      <c r="Q355" s="20">
        <f>(4003.77*($L$8))</f>
        <v>21420.1695</v>
      </c>
    </row>
    <row r="356" spans="2:17" ht="12.75" customHeight="1" x14ac:dyDescent="0.2">
      <c r="B356" s="6" t="s">
        <v>618</v>
      </c>
      <c r="C356" s="6" t="s">
        <v>278</v>
      </c>
      <c r="D356" s="6" t="s">
        <v>397</v>
      </c>
      <c r="E356" s="6" t="s">
        <v>612</v>
      </c>
      <c r="F356" s="6" t="s">
        <v>27</v>
      </c>
      <c r="G356" s="17" t="s">
        <v>152</v>
      </c>
      <c r="H356" s="20">
        <f>(3074.34*($L$8))</f>
        <v>16447.719000000001</v>
      </c>
      <c r="I356" s="20">
        <f>(3153.29*($L$8))</f>
        <v>16870.101499999997</v>
      </c>
      <c r="J356" s="20">
        <f>(3200.66*($L$8))</f>
        <v>17123.530999999999</v>
      </c>
      <c r="K356" s="20">
        <f>(3326.97*($L$8))</f>
        <v>17799.289499999999</v>
      </c>
      <c r="L356" s="20">
        <f>(3405.92*($L$8))</f>
        <v>18221.671999999999</v>
      </c>
      <c r="M356" s="20">
        <f>(3500.66*($L$8))</f>
        <v>18728.530999999999</v>
      </c>
      <c r="N356" s="20">
        <f>(3611.18*($L$8))</f>
        <v>19319.812999999998</v>
      </c>
      <c r="O356" s="20">
        <f>(3769.08*($L$8))</f>
        <v>20164.577999999998</v>
      </c>
      <c r="P356" s="20">
        <f>(3848.02*($L$8))</f>
        <v>20586.906999999999</v>
      </c>
      <c r="Q356" s="20">
        <f>(4163.81*($L$8))</f>
        <v>22276.3835</v>
      </c>
    </row>
    <row r="357" spans="2:17" ht="12.75" customHeight="1" x14ac:dyDescent="0.2">
      <c r="B357" s="6" t="s">
        <v>619</v>
      </c>
      <c r="C357" s="6" t="s">
        <v>280</v>
      </c>
      <c r="D357" s="6" t="s">
        <v>397</v>
      </c>
      <c r="E357" s="6" t="s">
        <v>612</v>
      </c>
      <c r="F357" s="6" t="s">
        <v>27</v>
      </c>
      <c r="G357" s="17" t="s">
        <v>166</v>
      </c>
      <c r="H357" s="20">
        <f>(3182.19*($L$8))</f>
        <v>17024.716499999999</v>
      </c>
      <c r="I357" s="20">
        <f>(3265.52*($L$8))</f>
        <v>17470.531999999999</v>
      </c>
      <c r="J357" s="20">
        <f>(3315.52*($L$8))</f>
        <v>17738.031999999999</v>
      </c>
      <c r="K357" s="20">
        <f>(3448.86*($L$8))</f>
        <v>18451.400999999998</v>
      </c>
      <c r="L357" s="20">
        <f>(3532.19*($L$8))</f>
        <v>18897.216499999999</v>
      </c>
      <c r="M357" s="20">
        <f>(3632.19*($L$8))</f>
        <v>19432.216499999999</v>
      </c>
      <c r="N357" s="20">
        <f>(3748.86*($L$8))</f>
        <v>20056.400999999998</v>
      </c>
      <c r="O357" s="20">
        <f>(3915.52*($L$8))</f>
        <v>20948.031999999999</v>
      </c>
      <c r="P357" s="20">
        <f>(3998.86*($L$8))</f>
        <v>21393.900999999998</v>
      </c>
      <c r="Q357" s="20">
        <f>(4332.19*($L$8))</f>
        <v>23177.216499999995</v>
      </c>
    </row>
    <row r="358" spans="2:17" ht="12.75" customHeight="1" x14ac:dyDescent="0.2">
      <c r="B358" s="6" t="s">
        <v>620</v>
      </c>
      <c r="C358" s="6" t="s">
        <v>236</v>
      </c>
      <c r="D358" s="6" t="s">
        <v>397</v>
      </c>
      <c r="E358" s="6" t="s">
        <v>612</v>
      </c>
      <c r="F358" s="6" t="s">
        <v>27</v>
      </c>
      <c r="G358" s="17" t="s">
        <v>166</v>
      </c>
      <c r="H358" s="20">
        <f>(3288.11*($L$8))</f>
        <v>17591.388500000001</v>
      </c>
      <c r="I358" s="20">
        <f>(3375.83*($L$8))</f>
        <v>18060.690499999997</v>
      </c>
      <c r="J358" s="20">
        <f>(3428.46*($L$8))</f>
        <v>18342.260999999999</v>
      </c>
      <c r="K358" s="20">
        <f>(3568.82*($L$8))</f>
        <v>19093.186999999998</v>
      </c>
      <c r="L358" s="20">
        <f>(3656.53*($L$8))</f>
        <v>19562.4355</v>
      </c>
      <c r="M358" s="20">
        <f>(3761.8*($L$8))</f>
        <v>20125.63</v>
      </c>
      <c r="N358" s="20">
        <f>(3884.6*($L$8))</f>
        <v>20782.609999999997</v>
      </c>
      <c r="O358" s="20">
        <f>(4060.04*($L$8))</f>
        <v>21721.214</v>
      </c>
      <c r="P358" s="20">
        <f>(4147.76*($L$8))</f>
        <v>22190.516</v>
      </c>
      <c r="Q358" s="20">
        <f>(4498.64*($L$8))</f>
        <v>24067.723999999998</v>
      </c>
    </row>
    <row r="359" spans="2:17" ht="12.75" customHeight="1" x14ac:dyDescent="0.2">
      <c r="B359" s="6" t="s">
        <v>621</v>
      </c>
      <c r="C359" s="6" t="s">
        <v>282</v>
      </c>
      <c r="D359" s="6" t="s">
        <v>397</v>
      </c>
      <c r="E359" s="6" t="s">
        <v>612</v>
      </c>
      <c r="F359" s="6" t="s">
        <v>27</v>
      </c>
      <c r="G359" s="17" t="s">
        <v>154</v>
      </c>
      <c r="H359" s="20">
        <f>(3418.2*($L$8))</f>
        <v>18287.37</v>
      </c>
      <c r="I359" s="20">
        <f>(3510.31*($L$8))</f>
        <v>18780.158499999998</v>
      </c>
      <c r="J359" s="20">
        <f>(3565.57*($L$8))</f>
        <v>19075.799500000001</v>
      </c>
      <c r="K359" s="20">
        <f>(3712.94*($L$8))</f>
        <v>19864.228999999999</v>
      </c>
      <c r="L359" s="20">
        <f>(3805.05*($L$8))</f>
        <v>20357.017499999998</v>
      </c>
      <c r="M359" s="20">
        <f>(3915.57*($L$8))</f>
        <v>20948.299500000001</v>
      </c>
      <c r="N359" s="20">
        <f>(4044.52*($L$8))</f>
        <v>21638.181999999997</v>
      </c>
      <c r="O359" s="20">
        <f>(4228.73*($L$8))</f>
        <v>22623.705499999996</v>
      </c>
      <c r="P359" s="20">
        <f>(4320.83*($L$8))</f>
        <v>23116.440499999997</v>
      </c>
      <c r="Q359" s="20">
        <f>(4689.26*($L$8))</f>
        <v>25087.541000000001</v>
      </c>
    </row>
    <row r="360" spans="2:17" ht="12.75" customHeight="1" x14ac:dyDescent="0.2">
      <c r="B360" s="6" t="s">
        <v>622</v>
      </c>
      <c r="C360" s="6" t="s">
        <v>292</v>
      </c>
      <c r="D360" s="6" t="s">
        <v>149</v>
      </c>
      <c r="E360" s="6" t="s">
        <v>256</v>
      </c>
      <c r="F360" s="6" t="s">
        <v>27</v>
      </c>
      <c r="G360" s="17" t="s">
        <v>60</v>
      </c>
      <c r="H360" s="20">
        <f>(3479.51*($L$8))</f>
        <v>18615.378499999999</v>
      </c>
      <c r="I360" s="20">
        <f>(3545.3*($L$8))</f>
        <v>18967.355</v>
      </c>
      <c r="J360" s="20">
        <f>(3584.77*($L$8))</f>
        <v>19178.519499999999</v>
      </c>
      <c r="K360" s="20">
        <f>(3690.04*($L$8))</f>
        <v>19741.714</v>
      </c>
      <c r="L360" s="20">
        <f>(3755.83*($L$8))</f>
        <v>20093.690499999997</v>
      </c>
      <c r="M360" s="20">
        <f>(3834.77*($L$8))</f>
        <v>20516.019499999999</v>
      </c>
      <c r="N360" s="20">
        <f>(3926.88*($L$8))</f>
        <v>21008.808000000001</v>
      </c>
      <c r="O360" s="20">
        <f>(4058.46*($L$8))</f>
        <v>21712.760999999999</v>
      </c>
      <c r="P360" s="20">
        <f>(4124.25*($L$8))</f>
        <v>22064.737499999999</v>
      </c>
      <c r="Q360" s="20">
        <f>(4387.4*($L$8))</f>
        <v>23472.589999999997</v>
      </c>
    </row>
    <row r="361" spans="2:17" ht="12.75" customHeight="1" x14ac:dyDescent="0.2">
      <c r="B361" s="6" t="s">
        <v>623</v>
      </c>
      <c r="C361" s="6" t="s">
        <v>273</v>
      </c>
      <c r="D361" s="6" t="s">
        <v>149</v>
      </c>
      <c r="E361" s="6" t="s">
        <v>256</v>
      </c>
      <c r="F361" s="6" t="s">
        <v>27</v>
      </c>
      <c r="G361" s="17" t="s">
        <v>262</v>
      </c>
      <c r="H361" s="20">
        <f>(3671.48*($L$8))</f>
        <v>19642.417999999998</v>
      </c>
      <c r="I361" s="20">
        <f>(3746.04*($L$8))</f>
        <v>20041.313999999998</v>
      </c>
      <c r="J361" s="20">
        <f>(3790.77*($L$8))</f>
        <v>20280.619499999997</v>
      </c>
      <c r="K361" s="20">
        <f>(3910.07*($L$8))</f>
        <v>20918.874499999998</v>
      </c>
      <c r="L361" s="20">
        <f>(3984.63*($L$8))</f>
        <v>21317.770499999999</v>
      </c>
      <c r="M361" s="20">
        <f>(4074.11*($L$8))</f>
        <v>21796.488499999999</v>
      </c>
      <c r="N361" s="20">
        <f>(4178.49*($L$8))</f>
        <v>22354.921499999997</v>
      </c>
      <c r="O361" s="20">
        <f>(4327.62*($L$8))</f>
        <v>23152.766999999996</v>
      </c>
      <c r="P361" s="20">
        <f>(4402.18*($L$8))</f>
        <v>23551.663</v>
      </c>
      <c r="Q361" s="20">
        <f>(4700.42*($L$8))</f>
        <v>25147.246999999999</v>
      </c>
    </row>
    <row r="362" spans="2:17" ht="12.75" customHeight="1" x14ac:dyDescent="0.2">
      <c r="B362" s="6" t="s">
        <v>624</v>
      </c>
      <c r="C362" s="6" t="s">
        <v>278</v>
      </c>
      <c r="D362" s="6" t="s">
        <v>149</v>
      </c>
      <c r="E362" s="6" t="s">
        <v>256</v>
      </c>
      <c r="F362" s="6" t="s">
        <v>27</v>
      </c>
      <c r="G362" s="17" t="s">
        <v>166</v>
      </c>
      <c r="H362" s="20">
        <f>(3822.95*($L$8))</f>
        <v>20452.782499999998</v>
      </c>
      <c r="I362" s="20">
        <f>(3901.9*($L$8))</f>
        <v>20875.165000000001</v>
      </c>
      <c r="J362" s="20">
        <f>(3949.26*($L$8))</f>
        <v>21128.541000000001</v>
      </c>
      <c r="K362" s="20">
        <f>(4075.58*($L$8))</f>
        <v>21804.352999999999</v>
      </c>
      <c r="L362" s="20">
        <f>(4154.53*($L$8))</f>
        <v>22226.735499999999</v>
      </c>
      <c r="M362" s="20">
        <f>(4249.26*($L$8))</f>
        <v>22733.541000000001</v>
      </c>
      <c r="N362" s="20">
        <f>(4359.79*($L$8))</f>
        <v>23324.876499999998</v>
      </c>
      <c r="O362" s="20">
        <f>(4517.69*($L$8))</f>
        <v>24169.641499999998</v>
      </c>
      <c r="P362" s="20">
        <f>(4596.63*($L$8))</f>
        <v>24591.970499999999</v>
      </c>
      <c r="Q362" s="20">
        <f>(4912.42*($L$8))</f>
        <v>26281.447</v>
      </c>
    </row>
    <row r="363" spans="2:17" ht="12.75" customHeight="1" x14ac:dyDescent="0.2">
      <c r="B363" s="6" t="s">
        <v>625</v>
      </c>
      <c r="C363" s="6" t="s">
        <v>280</v>
      </c>
      <c r="D363" s="6" t="s">
        <v>149</v>
      </c>
      <c r="E363" s="6" t="s">
        <v>256</v>
      </c>
      <c r="F363" s="6" t="s">
        <v>27</v>
      </c>
      <c r="G363" s="17" t="s">
        <v>166</v>
      </c>
      <c r="H363" s="20">
        <f>(3975.49*($L$8))</f>
        <v>21268.871499999997</v>
      </c>
      <c r="I363" s="20">
        <f>(4058.83*($L$8))</f>
        <v>21714.7405</v>
      </c>
      <c r="J363" s="20">
        <f>(4108.83*($L$8))</f>
        <v>21982.2405</v>
      </c>
      <c r="K363" s="20">
        <f>(4242.16*($L$8))</f>
        <v>22695.555999999997</v>
      </c>
      <c r="L363" s="20">
        <f>(4325.49*($L$8))</f>
        <v>23141.371499999997</v>
      </c>
      <c r="M363" s="20">
        <f>(4425.49*($L$8))</f>
        <v>23676.371499999997</v>
      </c>
      <c r="N363" s="20">
        <f>(4542.16*($L$8))</f>
        <v>24300.555999999997</v>
      </c>
      <c r="O363" s="20">
        <f>(4708.83*($L$8))</f>
        <v>25192.240499999996</v>
      </c>
      <c r="P363" s="20">
        <f>(4792.16*($L$8))</f>
        <v>25638.055999999997</v>
      </c>
      <c r="Q363" s="20">
        <f>(5125.49*($L$8))</f>
        <v>27421.371499999997</v>
      </c>
    </row>
    <row r="364" spans="2:17" ht="12.75" customHeight="1" x14ac:dyDescent="0.2">
      <c r="B364" s="6" t="s">
        <v>626</v>
      </c>
      <c r="C364" s="6" t="s">
        <v>236</v>
      </c>
      <c r="D364" s="6" t="s">
        <v>149</v>
      </c>
      <c r="E364" s="6" t="s">
        <v>256</v>
      </c>
      <c r="F364" s="6" t="s">
        <v>27</v>
      </c>
      <c r="G364" s="17" t="s">
        <v>157</v>
      </c>
      <c r="H364" s="20">
        <f>(4134.86*($L$8))</f>
        <v>22121.500999999997</v>
      </c>
      <c r="I364" s="20">
        <f>(4222.58*($L$8))</f>
        <v>22590.803</v>
      </c>
      <c r="J364" s="20">
        <f>(4275.21*($L$8))</f>
        <v>22872.373499999998</v>
      </c>
      <c r="K364" s="20">
        <f>(4415.56*($L$8))</f>
        <v>23623.245999999999</v>
      </c>
      <c r="L364" s="20">
        <f>(4503.28*($L$8))</f>
        <v>24092.547999999995</v>
      </c>
      <c r="M364" s="20">
        <f>(4608.55*($L$8))</f>
        <v>24655.7425</v>
      </c>
      <c r="N364" s="20">
        <f>(4731.35*($L$8))</f>
        <v>25312.7225</v>
      </c>
      <c r="O364" s="20">
        <f>(4906.79*($L$8))</f>
        <v>26251.326499999999</v>
      </c>
      <c r="P364" s="20">
        <f>(4994.51*($L$8))</f>
        <v>26720.628499999999</v>
      </c>
      <c r="Q364" s="20">
        <f>(5345.39*($L$8))</f>
        <v>28597.836500000001</v>
      </c>
    </row>
    <row r="365" spans="2:17" ht="12.75" customHeight="1" x14ac:dyDescent="0.2">
      <c r="B365" s="6" t="s">
        <v>627</v>
      </c>
      <c r="C365" s="6" t="s">
        <v>385</v>
      </c>
      <c r="D365" s="6" t="s">
        <v>149</v>
      </c>
      <c r="E365" s="6" t="s">
        <v>256</v>
      </c>
      <c r="F365" s="6" t="s">
        <v>210</v>
      </c>
      <c r="G365" s="17" t="s">
        <v>38</v>
      </c>
      <c r="H365" s="20">
        <f>(3035.31*($L$8))</f>
        <v>16238.908499999998</v>
      </c>
      <c r="I365" s="20">
        <f>(3096.72*($L$8))</f>
        <v>16567.451999999997</v>
      </c>
      <c r="J365" s="20">
        <f>(3133.56*($L$8))</f>
        <v>16764.545999999998</v>
      </c>
      <c r="K365" s="20">
        <f>(3231.8*($L$8))</f>
        <v>17290.13</v>
      </c>
      <c r="L365" s="20">
        <f>(3293.21*($L$8))</f>
        <v>17618.673500000001</v>
      </c>
      <c r="M365" s="20">
        <f>(3366.89*($L$8))</f>
        <v>18012.861499999999</v>
      </c>
      <c r="N365" s="20">
        <f>(3452.86*($L$8))</f>
        <v>18472.800999999999</v>
      </c>
      <c r="O365" s="20">
        <f>(3575.66*($L$8))</f>
        <v>19129.780999999999</v>
      </c>
      <c r="P365" s="20">
        <f>(3637.07*($L$8))</f>
        <v>19458.324499999999</v>
      </c>
      <c r="Q365" s="20">
        <f>(3882.68*($L$8))</f>
        <v>20772.337999999996</v>
      </c>
    </row>
    <row r="366" spans="2:17" ht="12.75" customHeight="1" x14ac:dyDescent="0.2">
      <c r="B366" s="6" t="s">
        <v>628</v>
      </c>
      <c r="C366" s="6" t="s">
        <v>135</v>
      </c>
      <c r="D366" s="6" t="s">
        <v>149</v>
      </c>
      <c r="E366" s="6" t="s">
        <v>256</v>
      </c>
      <c r="F366" s="6" t="s">
        <v>210</v>
      </c>
      <c r="G366" s="17" t="s">
        <v>60</v>
      </c>
      <c r="H366" s="20">
        <f>(3278.21*($L$8))</f>
        <v>17538.423500000001</v>
      </c>
      <c r="I366" s="20">
        <f>(3344*($L$8))</f>
        <v>17890.399999999998</v>
      </c>
      <c r="J366" s="20">
        <f>(3383.48*($L$8))</f>
        <v>18101.617999999999</v>
      </c>
      <c r="K366" s="20">
        <f>(3488.74*($L$8))</f>
        <v>18664.758999999998</v>
      </c>
      <c r="L366" s="20">
        <f>(3554.53*($L$8))</f>
        <v>19016.735499999999</v>
      </c>
      <c r="M366" s="20">
        <f>(3633.48*($L$8))</f>
        <v>19439.117999999999</v>
      </c>
      <c r="N366" s="20">
        <f>(3725.58*($L$8))</f>
        <v>19931.852999999999</v>
      </c>
      <c r="O366" s="20">
        <f>(3857.16*($L$8))</f>
        <v>20635.805999999997</v>
      </c>
      <c r="P366" s="20">
        <f>(3922.95*($L$8))</f>
        <v>20987.782499999998</v>
      </c>
      <c r="Q366" s="20">
        <f>(4186.11*($L$8))</f>
        <v>22395.688499999997</v>
      </c>
    </row>
    <row r="367" spans="2:17" ht="12.75" customHeight="1" x14ac:dyDescent="0.2">
      <c r="B367" s="6" t="s">
        <v>629</v>
      </c>
      <c r="C367" s="6" t="s">
        <v>136</v>
      </c>
      <c r="D367" s="6" t="s">
        <v>149</v>
      </c>
      <c r="E367" s="6" t="s">
        <v>256</v>
      </c>
      <c r="F367" s="6" t="s">
        <v>210</v>
      </c>
      <c r="G367" s="17" t="s">
        <v>42</v>
      </c>
      <c r="H367" s="20">
        <f>(3452.62*($L$8))</f>
        <v>18471.517</v>
      </c>
      <c r="I367" s="20">
        <f>(3522.8*($L$8))</f>
        <v>18846.98</v>
      </c>
      <c r="J367" s="20">
        <f>(3564.9*($L$8))</f>
        <v>19072.215</v>
      </c>
      <c r="K367" s="20">
        <f>(3677.19*($L$8))</f>
        <v>19672.966499999999</v>
      </c>
      <c r="L367" s="20">
        <f>(3747.36*($L$8))</f>
        <v>20048.376</v>
      </c>
      <c r="M367" s="20">
        <f>(3831.57*($L$8))</f>
        <v>20498.8995</v>
      </c>
      <c r="N367" s="20">
        <f>(3929.82*($L$8))</f>
        <v>21024.537</v>
      </c>
      <c r="O367" s="20">
        <f>(4070.17*($L$8))</f>
        <v>21775.409499999998</v>
      </c>
      <c r="P367" s="20">
        <f>(4140.34*($L$8))</f>
        <v>22150.819</v>
      </c>
      <c r="Q367" s="20">
        <f>(4421.05*($L$8))</f>
        <v>23652.6175</v>
      </c>
    </row>
    <row r="368" spans="2:17" ht="12.75" customHeight="1" x14ac:dyDescent="0.2">
      <c r="B368" s="6" t="s">
        <v>630</v>
      </c>
      <c r="C368" s="6" t="s">
        <v>137</v>
      </c>
      <c r="D368" s="6" t="s">
        <v>149</v>
      </c>
      <c r="E368" s="6" t="s">
        <v>256</v>
      </c>
      <c r="F368" s="6" t="s">
        <v>210</v>
      </c>
      <c r="G368" s="17" t="s">
        <v>262</v>
      </c>
      <c r="H368" s="20">
        <f>(3647.93*($L$8))</f>
        <v>19516.425499999998</v>
      </c>
      <c r="I368" s="20">
        <f>(3722.49*($L$8))</f>
        <v>19915.321499999998</v>
      </c>
      <c r="J368" s="20">
        <f>(3767.23*($L$8))</f>
        <v>20154.680499999999</v>
      </c>
      <c r="K368" s="20">
        <f>(3886.53*($L$8))</f>
        <v>20792.9355</v>
      </c>
      <c r="L368" s="20">
        <f>(3961.09*($L$8))</f>
        <v>21191.8315</v>
      </c>
      <c r="M368" s="20">
        <f>(4050.56*($L$8))</f>
        <v>21670.495999999999</v>
      </c>
      <c r="N368" s="20">
        <f>(4154.95*($L$8))</f>
        <v>22228.982499999998</v>
      </c>
      <c r="O368" s="20">
        <f>(4304.07*($L$8))</f>
        <v>23026.774499999996</v>
      </c>
      <c r="P368" s="20">
        <f>(4378.63*($L$8))</f>
        <v>23425.6705</v>
      </c>
      <c r="Q368" s="20">
        <f>(4676.88*($L$8))</f>
        <v>25021.307999999997</v>
      </c>
    </row>
    <row r="369" spans="1:17" ht="12.75" customHeight="1" x14ac:dyDescent="0.2">
      <c r="B369" s="6" t="s">
        <v>631</v>
      </c>
      <c r="C369" s="6" t="s">
        <v>292</v>
      </c>
      <c r="D369" s="6" t="s">
        <v>149</v>
      </c>
      <c r="E369" s="6" t="s">
        <v>256</v>
      </c>
      <c r="F369" s="6" t="s">
        <v>210</v>
      </c>
      <c r="G369" s="17" t="s">
        <v>152</v>
      </c>
      <c r="H369" s="20">
        <f>(3844.04*($L$8))</f>
        <v>20565.613999999998</v>
      </c>
      <c r="I369" s="20">
        <f>(3922.98*($L$8))</f>
        <v>20987.942999999999</v>
      </c>
      <c r="J369" s="20">
        <f>(3970.35*($L$8))</f>
        <v>21241.372499999998</v>
      </c>
      <c r="K369" s="20">
        <f>(4096.67*($L$8))</f>
        <v>21917.184499999999</v>
      </c>
      <c r="L369" s="20">
        <f>(4175.62*($L$8))</f>
        <v>22339.566999999999</v>
      </c>
      <c r="M369" s="20">
        <f>(4270.35*($L$8))</f>
        <v>22846.372500000001</v>
      </c>
      <c r="N369" s="20">
        <f>(4380.88*($L$8))</f>
        <v>23437.707999999999</v>
      </c>
      <c r="O369" s="20">
        <f>(4538.77*($L$8))</f>
        <v>24282.4195</v>
      </c>
      <c r="P369" s="20">
        <f>(4617.72*($L$8))</f>
        <v>24704.802</v>
      </c>
      <c r="Q369" s="20">
        <f>(4933.51*($L$8))</f>
        <v>26394.2785</v>
      </c>
    </row>
    <row r="370" spans="1:17" ht="12.75" customHeight="1" thickBot="1" x14ac:dyDescent="0.25">
      <c r="B370" s="6" t="s">
        <v>632</v>
      </c>
      <c r="C370" s="6" t="s">
        <v>273</v>
      </c>
      <c r="D370" s="6" t="s">
        <v>149</v>
      </c>
      <c r="E370" s="6" t="s">
        <v>256</v>
      </c>
      <c r="F370" s="6" t="s">
        <v>210</v>
      </c>
      <c r="G370" s="17" t="s">
        <v>166</v>
      </c>
      <c r="H370" s="20">
        <f>(4016.25*($L$8))</f>
        <v>21486.9375</v>
      </c>
      <c r="I370" s="20">
        <f>(4099.58*($L$8))</f>
        <v>21932.752999999997</v>
      </c>
      <c r="J370" s="20">
        <f>(4149.58*($L$8))</f>
        <v>22200.252999999997</v>
      </c>
      <c r="K370" s="20">
        <f>(4282.91*($L$8))</f>
        <v>22913.568499999998</v>
      </c>
      <c r="L370" s="20">
        <f>(4366.25*($L$8))</f>
        <v>23359.4375</v>
      </c>
      <c r="M370" s="20">
        <f>(4466.25*($L$8))</f>
        <v>23894.4375</v>
      </c>
      <c r="N370" s="20">
        <f>(4582.91*($L$8))</f>
        <v>24518.568499999998</v>
      </c>
      <c r="O370" s="20">
        <f>(4749.58*($L$8))</f>
        <v>25410.252999999997</v>
      </c>
      <c r="P370" s="20">
        <f>(4832.91*($L$8))</f>
        <v>25856.068499999998</v>
      </c>
      <c r="Q370" s="20">
        <f>(5166.25*($L$8))</f>
        <v>27639.437499999996</v>
      </c>
    </row>
    <row r="371" spans="1:17" ht="12.75" customHeight="1" thickBot="1" x14ac:dyDescent="0.25">
      <c r="B371" s="115" t="s">
        <v>633</v>
      </c>
      <c r="C371" s="116" t="s">
        <v>634</v>
      </c>
      <c r="D371" s="117"/>
      <c r="E371" s="117"/>
      <c r="F371" s="117"/>
      <c r="G371" s="118"/>
      <c r="H371" s="119">
        <f>550*$L$8</f>
        <v>2942.5</v>
      </c>
      <c r="I371" s="120"/>
      <c r="J371" s="120"/>
      <c r="K371" s="120"/>
      <c r="L371" s="120"/>
      <c r="M371" s="120"/>
      <c r="N371" s="120"/>
      <c r="O371" s="120"/>
      <c r="P371" s="120"/>
      <c r="Q371" s="121"/>
    </row>
    <row r="372" spans="1:17" ht="30" customHeight="1" x14ac:dyDescent="0.35">
      <c r="A372" s="6"/>
      <c r="B372" s="23" t="s">
        <v>635</v>
      </c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5"/>
    </row>
    <row r="373" spans="1:17" ht="12.75" customHeight="1" x14ac:dyDescent="0.2">
      <c r="A373" s="7" t="s">
        <v>6</v>
      </c>
      <c r="B373" s="8" t="s">
        <v>7</v>
      </c>
      <c r="C373" s="8" t="s">
        <v>8</v>
      </c>
      <c r="D373" s="8" t="s">
        <v>9</v>
      </c>
      <c r="E373" s="8" t="s">
        <v>10</v>
      </c>
      <c r="F373" s="8" t="s">
        <v>11</v>
      </c>
      <c r="G373" s="8" t="s">
        <v>12</v>
      </c>
      <c r="H373" s="8" t="s">
        <v>13</v>
      </c>
      <c r="I373" s="8" t="s">
        <v>14</v>
      </c>
      <c r="J373" s="8" t="s">
        <v>15</v>
      </c>
      <c r="K373" s="8" t="s">
        <v>16</v>
      </c>
      <c r="L373" s="8" t="s">
        <v>17</v>
      </c>
      <c r="M373" s="8" t="s">
        <v>18</v>
      </c>
      <c r="N373" s="8" t="s">
        <v>19</v>
      </c>
      <c r="O373" s="8" t="s">
        <v>20</v>
      </c>
      <c r="P373" s="8" t="s">
        <v>21</v>
      </c>
      <c r="Q373" s="8" t="s">
        <v>22</v>
      </c>
    </row>
    <row r="374" spans="1:17" ht="12.75" customHeight="1" x14ac:dyDescent="0.2">
      <c r="A374" s="6"/>
      <c r="B374" s="10" t="s">
        <v>636</v>
      </c>
      <c r="C374" s="20" t="s">
        <v>137</v>
      </c>
      <c r="D374" s="20" t="s">
        <v>274</v>
      </c>
      <c r="E374" s="20" t="s">
        <v>275</v>
      </c>
      <c r="F374" s="20" t="s">
        <v>276</v>
      </c>
      <c r="G374" s="20" t="s">
        <v>163</v>
      </c>
      <c r="H374" s="20">
        <f>(4128.89*(L8))</f>
        <v>22089.5615</v>
      </c>
      <c r="I374" s="20">
        <f>(4238.54*(L8))</f>
        <v>22676.188999999998</v>
      </c>
      <c r="J374" s="20">
        <f>(4304.33*(L8))</f>
        <v>23028.165499999999</v>
      </c>
      <c r="K374" s="20">
        <f>(4479.77*(L8))</f>
        <v>23966.769500000002</v>
      </c>
      <c r="L374" s="20">
        <f>(4589.42*(L8))</f>
        <v>24553.396999999997</v>
      </c>
      <c r="M374" s="20">
        <f>(4721*(L8))</f>
        <v>25257.35</v>
      </c>
      <c r="N374" s="20">
        <f>(4874.5*(L8))</f>
        <v>26078.574999999997</v>
      </c>
      <c r="O374" s="20">
        <f>(5093.8*(L8))</f>
        <v>27251.829999999998</v>
      </c>
      <c r="P374" s="20">
        <f>(5203.45*(L8))</f>
        <v>27838.457499999997</v>
      </c>
      <c r="Q374" s="20">
        <f>(5642.05*(L8))</f>
        <v>30184.967499999999</v>
      </c>
    </row>
    <row r="375" spans="1:17" ht="12.75" customHeight="1" x14ac:dyDescent="0.2">
      <c r="A375" s="6"/>
      <c r="B375" s="10" t="s">
        <v>637</v>
      </c>
      <c r="C375" s="20" t="s">
        <v>292</v>
      </c>
      <c r="D375" s="20" t="s">
        <v>274</v>
      </c>
      <c r="E375" s="20" t="s">
        <v>275</v>
      </c>
      <c r="F375" s="20" t="s">
        <v>276</v>
      </c>
      <c r="G375" s="20" t="s">
        <v>185</v>
      </c>
      <c r="H375" s="20">
        <f>(4380.56*(L8))</f>
        <v>23435.995999999999</v>
      </c>
      <c r="I375" s="20">
        <f>(4498.98*(L8))</f>
        <v>24069.542999999998</v>
      </c>
      <c r="J375" s="20">
        <f>(4570.03*(L8))</f>
        <v>24449.660499999998</v>
      </c>
      <c r="K375" s="20">
        <f>(4759.51*(L8))</f>
        <v>25463.378499999999</v>
      </c>
      <c r="L375" s="20">
        <f>(4877.93*(L8))</f>
        <v>26096.925500000001</v>
      </c>
      <c r="M375" s="20">
        <f>(5020.03*(L8))</f>
        <v>26857.160499999998</v>
      </c>
      <c r="N375" s="20">
        <f>(5185.82*(L8))</f>
        <v>27744.136999999995</v>
      </c>
      <c r="O375" s="20">
        <f>(5422.66*(L8))</f>
        <v>29011.230999999996</v>
      </c>
      <c r="P375" s="20">
        <f>(5541.09*(L8))</f>
        <v>29644.8315</v>
      </c>
      <c r="Q375" s="20">
        <f>(6014.77*(L8))</f>
        <v>32179.019499999999</v>
      </c>
    </row>
    <row r="376" spans="1:17" ht="12.75" customHeight="1" x14ac:dyDescent="0.2">
      <c r="A376" s="6"/>
      <c r="B376" s="10" t="s">
        <v>638</v>
      </c>
      <c r="C376" s="20" t="s">
        <v>273</v>
      </c>
      <c r="D376" s="20" t="s">
        <v>274</v>
      </c>
      <c r="E376" s="20" t="s">
        <v>275</v>
      </c>
      <c r="F376" s="20" t="s">
        <v>276</v>
      </c>
      <c r="G376" s="20" t="s">
        <v>421</v>
      </c>
      <c r="H376" s="20">
        <f>(4499.18*(L8))</f>
        <v>24070.613000000001</v>
      </c>
      <c r="I376" s="20">
        <f>(4626.37*(L8))</f>
        <v>24751.079499999996</v>
      </c>
      <c r="J376" s="20">
        <f>(4702.69*(L8))</f>
        <v>25159.391499999998</v>
      </c>
      <c r="K376" s="20">
        <f>(4906.2*(L8))</f>
        <v>26248.17</v>
      </c>
      <c r="L376" s="20">
        <f>(5033.39*(L8))</f>
        <v>26928.636500000001</v>
      </c>
      <c r="M376" s="20">
        <f>(5186.02*(L8))</f>
        <v>27745.207000000002</v>
      </c>
      <c r="N376" s="20">
        <f>(5364.09*(L8))</f>
        <v>28697.8815</v>
      </c>
      <c r="O376" s="20">
        <f>(5618.48*(L8))</f>
        <v>30058.867999999995</v>
      </c>
      <c r="P376" s="20">
        <f>(5745.67*(L8))</f>
        <v>30739.334499999997</v>
      </c>
      <c r="Q376" s="20">
        <f>(6254.44*(L8))</f>
        <v>33461.253999999994</v>
      </c>
    </row>
    <row r="377" spans="1:17" ht="12.75" customHeight="1" x14ac:dyDescent="0.2">
      <c r="A377" s="6"/>
      <c r="B377" s="10" t="s">
        <v>639</v>
      </c>
      <c r="C377" s="20" t="s">
        <v>278</v>
      </c>
      <c r="D377" s="20" t="s">
        <v>274</v>
      </c>
      <c r="E377" s="20" t="s">
        <v>275</v>
      </c>
      <c r="F377" s="20" t="s">
        <v>276</v>
      </c>
      <c r="G377" s="20" t="s">
        <v>237</v>
      </c>
      <c r="H377" s="20">
        <f>(4706.5*(L8))</f>
        <v>25179.774999999998</v>
      </c>
      <c r="I377" s="20">
        <f>(4846.85*(L8))</f>
        <v>25930.647499999999</v>
      </c>
      <c r="J377" s="20">
        <f>(4931.07*(L8))</f>
        <v>26381.224499999997</v>
      </c>
      <c r="K377" s="20">
        <f>(5155.63*(L8))</f>
        <v>27582.620499999997</v>
      </c>
      <c r="L377" s="20">
        <f>(5295.98*(L8))</f>
        <v>28333.492999999995</v>
      </c>
      <c r="M377" s="20">
        <f>(5464.4*(L8))</f>
        <v>29234.539999999997</v>
      </c>
      <c r="N377" s="20">
        <f>(5660.89*(L8))</f>
        <v>30285.761500000001</v>
      </c>
      <c r="O377" s="20">
        <f>(5941.59*(L8))</f>
        <v>31787.5065</v>
      </c>
      <c r="P377" s="20">
        <f>(6081.94*(L8))</f>
        <v>32538.378999999997</v>
      </c>
      <c r="Q377" s="20">
        <f>(6643.35*(L8))</f>
        <v>35541.922500000001</v>
      </c>
    </row>
    <row r="378" spans="1:17" ht="12.75" customHeight="1" x14ac:dyDescent="0.2">
      <c r="A378" s="6"/>
      <c r="B378" s="10" t="s">
        <v>640</v>
      </c>
      <c r="C378" s="20" t="s">
        <v>280</v>
      </c>
      <c r="D378" s="20" t="s">
        <v>274</v>
      </c>
      <c r="E378" s="20" t="s">
        <v>275</v>
      </c>
      <c r="F378" s="20" t="s">
        <v>276</v>
      </c>
      <c r="G378" s="20" t="s">
        <v>289</v>
      </c>
      <c r="H378" s="20">
        <f>(4902.88*(L8))</f>
        <v>26230.407999999999</v>
      </c>
      <c r="I378" s="20">
        <f>(5052*(L8))</f>
        <v>27028.199999999997</v>
      </c>
      <c r="J378" s="20">
        <f>(5141.48*(L8))</f>
        <v>27506.917999999994</v>
      </c>
      <c r="K378" s="20">
        <f>(5380.07*(L8))</f>
        <v>28783.374499999998</v>
      </c>
      <c r="L378" s="20">
        <f>(5529.19*(L8))</f>
        <v>29581.166499999996</v>
      </c>
      <c r="M378" s="20">
        <f>(5708.14*(L8))</f>
        <v>30538.548999999999</v>
      </c>
      <c r="N378" s="20">
        <f>(5916.91*(L8))</f>
        <v>31655.468499999995</v>
      </c>
      <c r="O378" s="20">
        <f>(6215.16*(L8))</f>
        <v>33251.106</v>
      </c>
      <c r="P378" s="20">
        <f>(6364.28*(L8))</f>
        <v>34048.897999999994</v>
      </c>
      <c r="Q378" s="20">
        <f>(6960.77*(L8))</f>
        <v>37240.119500000001</v>
      </c>
    </row>
    <row r="379" spans="1:17" ht="12.75" customHeight="1" x14ac:dyDescent="0.2">
      <c r="A379" s="6"/>
      <c r="B379" s="10" t="s">
        <v>641</v>
      </c>
      <c r="C379" s="20" t="s">
        <v>236</v>
      </c>
      <c r="D379" s="20" t="s">
        <v>274</v>
      </c>
      <c r="E379" s="20" t="s">
        <v>275</v>
      </c>
      <c r="F379" s="20" t="s">
        <v>276</v>
      </c>
      <c r="G379" s="20" t="s">
        <v>243</v>
      </c>
      <c r="H379" s="20">
        <f>(5092.87*(L8))</f>
        <v>27246.854499999998</v>
      </c>
      <c r="I379" s="20">
        <f>(5250.76*(L8))</f>
        <v>28091.565999999999</v>
      </c>
      <c r="J379" s="20">
        <f>(5345.5*(L8))</f>
        <v>28598.424999999999</v>
      </c>
      <c r="K379" s="20">
        <f>(5598.13*(L8))</f>
        <v>29949.995499999997</v>
      </c>
      <c r="L379" s="20">
        <f>(5756.03*(L8))</f>
        <v>30794.760499999997</v>
      </c>
      <c r="M379" s="20">
        <f>(5945.5*(L8))</f>
        <v>31808.424999999999</v>
      </c>
      <c r="N379" s="20">
        <f>(6166.55*(L8))</f>
        <v>32991.042499999996</v>
      </c>
      <c r="O379" s="20">
        <f>(6482.34*(L8))</f>
        <v>34680.519</v>
      </c>
      <c r="P379" s="20">
        <f>(6640.24*(L8))</f>
        <v>35525.284</v>
      </c>
      <c r="Q379" s="20">
        <f>(7271.82*(L8))</f>
        <v>38904.236999999994</v>
      </c>
    </row>
    <row r="380" spans="1:17" ht="30" customHeight="1" x14ac:dyDescent="0.35">
      <c r="A380" s="6"/>
      <c r="B380" s="23" t="s">
        <v>642</v>
      </c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5"/>
    </row>
    <row r="381" spans="1:17" ht="12.75" customHeight="1" x14ac:dyDescent="0.2">
      <c r="A381" s="7" t="s">
        <v>6</v>
      </c>
      <c r="B381" s="8" t="s">
        <v>7</v>
      </c>
      <c r="C381" s="8" t="s">
        <v>8</v>
      </c>
      <c r="D381" s="8" t="s">
        <v>9</v>
      </c>
      <c r="E381" s="8" t="s">
        <v>10</v>
      </c>
      <c r="F381" s="8" t="s">
        <v>11</v>
      </c>
      <c r="G381" s="8" t="s">
        <v>12</v>
      </c>
      <c r="H381" s="8" t="s">
        <v>13</v>
      </c>
      <c r="I381" s="8" t="s">
        <v>14</v>
      </c>
      <c r="J381" s="8" t="s">
        <v>15</v>
      </c>
      <c r="K381" s="8" t="s">
        <v>16</v>
      </c>
      <c r="L381" s="8" t="s">
        <v>17</v>
      </c>
      <c r="M381" s="8" t="s">
        <v>18</v>
      </c>
      <c r="N381" s="8" t="s">
        <v>19</v>
      </c>
      <c r="O381" s="8" t="s">
        <v>20</v>
      </c>
      <c r="P381" s="8" t="s">
        <v>21</v>
      </c>
      <c r="Q381" s="8" t="s">
        <v>22</v>
      </c>
    </row>
    <row r="382" spans="1:17" ht="12.75" customHeight="1" x14ac:dyDescent="0.2">
      <c r="A382" s="6"/>
      <c r="B382" s="10" t="s">
        <v>643</v>
      </c>
      <c r="C382" s="20" t="s">
        <v>40</v>
      </c>
      <c r="D382" s="20" t="s">
        <v>644</v>
      </c>
      <c r="E382" s="20" t="s">
        <v>645</v>
      </c>
      <c r="F382" s="20" t="s">
        <v>646</v>
      </c>
      <c r="G382" s="20" t="s">
        <v>234</v>
      </c>
      <c r="H382" s="20">
        <f>(7442.82*(L8))</f>
        <v>39819.086999999992</v>
      </c>
      <c r="I382" s="20">
        <f>(7587.56*(L8))</f>
        <v>40593.445999999996</v>
      </c>
      <c r="J382" s="20">
        <f>(7674.4*(L8))</f>
        <v>41058.039999999994</v>
      </c>
      <c r="K382" s="20">
        <f>(7905.98*(L8))</f>
        <v>42296.992999999995</v>
      </c>
      <c r="L382" s="20">
        <f>(8050.72*(L8))</f>
        <v>43071.351999999999</v>
      </c>
      <c r="M382" s="20">
        <f>(8224.4*(L8))</f>
        <v>44000.539999999994</v>
      </c>
      <c r="N382" s="20">
        <f>(8427.03*(L8))</f>
        <v>45084.610500000003</v>
      </c>
      <c r="O382" s="20">
        <f>(8716.51*(L8))</f>
        <v>46633.328499999996</v>
      </c>
      <c r="P382" s="20">
        <f>(8861.24*(L8))</f>
        <v>47407.633999999998</v>
      </c>
      <c r="Q382" s="20">
        <f>(9440.19*(L8))</f>
        <v>50505.016499999998</v>
      </c>
    </row>
    <row r="383" spans="1:17" ht="12.75" customHeight="1" x14ac:dyDescent="0.2">
      <c r="A383" s="6"/>
      <c r="B383" s="10" t="s">
        <v>647</v>
      </c>
      <c r="C383" s="20" t="s">
        <v>273</v>
      </c>
      <c r="D383" s="20" t="s">
        <v>644</v>
      </c>
      <c r="E383" s="20" t="s">
        <v>645</v>
      </c>
      <c r="F383" s="20" t="s">
        <v>646</v>
      </c>
      <c r="G383" s="20" t="s">
        <v>243</v>
      </c>
      <c r="H383" s="20">
        <f>(7730.99*(L8))</f>
        <v>41360.796499999997</v>
      </c>
      <c r="I383" s="20">
        <f>(7880.11*(L8))</f>
        <v>42158.588499999998</v>
      </c>
      <c r="J383" s="20">
        <f>(7969.58*(L8))</f>
        <v>42637.252999999997</v>
      </c>
      <c r="K383" s="20">
        <f>(8208.18*(L8))</f>
        <v>43913.762999999999</v>
      </c>
      <c r="L383" s="20">
        <f>(8357.3*(L8))</f>
        <v>44711.554999999993</v>
      </c>
      <c r="M383" s="20">
        <f>(8536.25*(L8))</f>
        <v>45668.9375</v>
      </c>
      <c r="N383" s="20">
        <f>(8745.02*(L8))</f>
        <v>46785.856999999996</v>
      </c>
      <c r="O383" s="20">
        <f>(9043.27*(L8))</f>
        <v>48381.494500000001</v>
      </c>
      <c r="P383" s="20">
        <f>(9192.39*(L8))</f>
        <v>49179.286499999995</v>
      </c>
      <c r="Q383" s="20">
        <f>(9788.88*(L8))</f>
        <v>52370.507999999994</v>
      </c>
    </row>
    <row r="384" spans="1:17" ht="12.75" customHeight="1" x14ac:dyDescent="0.2">
      <c r="A384" s="6"/>
      <c r="B384" s="10" t="s">
        <v>648</v>
      </c>
      <c r="C384" s="20" t="s">
        <v>168</v>
      </c>
      <c r="D384" s="20" t="s">
        <v>644</v>
      </c>
      <c r="E384" s="20" t="s">
        <v>645</v>
      </c>
      <c r="F384" s="20" t="s">
        <v>646</v>
      </c>
      <c r="G384" s="20" t="s">
        <v>283</v>
      </c>
      <c r="H384" s="20">
        <f>(8202.88*(L8))</f>
        <v>43885.407999999996</v>
      </c>
      <c r="I384" s="20">
        <f>(8360.78*(L8))</f>
        <v>44730.173000000003</v>
      </c>
      <c r="J384" s="20">
        <f>(8455.51*(L8))</f>
        <v>45236.978499999997</v>
      </c>
      <c r="K384" s="20">
        <f>(8708.15*(L8))</f>
        <v>46588.602499999994</v>
      </c>
      <c r="L384" s="20">
        <f>(8866.04*(L8))</f>
        <v>47433.313999999998</v>
      </c>
      <c r="M384" s="20">
        <f>(9055.51*(L8))</f>
        <v>48446.978499999997</v>
      </c>
      <c r="N384" s="20">
        <f>(9276.57*(L8))</f>
        <v>49629.649499999992</v>
      </c>
      <c r="O384" s="20">
        <f>(9592.36*(L8))</f>
        <v>51319.125999999997</v>
      </c>
      <c r="P384" s="20">
        <f>(9750.25*(L8))</f>
        <v>52163.837499999994</v>
      </c>
      <c r="Q384" s="20">
        <f>(10381.83*(L8))</f>
        <v>55542.790499999996</v>
      </c>
    </row>
    <row r="385" spans="1:17" ht="12.75" customHeight="1" x14ac:dyDescent="0.2">
      <c r="A385" s="6"/>
      <c r="B385" s="10" t="s">
        <v>649</v>
      </c>
      <c r="C385" s="20" t="s">
        <v>236</v>
      </c>
      <c r="D385" s="20" t="s">
        <v>644</v>
      </c>
      <c r="E385" s="20" t="s">
        <v>645</v>
      </c>
      <c r="F385" s="20" t="s">
        <v>646</v>
      </c>
      <c r="G385" s="20" t="s">
        <v>286</v>
      </c>
      <c r="H385" s="20">
        <f>(8551.31*(L8))</f>
        <v>45749.508499999996</v>
      </c>
      <c r="I385" s="20">
        <f>(8717.98*(L8))</f>
        <v>46641.192999999992</v>
      </c>
      <c r="J385" s="20">
        <f>(8817.98*(L8))</f>
        <v>47176.192999999992</v>
      </c>
      <c r="K385" s="20">
        <f>(9084.64*(L8))</f>
        <v>48602.823999999993</v>
      </c>
      <c r="L385" s="20">
        <f>(9251.31*(L8))</f>
        <v>49494.508499999996</v>
      </c>
      <c r="M385" s="20">
        <f>(9451.31*(L8))</f>
        <v>50564.508499999996</v>
      </c>
      <c r="N385" s="20">
        <f>(9684.64*(L8))</f>
        <v>51812.823999999993</v>
      </c>
      <c r="O385" s="20">
        <f>(10017.98*(L8))</f>
        <v>53596.192999999992</v>
      </c>
      <c r="P385" s="20">
        <f>(10184.64*(L8))</f>
        <v>54487.823999999993</v>
      </c>
      <c r="Q385" s="20">
        <f>(10851.31*(L8))</f>
        <v>58054.508499999996</v>
      </c>
    </row>
    <row r="386" spans="1:17" ht="30" customHeight="1" x14ac:dyDescent="0.35">
      <c r="A386" s="6"/>
      <c r="B386" s="23" t="s">
        <v>650</v>
      </c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5"/>
    </row>
    <row r="387" spans="1:17" ht="12.75" customHeight="1" x14ac:dyDescent="0.2">
      <c r="A387" s="7" t="s">
        <v>6</v>
      </c>
      <c r="B387" s="8" t="s">
        <v>7</v>
      </c>
      <c r="C387" s="8" t="s">
        <v>8</v>
      </c>
      <c r="D387" s="8" t="s">
        <v>9</v>
      </c>
      <c r="E387" s="8" t="s">
        <v>10</v>
      </c>
      <c r="F387" s="8" t="s">
        <v>11</v>
      </c>
      <c r="G387" s="8" t="s">
        <v>12</v>
      </c>
      <c r="H387" s="8" t="s">
        <v>13</v>
      </c>
      <c r="I387" s="8" t="s">
        <v>14</v>
      </c>
      <c r="J387" s="8" t="s">
        <v>15</v>
      </c>
      <c r="K387" s="8" t="s">
        <v>16</v>
      </c>
      <c r="L387" s="8" t="s">
        <v>17</v>
      </c>
      <c r="M387" s="8" t="s">
        <v>18</v>
      </c>
      <c r="N387" s="8" t="s">
        <v>19</v>
      </c>
      <c r="O387" s="8" t="s">
        <v>20</v>
      </c>
      <c r="P387" s="8" t="s">
        <v>21</v>
      </c>
      <c r="Q387" s="8" t="s">
        <v>22</v>
      </c>
    </row>
    <row r="388" spans="1:17" ht="12.75" customHeight="1" x14ac:dyDescent="0.2">
      <c r="A388" s="6"/>
      <c r="B388" s="10" t="s">
        <v>651</v>
      </c>
      <c r="C388" s="20" t="s">
        <v>137</v>
      </c>
      <c r="D388" s="20" t="s">
        <v>149</v>
      </c>
      <c r="E388" s="20" t="s">
        <v>256</v>
      </c>
      <c r="F388" s="20" t="s">
        <v>652</v>
      </c>
      <c r="G388" s="20" t="s">
        <v>182</v>
      </c>
      <c r="H388" s="20">
        <f>(4122.43*(L8))</f>
        <v>22055.000499999998</v>
      </c>
      <c r="I388" s="20">
        <f>(4227.69*(L8))</f>
        <v>22618.141499999998</v>
      </c>
      <c r="J388" s="20">
        <f>(4290.85*(L8))</f>
        <v>22956.047500000001</v>
      </c>
      <c r="K388" s="20">
        <f>(4459.27*(L8))</f>
        <v>23857.094499999999</v>
      </c>
      <c r="L388" s="20">
        <f>(4564.54*(L8))</f>
        <v>24420.288999999997</v>
      </c>
      <c r="M388" s="20">
        <f>(4690.85*(L8))</f>
        <v>25096.047500000001</v>
      </c>
      <c r="N388" s="20">
        <f>(4838.22*(L8))</f>
        <v>25884.476999999999</v>
      </c>
      <c r="O388" s="20">
        <f>(5048.75*(L8))</f>
        <v>27010.8125</v>
      </c>
      <c r="P388" s="20">
        <f>(5154.01*(L8))</f>
        <v>27573.9535</v>
      </c>
      <c r="Q388" s="20">
        <f>(5575.06*(L8))</f>
        <v>29826.571</v>
      </c>
    </row>
    <row r="389" spans="1:17" ht="12.75" customHeight="1" x14ac:dyDescent="0.2">
      <c r="A389" s="6"/>
      <c r="B389" s="10" t="s">
        <v>653</v>
      </c>
      <c r="C389" s="20" t="s">
        <v>292</v>
      </c>
      <c r="D389" s="20" t="s">
        <v>149</v>
      </c>
      <c r="E389" s="20" t="s">
        <v>256</v>
      </c>
      <c r="F389" s="20" t="s">
        <v>652</v>
      </c>
      <c r="G389" s="20" t="s">
        <v>229</v>
      </c>
      <c r="H389" s="20">
        <f>(4268*(L8))</f>
        <v>22833.8</v>
      </c>
      <c r="I389" s="20">
        <f>(4382*(L8))</f>
        <v>23443.699999999997</v>
      </c>
      <c r="J389" s="20">
        <f>(4450*(L8))</f>
        <v>23807.5</v>
      </c>
      <c r="K389" s="20">
        <f>(4633*(L8))</f>
        <v>24786.55</v>
      </c>
      <c r="L389" s="20">
        <f>(4747*(L8))</f>
        <v>25396.449999999997</v>
      </c>
      <c r="M389" s="20">
        <f>(4884*(L8))</f>
        <v>26129.399999999998</v>
      </c>
      <c r="N389" s="20">
        <f>5043*(L8)</f>
        <v>26980.05</v>
      </c>
      <c r="O389" s="20">
        <f>(5272*(L8))</f>
        <v>28205.199999999997</v>
      </c>
      <c r="P389" s="20">
        <f>(5385*(L8))</f>
        <v>28809.749999999996</v>
      </c>
      <c r="Q389" s="20">
        <f>(5841*(L8))</f>
        <v>31249.35</v>
      </c>
    </row>
    <row r="390" spans="1:17" ht="12.75" customHeight="1" x14ac:dyDescent="0.2">
      <c r="A390" s="6"/>
      <c r="B390" s="10" t="s">
        <v>654</v>
      </c>
      <c r="C390" s="20" t="s">
        <v>273</v>
      </c>
      <c r="D390" s="20" t="s">
        <v>149</v>
      </c>
      <c r="E390" s="20" t="s">
        <v>256</v>
      </c>
      <c r="F390" s="20" t="s">
        <v>652</v>
      </c>
      <c r="G390" s="20" t="s">
        <v>231</v>
      </c>
      <c r="H390" s="20">
        <f>(4492.86*(L8))</f>
        <v>24036.800999999996</v>
      </c>
      <c r="I390" s="20">
        <f>(4620.06*(L8))</f>
        <v>24717.321</v>
      </c>
      <c r="J390" s="20">
        <f>(4696.37*(L8))</f>
        <v>25125.579499999996</v>
      </c>
      <c r="K390" s="20">
        <f>(4899.88*(L8))</f>
        <v>26214.358</v>
      </c>
      <c r="L390" s="20">
        <f>(5027.07*(L8))</f>
        <v>26894.824499999995</v>
      </c>
      <c r="M390" s="20">
        <f>(5179.7*(L8))</f>
        <v>27711.394999999997</v>
      </c>
      <c r="N390" s="20">
        <f>(5357.77*(L8))</f>
        <v>28664.069500000001</v>
      </c>
      <c r="O390" s="20">
        <f>(5612.16*(L8))</f>
        <v>30025.055999999997</v>
      </c>
      <c r="P390" s="20">
        <f>(5739.35*(L8))</f>
        <v>30705.522499999999</v>
      </c>
      <c r="Q390" s="20">
        <f>(6248.13*(L8))</f>
        <v>33427.495499999997</v>
      </c>
    </row>
    <row r="391" spans="1:17" ht="12.75" customHeight="1" x14ac:dyDescent="0.2">
      <c r="A391" s="6"/>
      <c r="B391" s="10" t="s">
        <v>655</v>
      </c>
      <c r="C391" s="20" t="s">
        <v>278</v>
      </c>
      <c r="D391" s="20" t="s">
        <v>149</v>
      </c>
      <c r="E391" s="20" t="s">
        <v>256</v>
      </c>
      <c r="F391" s="20" t="s">
        <v>652</v>
      </c>
      <c r="G391" s="20" t="s">
        <v>237</v>
      </c>
      <c r="H391" s="20">
        <f>(4681.59*(L8))</f>
        <v>25046.5065</v>
      </c>
      <c r="I391" s="20">
        <f>(4817.56*(L8))</f>
        <v>25773.946</v>
      </c>
      <c r="J391" s="20">
        <f>(4899.14*(L8))</f>
        <v>26210.399000000001</v>
      </c>
      <c r="K391" s="20">
        <f>(5116.68*(L8))</f>
        <v>27374.238000000001</v>
      </c>
      <c r="L391" s="20">
        <f>(5252.65*(L8))</f>
        <v>28101.677499999998</v>
      </c>
      <c r="M391" s="20">
        <f>(5415.8*(L8))</f>
        <v>28974.53</v>
      </c>
      <c r="N391" s="20">
        <f>(5606.15*(L8))</f>
        <v>29992.902499999997</v>
      </c>
      <c r="O391" s="20">
        <f>(5878.08*(L8))</f>
        <v>31447.727999999999</v>
      </c>
      <c r="P391" s="20">
        <f>(6014.05*(L8))</f>
        <v>32175.1675</v>
      </c>
      <c r="Q391" s="20">
        <f>(6557.91*(L8))</f>
        <v>35084.818499999994</v>
      </c>
    </row>
    <row r="392" spans="1:17" ht="12.75" customHeight="1" x14ac:dyDescent="0.2">
      <c r="A392" s="6"/>
      <c r="B392" s="10" t="s">
        <v>656</v>
      </c>
      <c r="C392" s="20" t="s">
        <v>280</v>
      </c>
      <c r="D392" s="20" t="s">
        <v>149</v>
      </c>
      <c r="E392" s="20" t="s">
        <v>256</v>
      </c>
      <c r="F392" s="20" t="s">
        <v>652</v>
      </c>
      <c r="G392" s="20" t="s">
        <v>234</v>
      </c>
      <c r="H392" s="20">
        <f>(4925.2*(L8))</f>
        <v>26349.819999999996</v>
      </c>
      <c r="I392" s="20">
        <f>(5069.94*(L8))</f>
        <v>27124.178999999996</v>
      </c>
      <c r="J392" s="20">
        <f>(5156.78*(L8))</f>
        <v>27588.772999999997</v>
      </c>
      <c r="K392" s="20">
        <f>(5388.36*(L8))</f>
        <v>28827.725999999995</v>
      </c>
      <c r="L392" s="20">
        <f>(5533.1*(L8))</f>
        <v>29602.084999999999</v>
      </c>
      <c r="M392" s="20">
        <f>(5706.78*(L8))</f>
        <v>30531.272999999997</v>
      </c>
      <c r="N392" s="20">
        <f>(5909.41*(L8))</f>
        <v>31615.343499999995</v>
      </c>
      <c r="O392" s="20">
        <f>(6198.88*(L8))</f>
        <v>33164.008000000002</v>
      </c>
      <c r="P392" s="20">
        <f>(6343.62*(L8))</f>
        <v>33938.366999999998</v>
      </c>
      <c r="Q392" s="20">
        <f>(6922.57*(L8))</f>
        <v>37035.749499999998</v>
      </c>
    </row>
    <row r="393" spans="1:17" ht="12.75" customHeight="1" x14ac:dyDescent="0.2">
      <c r="A393" s="6"/>
      <c r="B393" s="10" t="s">
        <v>657</v>
      </c>
      <c r="C393" s="20" t="s">
        <v>236</v>
      </c>
      <c r="D393" s="20" t="s">
        <v>149</v>
      </c>
      <c r="E393" s="20" t="s">
        <v>256</v>
      </c>
      <c r="F393" s="20" t="s">
        <v>652</v>
      </c>
      <c r="G393" s="20" t="s">
        <v>243</v>
      </c>
      <c r="H393" s="20">
        <f>(5165.33*(L8))</f>
        <v>27634.515499999998</v>
      </c>
      <c r="I393" s="20">
        <f>(5318.84*(L8))</f>
        <v>28455.793999999998</v>
      </c>
      <c r="J393" s="20">
        <f>(5410.95*(L8))</f>
        <v>28948.582499999997</v>
      </c>
      <c r="K393" s="20">
        <f>(5656.56*(L8))</f>
        <v>30262.596000000001</v>
      </c>
      <c r="L393" s="20">
        <f>(5810.07*(L8))</f>
        <v>31083.874499999998</v>
      </c>
      <c r="M393" s="20">
        <f>(5994.28*(L8))</f>
        <v>32069.397999999997</v>
      </c>
      <c r="N393" s="20">
        <f>(6209.19*(L8))</f>
        <v>33219.166499999992</v>
      </c>
      <c r="O393" s="20">
        <f>(6516.21*(L8))</f>
        <v>34861.7235</v>
      </c>
      <c r="P393" s="20">
        <f>(6669.72*(L8))</f>
        <v>35683.002</v>
      </c>
      <c r="Q393" s="20">
        <f>(7283.76*(L8))</f>
        <v>38968.116000000002</v>
      </c>
    </row>
    <row r="394" spans="1:17" ht="30" customHeight="1" x14ac:dyDescent="0.3">
      <c r="A394" s="6"/>
      <c r="B394" s="35" t="s">
        <v>1440</v>
      </c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7"/>
    </row>
    <row r="395" spans="1:17" ht="12.75" customHeight="1" x14ac:dyDescent="0.2">
      <c r="A395" s="7" t="s">
        <v>6</v>
      </c>
      <c r="B395" s="8" t="s">
        <v>7</v>
      </c>
      <c r="C395" s="8" t="s">
        <v>8</v>
      </c>
      <c r="D395" s="8" t="s">
        <v>9</v>
      </c>
      <c r="E395" s="8" t="s">
        <v>10</v>
      </c>
      <c r="F395" s="8" t="s">
        <v>11</v>
      </c>
      <c r="G395" s="8" t="s">
        <v>12</v>
      </c>
      <c r="H395" s="8" t="s">
        <v>13</v>
      </c>
      <c r="I395" s="8" t="s">
        <v>14</v>
      </c>
      <c r="J395" s="8" t="s">
        <v>15</v>
      </c>
      <c r="K395" s="8" t="s">
        <v>16</v>
      </c>
      <c r="L395" s="8" t="s">
        <v>17</v>
      </c>
      <c r="M395" s="8" t="s">
        <v>18</v>
      </c>
      <c r="N395" s="8" t="s">
        <v>19</v>
      </c>
      <c r="O395" s="8" t="s">
        <v>20</v>
      </c>
      <c r="P395" s="8" t="s">
        <v>21</v>
      </c>
      <c r="Q395" s="8" t="s">
        <v>22</v>
      </c>
    </row>
    <row r="396" spans="1:17" ht="12.75" customHeight="1" x14ac:dyDescent="0.2">
      <c r="A396" s="6"/>
      <c r="B396" s="10" t="s">
        <v>658</v>
      </c>
      <c r="C396" s="20" t="s">
        <v>659</v>
      </c>
      <c r="D396" s="20" t="s">
        <v>660</v>
      </c>
      <c r="E396" s="20" t="s">
        <v>275</v>
      </c>
      <c r="F396" s="20" t="s">
        <v>246</v>
      </c>
      <c r="G396" s="20" t="s">
        <v>42</v>
      </c>
      <c r="H396" s="20">
        <f>(4634.39*(L8))</f>
        <v>24793.986499999999</v>
      </c>
      <c r="I396" s="20">
        <f>(4704.56*(L8))</f>
        <v>25169.396000000001</v>
      </c>
      <c r="J396" s="20">
        <f>(4746.67*(L8))</f>
        <v>25394.684499999999</v>
      </c>
      <c r="K396" s="20">
        <f>(4858.95*(L8))</f>
        <v>25995.382499999996</v>
      </c>
      <c r="L396" s="20">
        <f>(4929.12*(L8))</f>
        <v>26370.791999999998</v>
      </c>
      <c r="M396" s="20">
        <f>(5013.33*(L8))</f>
        <v>26821.315499999997</v>
      </c>
      <c r="N396" s="20">
        <f>(5111.58*(L8))</f>
        <v>27346.952999999998</v>
      </c>
      <c r="O396" s="20">
        <f>(5251.93*(L8))</f>
        <v>28097.825499999999</v>
      </c>
      <c r="P396" s="20">
        <f>(5322.11*(L8))</f>
        <v>28473.288499999995</v>
      </c>
      <c r="Q396" s="20">
        <f>(5602.81*(L8))</f>
        <v>29975.033500000001</v>
      </c>
    </row>
    <row r="397" spans="1:17" ht="12.75" customHeight="1" x14ac:dyDescent="0.2">
      <c r="A397" s="6"/>
      <c r="B397" s="10" t="s">
        <v>661</v>
      </c>
      <c r="C397" s="20" t="s">
        <v>662</v>
      </c>
      <c r="D397" s="20" t="s">
        <v>660</v>
      </c>
      <c r="E397" s="20" t="s">
        <v>275</v>
      </c>
      <c r="F397" s="20" t="s">
        <v>246</v>
      </c>
      <c r="G397" s="20" t="s">
        <v>262</v>
      </c>
      <c r="H397" s="20">
        <f>(4795.21*(L8))</f>
        <v>25654.373499999998</v>
      </c>
      <c r="I397" s="20">
        <f>(4869.77*(L8))</f>
        <v>26053.269500000002</v>
      </c>
      <c r="J397" s="20">
        <f>(4914.51*(L8))</f>
        <v>26292.628499999999</v>
      </c>
      <c r="K397" s="20">
        <f>(5033.81*(L8))</f>
        <v>26930.8835</v>
      </c>
      <c r="L397" s="20">
        <f>(5108.37*(L8))</f>
        <v>27329.779499999997</v>
      </c>
      <c r="M397" s="20">
        <f>(5197.84*(L8))</f>
        <v>27808.444</v>
      </c>
      <c r="N397" s="20">
        <f>(5302.23*(L8))</f>
        <v>28366.930499999995</v>
      </c>
      <c r="O397" s="20">
        <f>(5451.35*(L8))</f>
        <v>29164.7225</v>
      </c>
      <c r="P397" s="20">
        <f>(5525.91*(L8))</f>
        <v>29563.618499999997</v>
      </c>
      <c r="Q397" s="20">
        <f>(5824.16*(L8))</f>
        <v>31159.255999999998</v>
      </c>
    </row>
    <row r="398" spans="1:17" ht="12.75" customHeight="1" x14ac:dyDescent="0.2">
      <c r="A398" s="6"/>
      <c r="B398" s="10" t="s">
        <v>663</v>
      </c>
      <c r="C398" s="20" t="s">
        <v>664</v>
      </c>
      <c r="D398" s="20" t="s">
        <v>660</v>
      </c>
      <c r="E398" s="20" t="s">
        <v>275</v>
      </c>
      <c r="F398" s="20" t="s">
        <v>246</v>
      </c>
      <c r="G398" s="20" t="s">
        <v>152</v>
      </c>
      <c r="H398" s="20">
        <f>(4933*(L8))</f>
        <v>26391.55</v>
      </c>
      <c r="I398" s="20">
        <f>(5011.95*(L8))</f>
        <v>26813.932499999999</v>
      </c>
      <c r="J398" s="20">
        <f>(5059.32*(L8))</f>
        <v>27067.361999999997</v>
      </c>
      <c r="K398" s="20">
        <f>(5185.63*(L8))</f>
        <v>27743.120499999997</v>
      </c>
      <c r="L398" s="20">
        <f>(5264.58*(L8))</f>
        <v>28165.502999999997</v>
      </c>
      <c r="M398" s="20">
        <f>(5359.32*(L8))</f>
        <v>28672.361999999997</v>
      </c>
      <c r="N398" s="20">
        <f>(5469.84*(L8))</f>
        <v>29263.644</v>
      </c>
      <c r="O398" s="20">
        <f>(5627.74*(L8))</f>
        <v>30108.408999999996</v>
      </c>
      <c r="P398" s="20">
        <f>(5706.69*(L8))</f>
        <v>30530.791499999996</v>
      </c>
      <c r="Q398" s="20">
        <f>(6022.48*(L8))</f>
        <v>32220.267999999996</v>
      </c>
    </row>
    <row r="399" spans="1:17" ht="12.75" customHeight="1" x14ac:dyDescent="0.2">
      <c r="A399" s="6"/>
      <c r="B399" s="10" t="s">
        <v>665</v>
      </c>
      <c r="C399" s="20" t="s">
        <v>666</v>
      </c>
      <c r="D399" s="20" t="s">
        <v>660</v>
      </c>
      <c r="E399" s="20" t="s">
        <v>275</v>
      </c>
      <c r="F399" s="20" t="s">
        <v>246</v>
      </c>
      <c r="G399" s="20" t="s">
        <v>166</v>
      </c>
      <c r="H399" s="20">
        <f>(5094.34*(L8))</f>
        <v>27254.718999999997</v>
      </c>
      <c r="I399" s="20">
        <f>(5177.68*(L8))</f>
        <v>27700.588</v>
      </c>
      <c r="J399" s="20">
        <f>(5227.68*(L8))</f>
        <v>27968.088</v>
      </c>
      <c r="K399" s="20">
        <f>(5361.01*(L8))</f>
        <v>28681.4035</v>
      </c>
      <c r="L399" s="20">
        <f>(5444.34*(L8))</f>
        <v>29127.218999999997</v>
      </c>
      <c r="M399" s="20">
        <f>(5544.34*(L8))</f>
        <v>29662.218999999997</v>
      </c>
      <c r="N399" s="20">
        <f>(5661.01*(L8))</f>
        <v>30286.4035</v>
      </c>
      <c r="O399" s="20">
        <f>(5827.68*(L8))</f>
        <v>31178.088</v>
      </c>
      <c r="P399" s="20">
        <f>(5911.01*(L8))</f>
        <v>31623.9035</v>
      </c>
      <c r="Q399" s="20">
        <f>(6244.34*(L8))</f>
        <v>33407.218999999997</v>
      </c>
    </row>
    <row r="400" spans="1:17" ht="12.75" customHeight="1" x14ac:dyDescent="0.2">
      <c r="A400" s="6"/>
      <c r="B400" s="10" t="s">
        <v>667</v>
      </c>
      <c r="C400" s="20" t="s">
        <v>668</v>
      </c>
      <c r="D400" s="20" t="s">
        <v>660</v>
      </c>
      <c r="E400" s="20" t="s">
        <v>275</v>
      </c>
      <c r="F400" s="20" t="s">
        <v>246</v>
      </c>
      <c r="G400" s="20" t="s">
        <v>154</v>
      </c>
      <c r="H400" s="20">
        <f>(5236.23*(L8))</f>
        <v>28013.830499999996</v>
      </c>
      <c r="I400" s="20">
        <f>(5323.95*(L8))</f>
        <v>28483.132499999996</v>
      </c>
      <c r="J400" s="20">
        <f>(5376.58*(L8))</f>
        <v>28764.702999999998</v>
      </c>
      <c r="K400" s="20">
        <f>(5516.93*(L8))</f>
        <v>29515.575499999999</v>
      </c>
      <c r="L400" s="20">
        <f>(5604.65*(L8))</f>
        <v>29984.877499999995</v>
      </c>
      <c r="M400" s="20">
        <f>(5709.91*(L8))</f>
        <v>30548.018499999998</v>
      </c>
      <c r="N400" s="20">
        <f>(5832.72*(L8))</f>
        <v>31205.052</v>
      </c>
      <c r="O400" s="20">
        <f>(6008.16*(L8))</f>
        <v>32143.655999999995</v>
      </c>
      <c r="P400" s="20">
        <f>(6095.88*(L8))</f>
        <v>32612.957999999999</v>
      </c>
      <c r="Q400" s="20">
        <f>(6446.75*(L8))</f>
        <v>34490.112499999996</v>
      </c>
    </row>
    <row r="401" spans="1:17" ht="12.75" customHeight="1" x14ac:dyDescent="0.2">
      <c r="A401" s="6"/>
      <c r="B401" s="10" t="s">
        <v>669</v>
      </c>
      <c r="C401" s="20" t="s">
        <v>493</v>
      </c>
      <c r="D401" s="20" t="s">
        <v>660</v>
      </c>
      <c r="E401" s="20" t="s">
        <v>275</v>
      </c>
      <c r="F401" s="20" t="s">
        <v>246</v>
      </c>
      <c r="G401" s="20" t="s">
        <v>157</v>
      </c>
      <c r="H401" s="20">
        <f>(5461.66*(L8))</f>
        <v>29219.880999999998</v>
      </c>
      <c r="I401" s="20">
        <f>(5553.77*(L8))</f>
        <v>29712.6695</v>
      </c>
      <c r="J401" s="20">
        <f>(5609.03*(L8))</f>
        <v>30008.310499999996</v>
      </c>
      <c r="K401" s="20">
        <f>(5756.4*(L8))</f>
        <v>30796.739999999994</v>
      </c>
      <c r="L401" s="20">
        <f>(5848.5*(L8))</f>
        <v>31289.474999999999</v>
      </c>
      <c r="M401" s="20">
        <f>(5959.03*(L8))</f>
        <v>31880.810499999996</v>
      </c>
      <c r="N401" s="20">
        <f>(6087.98*(L8))</f>
        <v>32570.692999999996</v>
      </c>
      <c r="O401" s="20">
        <f>(6272.19*(L8))</f>
        <v>33556.216499999995</v>
      </c>
      <c r="P401" s="20">
        <f>(6364.29*(L8))</f>
        <v>34048.951499999996</v>
      </c>
      <c r="Q401" s="20">
        <f>(6732.71*(L8))</f>
        <v>36019.998499999994</v>
      </c>
    </row>
    <row r="402" spans="1:17" ht="12.75" customHeight="1" x14ac:dyDescent="0.2">
      <c r="A402" s="6"/>
      <c r="B402" s="10" t="s">
        <v>670</v>
      </c>
      <c r="C402" s="20" t="s">
        <v>671</v>
      </c>
      <c r="D402" s="20" t="s">
        <v>660</v>
      </c>
      <c r="E402" s="20" t="s">
        <v>275</v>
      </c>
      <c r="F402" s="20" t="s">
        <v>246</v>
      </c>
      <c r="G402" s="20" t="s">
        <v>262</v>
      </c>
      <c r="H402" s="20">
        <f>(5839.74*(L8))</f>
        <v>31242.608999999997</v>
      </c>
      <c r="I402" s="20">
        <f>(5909.91*(L8))</f>
        <v>31618.018499999998</v>
      </c>
      <c r="J402" s="20">
        <f>(5952.02*(L8))</f>
        <v>31843.307000000001</v>
      </c>
      <c r="K402" s="20">
        <f>(6064.3*(L8))</f>
        <v>32444.004999999997</v>
      </c>
      <c r="L402" s="20">
        <f>(6134.48*(L8))</f>
        <v>32819.467999999993</v>
      </c>
      <c r="M402" s="20">
        <f>(6218.69*(L8))</f>
        <v>33269.991499999996</v>
      </c>
      <c r="N402" s="20">
        <f>(6316.93*(L8))</f>
        <v>33795.575499999999</v>
      </c>
      <c r="O402" s="20">
        <f>(6457.28*(L8))</f>
        <v>34546.447999999997</v>
      </c>
      <c r="P402" s="20">
        <f>(6527.46*(L8))</f>
        <v>34921.911</v>
      </c>
      <c r="Q402" s="20">
        <f>(6808.16*(L8))</f>
        <v>36423.655999999995</v>
      </c>
    </row>
    <row r="403" spans="1:17" ht="12.75" customHeight="1" x14ac:dyDescent="0.2">
      <c r="A403" s="6"/>
      <c r="B403" s="10" t="s">
        <v>672</v>
      </c>
      <c r="C403" s="20" t="s">
        <v>673</v>
      </c>
      <c r="D403" s="20" t="s">
        <v>660</v>
      </c>
      <c r="E403" s="20" t="s">
        <v>275</v>
      </c>
      <c r="F403" s="20" t="s">
        <v>246</v>
      </c>
      <c r="G403" s="20" t="s">
        <v>152</v>
      </c>
      <c r="H403" s="20">
        <f>(6006.91*(L8))</f>
        <v>32136.968499999995</v>
      </c>
      <c r="I403" s="20">
        <f>(6081.48*(L8))</f>
        <v>32535.917999999994</v>
      </c>
      <c r="J403" s="20">
        <f>(6126.21*(L8))</f>
        <v>32775.2235</v>
      </c>
      <c r="K403" s="20">
        <f>(6245.51*(L8))</f>
        <v>33413.478499999997</v>
      </c>
      <c r="L403" s="20">
        <f>(6320.07*(L8))</f>
        <v>33812.374499999998</v>
      </c>
      <c r="M403" s="20">
        <f>(6409.55*(L8))</f>
        <v>34291.092499999999</v>
      </c>
      <c r="N403" s="20">
        <f>(6513.93*(L8))</f>
        <v>34849.525499999996</v>
      </c>
      <c r="O403" s="20">
        <f>(6663.05*(L8))</f>
        <v>35647.317499999997</v>
      </c>
      <c r="P403" s="20">
        <f>(6737.62*(L8))</f>
        <v>36046.267</v>
      </c>
      <c r="Q403" s="20">
        <f>(7035.86*(L8))</f>
        <v>37641.850999999995</v>
      </c>
    </row>
    <row r="404" spans="1:17" ht="12.75" customHeight="1" x14ac:dyDescent="0.2">
      <c r="A404" s="6"/>
      <c r="B404" s="10" t="s">
        <v>674</v>
      </c>
      <c r="C404" s="20" t="s">
        <v>675</v>
      </c>
      <c r="D404" s="20" t="s">
        <v>660</v>
      </c>
      <c r="E404" s="20" t="s">
        <v>275</v>
      </c>
      <c r="F404" s="20" t="s">
        <v>246</v>
      </c>
      <c r="G404" s="20" t="s">
        <v>166</v>
      </c>
      <c r="H404" s="20">
        <f>(6153.74*(L8))</f>
        <v>32922.508999999998</v>
      </c>
      <c r="I404" s="20">
        <f>(6232.69*(L8))</f>
        <v>33344.891499999998</v>
      </c>
      <c r="J404" s="20">
        <f>(6280.05*(L8))</f>
        <v>33598.267500000002</v>
      </c>
      <c r="K404" s="20">
        <f>(6406.37*(L8))</f>
        <v>34274.0795</v>
      </c>
      <c r="L404" s="20">
        <f>(6485.32*(L8))</f>
        <v>34696.462</v>
      </c>
      <c r="M404" s="20">
        <f>(6580.05*(L8))</f>
        <v>35203.267500000002</v>
      </c>
      <c r="N404" s="20">
        <f>(6690.58*(L8))</f>
        <v>35794.602999999996</v>
      </c>
      <c r="O404" s="20">
        <f>(6848.48*(L8))</f>
        <v>36639.367999999995</v>
      </c>
      <c r="P404" s="20">
        <f>(6927.42*(L8))</f>
        <v>37061.697</v>
      </c>
      <c r="Q404" s="20">
        <f>(7243.21*(L8))</f>
        <v>38751.173499999997</v>
      </c>
    </row>
    <row r="405" spans="1:17" ht="12.75" customHeight="1" x14ac:dyDescent="0.2">
      <c r="A405" s="6"/>
      <c r="B405" s="10" t="s">
        <v>676</v>
      </c>
      <c r="C405" s="20" t="s">
        <v>677</v>
      </c>
      <c r="D405" s="20" t="s">
        <v>660</v>
      </c>
      <c r="E405" s="20" t="s">
        <v>275</v>
      </c>
      <c r="F405" s="20" t="s">
        <v>246</v>
      </c>
      <c r="G405" s="20" t="s">
        <v>154</v>
      </c>
      <c r="H405" s="20">
        <f>(6302.26*(L8))</f>
        <v>33717.091</v>
      </c>
      <c r="I405" s="20">
        <f>(6385.59*(L8))</f>
        <v>34162.906499999997</v>
      </c>
      <c r="J405" s="20">
        <f>(6435.59*(L8))</f>
        <v>34430.406499999997</v>
      </c>
      <c r="K405" s="20">
        <f>(6568.92*(L8))</f>
        <v>35143.722000000002</v>
      </c>
      <c r="L405" s="20">
        <f>(6652.26*(L8))</f>
        <v>35589.591</v>
      </c>
      <c r="M405" s="20">
        <f>(6752.26*(L8))</f>
        <v>36124.591</v>
      </c>
      <c r="N405" s="20">
        <f>(6868.92*(L8))</f>
        <v>36748.722000000002</v>
      </c>
      <c r="O405" s="20">
        <f>(7035.59*(L8))</f>
        <v>37640.406499999997</v>
      </c>
      <c r="P405" s="20">
        <f>(7118.92*(L8))</f>
        <v>38086.221999999994</v>
      </c>
      <c r="Q405" s="20">
        <f>(7452.26*(L8))</f>
        <v>39869.591</v>
      </c>
    </row>
    <row r="406" spans="1:17" ht="12.75" customHeight="1" x14ac:dyDescent="0.2">
      <c r="A406" s="6"/>
      <c r="B406" s="10" t="s">
        <v>678</v>
      </c>
      <c r="C406" s="20" t="s">
        <v>679</v>
      </c>
      <c r="D406" s="20" t="s">
        <v>660</v>
      </c>
      <c r="E406" s="20" t="s">
        <v>275</v>
      </c>
      <c r="F406" s="20" t="s">
        <v>246</v>
      </c>
      <c r="G406" s="20" t="s">
        <v>157</v>
      </c>
      <c r="H406" s="20">
        <f>(6451.16*(L8))</f>
        <v>34513.705999999998</v>
      </c>
      <c r="I406" s="20">
        <f>(6538.88*(L8))</f>
        <v>34983.008000000002</v>
      </c>
      <c r="J406" s="20">
        <f>(6591.51*(L8))</f>
        <v>35264.578499999996</v>
      </c>
      <c r="K406" s="20">
        <f>(6731.86*(L8))</f>
        <v>36015.450999999994</v>
      </c>
      <c r="L406" s="20">
        <f>(6819.58*(L8))</f>
        <v>36484.752999999997</v>
      </c>
      <c r="M406" s="20">
        <f>(6924.84*(L8))</f>
        <v>37047.894</v>
      </c>
      <c r="N406" s="20">
        <f>(7047.65*(L8))</f>
        <v>37704.927499999998</v>
      </c>
      <c r="O406" s="20">
        <f>(7223.09*(L8))</f>
        <v>38643.531499999997</v>
      </c>
      <c r="P406" s="20">
        <f>(7310.81*(L8))</f>
        <v>39112.833500000001</v>
      </c>
      <c r="Q406" s="20">
        <f>(7661.68*(L8))</f>
        <v>40989.987999999998</v>
      </c>
    </row>
    <row r="407" spans="1:17" ht="12.75" customHeight="1" x14ac:dyDescent="0.2">
      <c r="A407" s="6"/>
      <c r="B407" s="10" t="s">
        <v>680</v>
      </c>
      <c r="C407" s="20" t="s">
        <v>681</v>
      </c>
      <c r="D407" s="20" t="s">
        <v>660</v>
      </c>
      <c r="E407" s="20" t="s">
        <v>275</v>
      </c>
      <c r="F407" s="20" t="s">
        <v>246</v>
      </c>
      <c r="G407" s="20" t="s">
        <v>160</v>
      </c>
      <c r="H407" s="20">
        <f>(6599.26*(L8))</f>
        <v>35306.040999999997</v>
      </c>
      <c r="I407" s="20">
        <f>(6691.36*(L8))</f>
        <v>35798.775999999998</v>
      </c>
      <c r="J407" s="20">
        <f>(6746.62*(L8))</f>
        <v>36094.416999999994</v>
      </c>
      <c r="K407" s="20">
        <f>(6893.99*(L8))</f>
        <v>36882.8465</v>
      </c>
      <c r="L407" s="20">
        <f>(6986.1*(L8))</f>
        <v>37375.635000000002</v>
      </c>
      <c r="M407" s="20">
        <f>(7096.62*(L8))</f>
        <v>37966.916999999994</v>
      </c>
      <c r="N407" s="20">
        <f>(7225.57*(L8))</f>
        <v>38656.799499999994</v>
      </c>
      <c r="O407" s="20">
        <f>(7409.78*(L8))</f>
        <v>39642.322999999997</v>
      </c>
      <c r="P407" s="20">
        <f>(7501.89*(L8))</f>
        <v>40135.111499999999</v>
      </c>
      <c r="Q407" s="20">
        <f>(7870.31*(L8))</f>
        <v>42106.158499999998</v>
      </c>
    </row>
    <row r="408" spans="1:17" ht="12.75" customHeight="1" x14ac:dyDescent="0.2">
      <c r="A408" s="6"/>
      <c r="B408" s="10" t="s">
        <v>682</v>
      </c>
      <c r="C408" s="20" t="s">
        <v>683</v>
      </c>
      <c r="D408" s="20" t="s">
        <v>660</v>
      </c>
      <c r="E408" s="20" t="s">
        <v>275</v>
      </c>
      <c r="F408" s="20" t="s">
        <v>246</v>
      </c>
      <c r="G408" s="20" t="s">
        <v>262</v>
      </c>
      <c r="H408" s="20">
        <f>(5418.62*(L8))</f>
        <v>28989.616999999998</v>
      </c>
      <c r="I408" s="20">
        <f>(5488.79*(L8))</f>
        <v>29365.026499999996</v>
      </c>
      <c r="J408" s="20">
        <f>(5530.9*(L8))</f>
        <v>29590.314999999995</v>
      </c>
      <c r="K408" s="20">
        <f>(5643.18*(L8))</f>
        <v>30191.012999999999</v>
      </c>
      <c r="L408" s="20">
        <f>(5713.35*(L8))</f>
        <v>30566.422500000001</v>
      </c>
      <c r="M408" s="20">
        <f>(5797.56*(L8))</f>
        <v>31016.946</v>
      </c>
      <c r="N408" s="20">
        <f>(5895.81*(L8))</f>
        <v>31542.583500000001</v>
      </c>
      <c r="O408" s="20">
        <f>(6036.16*(L8))</f>
        <v>32293.455999999998</v>
      </c>
      <c r="P408" s="20">
        <f>(6106.33*(L8))</f>
        <v>32668.865499999996</v>
      </c>
      <c r="Q408" s="20">
        <f>(6387.04*(L8))</f>
        <v>34170.663999999997</v>
      </c>
    </row>
    <row r="409" spans="1:17" ht="12.75" customHeight="1" x14ac:dyDescent="0.2">
      <c r="A409" s="6"/>
      <c r="B409" s="10" t="s">
        <v>684</v>
      </c>
      <c r="C409" s="20" t="s">
        <v>685</v>
      </c>
      <c r="D409" s="20" t="s">
        <v>660</v>
      </c>
      <c r="E409" s="20" t="s">
        <v>275</v>
      </c>
      <c r="F409" s="20" t="s">
        <v>246</v>
      </c>
      <c r="G409" s="20" t="s">
        <v>152</v>
      </c>
      <c r="H409" s="20">
        <f>(5701.14*(L8))</f>
        <v>30501.098999999998</v>
      </c>
      <c r="I409" s="20">
        <f>(5775.7*(L8))</f>
        <v>30899.994999999995</v>
      </c>
      <c r="J409" s="20">
        <f>(5820.44*(L8))</f>
        <v>31139.353999999996</v>
      </c>
      <c r="K409" s="20">
        <f>(5939.74*(L8))</f>
        <v>31777.608999999997</v>
      </c>
      <c r="L409" s="20">
        <f>(6014.3*(L8))</f>
        <v>32176.504999999997</v>
      </c>
      <c r="M409" s="20">
        <f>(6103.77*(L8))</f>
        <v>32655.1695</v>
      </c>
      <c r="N409" s="20">
        <f>(6208.16*(L8))</f>
        <v>33213.655999999995</v>
      </c>
      <c r="O409" s="20">
        <f>(6357.28*(L8))</f>
        <v>34011.447999999997</v>
      </c>
      <c r="P409" s="20">
        <f>(6431.84*(L8))</f>
        <v>34410.343999999997</v>
      </c>
      <c r="Q409" s="20">
        <f>(6730.09*(L8))</f>
        <v>36005.981500000002</v>
      </c>
    </row>
    <row r="410" spans="1:17" ht="12.75" customHeight="1" x14ac:dyDescent="0.2">
      <c r="A410" s="6"/>
      <c r="B410" s="10" t="s">
        <v>686</v>
      </c>
      <c r="C410" s="20" t="s">
        <v>687</v>
      </c>
      <c r="D410" s="20" t="s">
        <v>660</v>
      </c>
      <c r="E410" s="20" t="s">
        <v>275</v>
      </c>
      <c r="F410" s="20" t="s">
        <v>246</v>
      </c>
      <c r="G410" s="20" t="s">
        <v>166</v>
      </c>
      <c r="H410" s="20">
        <f>(5879.41*(L8))</f>
        <v>31454.843499999995</v>
      </c>
      <c r="I410" s="20">
        <f>(5958.35*(L8))</f>
        <v>31877.172500000001</v>
      </c>
      <c r="J410" s="20">
        <f>(6005.72*(L8))</f>
        <v>32130.601999999999</v>
      </c>
      <c r="K410" s="20">
        <f>(6132.04*(L8))</f>
        <v>32806.413999999997</v>
      </c>
      <c r="L410" s="20">
        <f>(6210.98*(L8))</f>
        <v>33228.742999999995</v>
      </c>
      <c r="M410" s="20">
        <f>(6305.72*(L8))</f>
        <v>33735.601999999999</v>
      </c>
      <c r="N410" s="20">
        <f>(6416.25*(L8))</f>
        <v>34326.9375</v>
      </c>
      <c r="O410" s="20">
        <f>(6574.14*(L8))</f>
        <v>35171.648999999998</v>
      </c>
      <c r="P410" s="20">
        <f>(6653.09*(L8))</f>
        <v>35594.031499999997</v>
      </c>
      <c r="Q410" s="20">
        <f>(6968.88*(L8))</f>
        <v>37283.508000000002</v>
      </c>
    </row>
    <row r="411" spans="1:17" ht="12.75" customHeight="1" x14ac:dyDescent="0.2">
      <c r="A411" s="6"/>
      <c r="B411" s="10" t="s">
        <v>688</v>
      </c>
      <c r="C411" s="20" t="s">
        <v>689</v>
      </c>
      <c r="D411" s="20" t="s">
        <v>660</v>
      </c>
      <c r="E411" s="20" t="s">
        <v>275</v>
      </c>
      <c r="F411" s="20" t="s">
        <v>246</v>
      </c>
      <c r="G411" s="20" t="s">
        <v>154</v>
      </c>
      <c r="H411" s="20">
        <f>(6035.15*(L8))</f>
        <v>32288.052499999994</v>
      </c>
      <c r="I411" s="20">
        <f>(6118.48*(L8))</f>
        <v>32733.867999999995</v>
      </c>
      <c r="J411" s="20">
        <f>(6168.48*(L8))</f>
        <v>33001.367999999995</v>
      </c>
      <c r="K411" s="20">
        <f>(6301.82*(L8))</f>
        <v>33714.736999999994</v>
      </c>
      <c r="L411" s="20">
        <f>(6385.15*(L8))</f>
        <v>34160.552499999998</v>
      </c>
      <c r="M411" s="20">
        <f>(6485.15*(L8))</f>
        <v>34695.552499999998</v>
      </c>
      <c r="N411" s="20">
        <f>(6601.82*(L8))</f>
        <v>35319.736999999994</v>
      </c>
      <c r="O411" s="20">
        <f>(6768.48*(L8))</f>
        <v>36211.367999999995</v>
      </c>
      <c r="P411" s="20">
        <f>(6851.82*(L8))</f>
        <v>36657.236999999994</v>
      </c>
      <c r="Q411" s="20">
        <f>(7185.15*(L8))</f>
        <v>38440.552499999998</v>
      </c>
    </row>
    <row r="412" spans="1:17" ht="12.75" customHeight="1" x14ac:dyDescent="0.2">
      <c r="A412" s="6"/>
      <c r="B412" s="10" t="s">
        <v>690</v>
      </c>
      <c r="C412" s="20" t="s">
        <v>691</v>
      </c>
      <c r="D412" s="20" t="s">
        <v>660</v>
      </c>
      <c r="E412" s="20" t="s">
        <v>275</v>
      </c>
      <c r="F412" s="20" t="s">
        <v>246</v>
      </c>
      <c r="G412" s="20" t="s">
        <v>157</v>
      </c>
      <c r="H412" s="20">
        <f>(6189.65*(L8))</f>
        <v>33114.627499999995</v>
      </c>
      <c r="I412" s="20">
        <f>(6277.37*(L8))</f>
        <v>33583.929499999998</v>
      </c>
      <c r="J412" s="20">
        <f>(6330*(L8))</f>
        <v>33865.5</v>
      </c>
      <c r="K412" s="20">
        <f>(6470.35*(L8))</f>
        <v>34616.372499999998</v>
      </c>
      <c r="L412" s="20">
        <f>(6558.07*(L8))</f>
        <v>35085.674499999994</v>
      </c>
      <c r="M412" s="20">
        <f>(6663.33*(L8))</f>
        <v>35648.815499999997</v>
      </c>
      <c r="N412" s="20">
        <f>(6786.14*(L8))</f>
        <v>36305.849000000002</v>
      </c>
      <c r="O412" s="20">
        <f>(6961.58*(L8))</f>
        <v>37244.452999999994</v>
      </c>
      <c r="P412" s="20">
        <f>(7049.3*(L8))</f>
        <v>37713.754999999997</v>
      </c>
      <c r="Q412" s="20">
        <f>(7400.17*(L8))</f>
        <v>39590.909499999994</v>
      </c>
    </row>
    <row r="413" spans="1:17" ht="12.75" customHeight="1" x14ac:dyDescent="0.2">
      <c r="A413" s="6"/>
      <c r="B413" s="10" t="s">
        <v>692</v>
      </c>
      <c r="C413" s="20" t="s">
        <v>693</v>
      </c>
      <c r="D413" s="20" t="s">
        <v>660</v>
      </c>
      <c r="E413" s="20" t="s">
        <v>275</v>
      </c>
      <c r="F413" s="20" t="s">
        <v>246</v>
      </c>
      <c r="G413" s="20" t="s">
        <v>160</v>
      </c>
      <c r="H413" s="20">
        <f>(6369.43*(L8))</f>
        <v>34076.450499999999</v>
      </c>
      <c r="I413" s="20">
        <f>(6461.54*(L8))</f>
        <v>34569.238999999994</v>
      </c>
      <c r="J413" s="20">
        <f>(6516.8*(L8))</f>
        <v>34864.879999999997</v>
      </c>
      <c r="K413" s="20">
        <f>(6664.17*(L8))</f>
        <v>35653.309499999996</v>
      </c>
      <c r="L413" s="20">
        <f>(6756.27*(L8))</f>
        <v>36146.044499999996</v>
      </c>
      <c r="M413" s="20">
        <f>(6866.8*(L8))</f>
        <v>36737.379999999997</v>
      </c>
      <c r="N413" s="20">
        <f>(6995.75*(L8))</f>
        <v>37427.262499999997</v>
      </c>
      <c r="O413" s="20">
        <f>(7179.96*(L8))</f>
        <v>38412.786</v>
      </c>
      <c r="P413" s="20">
        <f>(7272.06*(L8))</f>
        <v>38905.521000000001</v>
      </c>
      <c r="Q413" s="20">
        <f>(7640.48*(L8))</f>
        <v>40876.567999999992</v>
      </c>
    </row>
    <row r="414" spans="1:17" ht="12.75" customHeight="1" x14ac:dyDescent="0.2">
      <c r="A414" s="6"/>
      <c r="B414" s="16" t="s">
        <v>1450</v>
      </c>
      <c r="C414" s="122">
        <f>350*$L$8</f>
        <v>1872.4999999999998</v>
      </c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4"/>
    </row>
    <row r="415" spans="1:17" ht="30" customHeight="1" x14ac:dyDescent="0.35">
      <c r="A415" s="6"/>
      <c r="B415" s="23" t="s">
        <v>694</v>
      </c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5"/>
    </row>
    <row r="416" spans="1:17" ht="12.75" customHeight="1" x14ac:dyDescent="0.2">
      <c r="A416" s="7" t="s">
        <v>6</v>
      </c>
      <c r="B416" s="8" t="s">
        <v>7</v>
      </c>
      <c r="C416" s="8" t="s">
        <v>8</v>
      </c>
      <c r="D416" s="8" t="s">
        <v>9</v>
      </c>
      <c r="E416" s="8" t="s">
        <v>10</v>
      </c>
      <c r="F416" s="8" t="s">
        <v>11</v>
      </c>
      <c r="G416" s="8" t="s">
        <v>12</v>
      </c>
      <c r="H416" s="8" t="s">
        <v>13</v>
      </c>
      <c r="I416" s="8" t="s">
        <v>14</v>
      </c>
      <c r="J416" s="8" t="s">
        <v>15</v>
      </c>
      <c r="K416" s="8" t="s">
        <v>16</v>
      </c>
      <c r="L416" s="8" t="s">
        <v>17</v>
      </c>
      <c r="M416" s="8" t="s">
        <v>18</v>
      </c>
      <c r="N416" s="8" t="s">
        <v>19</v>
      </c>
      <c r="O416" s="8" t="s">
        <v>20</v>
      </c>
      <c r="P416" s="8" t="s">
        <v>21</v>
      </c>
      <c r="Q416" s="8" t="s">
        <v>22</v>
      </c>
    </row>
    <row r="417" spans="1:17" ht="12.75" customHeight="1" x14ac:dyDescent="0.2">
      <c r="A417" s="6"/>
      <c r="B417" s="10" t="s">
        <v>695</v>
      </c>
      <c r="C417" s="20" t="s">
        <v>136</v>
      </c>
      <c r="D417" s="20" t="s">
        <v>696</v>
      </c>
      <c r="E417" s="20" t="s">
        <v>697</v>
      </c>
      <c r="F417" s="20" t="s">
        <v>698</v>
      </c>
      <c r="G417" s="20" t="s">
        <v>157</v>
      </c>
      <c r="H417" s="20">
        <f>(3542.69*(L8))</f>
        <v>18953.391499999998</v>
      </c>
      <c r="I417" s="20">
        <f>(3634.79*(L8))</f>
        <v>19446.126499999998</v>
      </c>
      <c r="J417" s="20">
        <f>(3690.06*(L8))</f>
        <v>19741.821</v>
      </c>
      <c r="K417" s="20">
        <f>(3837.43*(L8))</f>
        <v>20530.250499999998</v>
      </c>
      <c r="L417" s="20">
        <f>(3929.53*(L8))</f>
        <v>21022.985499999999</v>
      </c>
      <c r="M417" s="20">
        <f>(4040.06*(L8))</f>
        <v>21614.321</v>
      </c>
      <c r="N417" s="20">
        <f>(4169*(L8))</f>
        <v>22304.149999999998</v>
      </c>
      <c r="O417" s="20">
        <f>(4353.21*(L8))</f>
        <v>23289.673499999997</v>
      </c>
      <c r="P417" s="20">
        <f>(4445.32*(L8))</f>
        <v>23782.461999999996</v>
      </c>
      <c r="Q417" s="20">
        <f>(4813.74*(L8))</f>
        <v>25753.508999999998</v>
      </c>
    </row>
    <row r="418" spans="1:17" ht="12.75" customHeight="1" x14ac:dyDescent="0.2">
      <c r="A418" s="6"/>
      <c r="B418" s="10" t="s">
        <v>699</v>
      </c>
      <c r="C418" s="20" t="s">
        <v>137</v>
      </c>
      <c r="D418" s="20" t="s">
        <v>696</v>
      </c>
      <c r="E418" s="20" t="s">
        <v>697</v>
      </c>
      <c r="F418" s="20" t="s">
        <v>698</v>
      </c>
      <c r="G418" s="20" t="s">
        <v>160</v>
      </c>
      <c r="H418" s="20">
        <f>(3846.6*(L8))</f>
        <v>20579.309999999998</v>
      </c>
      <c r="I418" s="20">
        <f>(3943.09*(L8))</f>
        <v>21095.531500000001</v>
      </c>
      <c r="J418" s="20">
        <f>(4000.99*(L8))</f>
        <v>21405.296499999997</v>
      </c>
      <c r="K418" s="20">
        <f>(4155.37*(L8))</f>
        <v>22231.229499999998</v>
      </c>
      <c r="L418" s="20">
        <f>(4251.87*(L8))</f>
        <v>22747.504499999999</v>
      </c>
      <c r="M418" s="20">
        <f>(4367.65*(L8))</f>
        <v>23366.927499999998</v>
      </c>
      <c r="N418" s="20">
        <f>(4502.74*(L8))</f>
        <v>24089.658999999996</v>
      </c>
      <c r="O418" s="20">
        <f>(4695.73*(L8))</f>
        <v>25122.155499999997</v>
      </c>
      <c r="P418" s="20">
        <f>(4792.22*(L8))</f>
        <v>25638.377</v>
      </c>
      <c r="Q418" s="20">
        <f>(5178.18*(L8))</f>
        <v>27703.262999999999</v>
      </c>
    </row>
    <row r="419" spans="1:17" ht="12.75" customHeight="1" x14ac:dyDescent="0.2">
      <c r="A419" s="6"/>
      <c r="B419" s="10" t="s">
        <v>700</v>
      </c>
      <c r="C419" s="20" t="s">
        <v>292</v>
      </c>
      <c r="D419" s="20" t="s">
        <v>696</v>
      </c>
      <c r="E419" s="20" t="s">
        <v>697</v>
      </c>
      <c r="F419" s="20" t="s">
        <v>698</v>
      </c>
      <c r="G419" s="20" t="s">
        <v>163</v>
      </c>
      <c r="H419" s="20">
        <f>(4141.01*(L8))</f>
        <v>22154.4035</v>
      </c>
      <c r="I419" s="20">
        <f>(4246.28*(L8))</f>
        <v>22717.597999999998</v>
      </c>
      <c r="J419" s="20">
        <f>(4309.43*(L8))</f>
        <v>23055.450499999999</v>
      </c>
      <c r="K419" s="20">
        <f>(4477.86*(L8))</f>
        <v>23956.550999999996</v>
      </c>
      <c r="L419" s="20">
        <f>(4583.12*(L8))</f>
        <v>24519.691999999999</v>
      </c>
      <c r="M419" s="20">
        <f>(4709.43*(L8))</f>
        <v>25195.450499999999</v>
      </c>
      <c r="N419" s="20">
        <f>(4856.8*(L8))</f>
        <v>25983.88</v>
      </c>
      <c r="O419" s="20">
        <f>(5067.33*(L8))</f>
        <v>27110.215499999998</v>
      </c>
      <c r="P419" s="20">
        <f>(5172.59*(L8))</f>
        <v>27673.356499999998</v>
      </c>
      <c r="Q419" s="20">
        <f>(5593.64*(L8))</f>
        <v>29925.973999999998</v>
      </c>
    </row>
    <row r="420" spans="1:17" ht="12.75" customHeight="1" x14ac:dyDescent="0.2">
      <c r="A420" s="6"/>
      <c r="B420" s="10" t="s">
        <v>701</v>
      </c>
      <c r="C420" s="20" t="s">
        <v>273</v>
      </c>
      <c r="D420" s="20" t="s">
        <v>696</v>
      </c>
      <c r="E420" s="20" t="s">
        <v>697</v>
      </c>
      <c r="F420" s="20" t="s">
        <v>698</v>
      </c>
      <c r="G420" s="20" t="s">
        <v>182</v>
      </c>
      <c r="H420" s="20">
        <f>(4213.24*(L8))</f>
        <v>22540.833999999999</v>
      </c>
      <c r="I420" s="20">
        <f>(4327.28*(L8))</f>
        <v>23150.947999999997</v>
      </c>
      <c r="J420" s="20">
        <f>(4395.7*(L8))</f>
        <v>23516.994999999999</v>
      </c>
      <c r="K420" s="20">
        <f>(4578.16*(L8))</f>
        <v>24493.155999999999</v>
      </c>
      <c r="L420" s="20">
        <f>(4692.19*(L8))</f>
        <v>25103.216499999995</v>
      </c>
      <c r="M420" s="20">
        <f>(4829.03*(L8))</f>
        <v>25835.310499999996</v>
      </c>
      <c r="N420" s="20">
        <f>(4988.68*(L8))</f>
        <v>26689.437999999998</v>
      </c>
      <c r="O420" s="20">
        <f>(5216.75*(L8))</f>
        <v>27909.612499999999</v>
      </c>
      <c r="P420" s="20">
        <f>(5330.79*(L8))</f>
        <v>28519.726499999997</v>
      </c>
      <c r="Q420" s="20">
        <f>(5786.93*(L8))</f>
        <v>30960.075499999999</v>
      </c>
    </row>
    <row r="421" spans="1:17" ht="12.75" customHeight="1" x14ac:dyDescent="0.2">
      <c r="A421" s="6"/>
      <c r="B421" s="10" t="s">
        <v>702</v>
      </c>
      <c r="C421" s="20" t="s">
        <v>278</v>
      </c>
      <c r="D421" s="20" t="s">
        <v>696</v>
      </c>
      <c r="E421" s="20" t="s">
        <v>697</v>
      </c>
      <c r="F421" s="20" t="s">
        <v>698</v>
      </c>
      <c r="G421" s="20" t="s">
        <v>421</v>
      </c>
      <c r="H421" s="20">
        <f>(4379.53*(L8))</f>
        <v>23430.485499999999</v>
      </c>
      <c r="I421" s="20">
        <f>(4497.95*(L8))</f>
        <v>24064.032499999998</v>
      </c>
      <c r="J421" s="20">
        <f>(4569.01*(L8))</f>
        <v>24444.2035</v>
      </c>
      <c r="K421" s="20">
        <f>(4758.48*(L8))</f>
        <v>25457.867999999995</v>
      </c>
      <c r="L421" s="20">
        <f>(4876.9*(L8))</f>
        <v>26091.414999999997</v>
      </c>
      <c r="M421" s="20">
        <f>(5019.01*(L8))</f>
        <v>26851.7035</v>
      </c>
      <c r="N421" s="20">
        <f>(5184.79*(L8))</f>
        <v>27738.626499999998</v>
      </c>
      <c r="O421" s="20">
        <f>(5421.64*(L8))</f>
        <v>29005.774000000001</v>
      </c>
      <c r="P421" s="20">
        <f>(5540.06*(L8))</f>
        <v>29639.321</v>
      </c>
      <c r="Q421" s="20">
        <f>(6013.74*(L8))</f>
        <v>32173.508999999998</v>
      </c>
    </row>
    <row r="422" spans="1:17" ht="12.75" customHeight="1" x14ac:dyDescent="0.2">
      <c r="A422" s="6"/>
      <c r="B422" s="10" t="s">
        <v>703</v>
      </c>
      <c r="C422" s="20" t="s">
        <v>280</v>
      </c>
      <c r="D422" s="20" t="s">
        <v>696</v>
      </c>
      <c r="E422" s="20" t="s">
        <v>697</v>
      </c>
      <c r="F422" s="20" t="s">
        <v>698</v>
      </c>
      <c r="G422" s="20" t="s">
        <v>231</v>
      </c>
      <c r="H422" s="20">
        <f>(4537.29*(L8))</f>
        <v>24274.501499999998</v>
      </c>
      <c r="I422" s="20">
        <f>(4660.1*(L8))</f>
        <v>24931.535</v>
      </c>
      <c r="J422" s="20">
        <f>(4733.78*(L8))</f>
        <v>25325.722999999998</v>
      </c>
      <c r="K422" s="20">
        <f>(4930.28*(L8))</f>
        <v>26376.997999999996</v>
      </c>
      <c r="L422" s="20">
        <f>(5053.08*(L8))</f>
        <v>27033.977999999999</v>
      </c>
      <c r="M422" s="20">
        <f>(5200.45*(L8))</f>
        <v>27822.407499999998</v>
      </c>
      <c r="N422" s="20">
        <f>(5372.38*(L8))</f>
        <v>28742.233</v>
      </c>
      <c r="O422" s="20">
        <f>(5617.99*(L8))</f>
        <v>30056.246499999997</v>
      </c>
      <c r="P422" s="20">
        <f>(5740.8*(L8))</f>
        <v>30713.279999999999</v>
      </c>
      <c r="Q422" s="20">
        <f>(6232.03*(L8))</f>
        <v>33341.360499999995</v>
      </c>
    </row>
    <row r="423" spans="1:17" ht="12.75" customHeight="1" x14ac:dyDescent="0.2">
      <c r="A423" s="6"/>
      <c r="B423" s="10" t="s">
        <v>704</v>
      </c>
      <c r="C423" s="20" t="s">
        <v>136</v>
      </c>
      <c r="D423" s="20" t="s">
        <v>696</v>
      </c>
      <c r="E423" s="20" t="s">
        <v>697</v>
      </c>
      <c r="F423" s="20" t="s">
        <v>698</v>
      </c>
      <c r="G423" s="20" t="s">
        <v>182</v>
      </c>
      <c r="H423" s="20">
        <f>(3545.76*(L8))</f>
        <v>18969.815999999999</v>
      </c>
      <c r="I423" s="20">
        <f>(3642.25*(L8))</f>
        <v>19486.037499999999</v>
      </c>
      <c r="J423" s="20">
        <f>(3700.14*(L8))</f>
        <v>19795.749</v>
      </c>
      <c r="K423" s="20">
        <f>(3854.53*(L8))</f>
        <v>20621.735499999999</v>
      </c>
      <c r="L423" s="20">
        <f>(3951.02*(L8))</f>
        <v>21137.956999999999</v>
      </c>
      <c r="M423" s="20">
        <f>(4066.81*(L8))</f>
        <v>21757.433499999999</v>
      </c>
      <c r="N423" s="20">
        <f>(4201.9*(L8))</f>
        <v>22480.164999999997</v>
      </c>
      <c r="O423" s="20">
        <f>(4394.88*(L8))</f>
        <v>23512.608</v>
      </c>
      <c r="P423" s="20">
        <f>(4491.37*(L8))</f>
        <v>24028.829499999996</v>
      </c>
      <c r="Q423" s="20">
        <f>(4877.34*(L8))</f>
        <v>26093.769</v>
      </c>
    </row>
    <row r="424" spans="1:17" ht="12.75" customHeight="1" x14ac:dyDescent="0.2">
      <c r="A424" s="6"/>
      <c r="B424" s="10" t="s">
        <v>705</v>
      </c>
      <c r="C424" s="20" t="s">
        <v>137</v>
      </c>
      <c r="D424" s="20" t="s">
        <v>696</v>
      </c>
      <c r="E424" s="20" t="s">
        <v>697</v>
      </c>
      <c r="F424" s="20" t="s">
        <v>698</v>
      </c>
      <c r="G424" s="20" t="s">
        <v>229</v>
      </c>
      <c r="H424" s="20">
        <f>(3830.44*(L8))</f>
        <v>20492.853999999999</v>
      </c>
      <c r="I424" s="20">
        <f>(3935.71*(L8))</f>
        <v>21056.048499999997</v>
      </c>
      <c r="J424" s="20">
        <f>(3998.87*(L8))</f>
        <v>21393.954499999996</v>
      </c>
      <c r="K424" s="20">
        <f>(4167.29*(L8))</f>
        <v>22295.001499999998</v>
      </c>
      <c r="L424" s="20">
        <f>(4272.55*(L8))</f>
        <v>22858.142499999998</v>
      </c>
      <c r="M424" s="20">
        <f>(4398.87*(L8))</f>
        <v>23533.954499999996</v>
      </c>
      <c r="N424" s="20">
        <f>(4546.23*(L8))</f>
        <v>24322.330499999996</v>
      </c>
      <c r="O424" s="20">
        <f>(4756.76*(L8))</f>
        <v>25448.666000000001</v>
      </c>
      <c r="P424" s="20">
        <f>(4862.02*(L8))</f>
        <v>26011.807000000001</v>
      </c>
      <c r="Q424" s="20">
        <f>(5283.08*(L8))</f>
        <v>28264.477999999999</v>
      </c>
    </row>
    <row r="425" spans="1:17" ht="12.75" customHeight="1" x14ac:dyDescent="0.2">
      <c r="A425" s="6"/>
      <c r="B425" s="10" t="s">
        <v>706</v>
      </c>
      <c r="C425" s="20" t="s">
        <v>292</v>
      </c>
      <c r="D425" s="20" t="s">
        <v>696</v>
      </c>
      <c r="E425" s="20" t="s">
        <v>697</v>
      </c>
      <c r="F425" s="20" t="s">
        <v>698</v>
      </c>
      <c r="G425" s="20" t="s">
        <v>421</v>
      </c>
      <c r="H425" s="20">
        <f>(4034.4*(L8))</f>
        <v>21584.04</v>
      </c>
      <c r="I425" s="20">
        <f>(4148.43*(L8))</f>
        <v>22194.1005</v>
      </c>
      <c r="J425" s="20">
        <f>(4216.86*(L8))</f>
        <v>22560.200999999997</v>
      </c>
      <c r="K425" s="20">
        <f>(4399.31*(L8))</f>
        <v>23536.308499999999</v>
      </c>
      <c r="L425" s="20">
        <f>(4513.35*(L8))</f>
        <v>24146.422500000001</v>
      </c>
      <c r="M425" s="20">
        <f>(4650.19*(L8))</f>
        <v>24878.516499999998</v>
      </c>
      <c r="N425" s="20">
        <f>(4809.84*(L8))</f>
        <v>25732.644</v>
      </c>
      <c r="O425" s="20">
        <f>(5037.91*(L8))</f>
        <v>26952.818499999998</v>
      </c>
      <c r="P425" s="20">
        <f>(5151.94*(L8))</f>
        <v>27562.878999999997</v>
      </c>
      <c r="Q425" s="20">
        <f>(5608.08*(L8))</f>
        <v>30003.227999999999</v>
      </c>
    </row>
    <row r="426" spans="1:17" ht="12.75" customHeight="1" x14ac:dyDescent="0.2">
      <c r="A426" s="6"/>
      <c r="B426" s="10" t="s">
        <v>707</v>
      </c>
      <c r="C426" s="20" t="s">
        <v>273</v>
      </c>
      <c r="D426" s="20" t="s">
        <v>696</v>
      </c>
      <c r="E426" s="20" t="s">
        <v>697</v>
      </c>
      <c r="F426" s="20" t="s">
        <v>698</v>
      </c>
      <c r="G426" s="20" t="s">
        <v>231</v>
      </c>
      <c r="H426" s="20">
        <f>(4213.23*(L8))</f>
        <v>22540.780499999997</v>
      </c>
      <c r="I426" s="20">
        <f>(4336.03*(L8))</f>
        <v>23197.760499999997</v>
      </c>
      <c r="J426" s="20">
        <f>(4409.72*(L8))</f>
        <v>23592.002</v>
      </c>
      <c r="K426" s="20">
        <f>(4606.21*(L8))</f>
        <v>24643.2235</v>
      </c>
      <c r="L426" s="20">
        <f>(4729.02*(L8))</f>
        <v>25300.257000000001</v>
      </c>
      <c r="M426" s="20">
        <f>(4876.38*(L8))</f>
        <v>26088.632999999998</v>
      </c>
      <c r="N426" s="20">
        <f>(5048.31*(L8))</f>
        <v>27008.458500000001</v>
      </c>
      <c r="O426" s="20">
        <f>(5293.93*(L8))</f>
        <v>28322.5255</v>
      </c>
      <c r="P426" s="20">
        <f>(5416.74*(L8))</f>
        <v>28979.558999999997</v>
      </c>
      <c r="Q426" s="20">
        <f>(5907.96*(L8))</f>
        <v>31607.585999999999</v>
      </c>
    </row>
    <row r="427" spans="1:17" ht="12.75" customHeight="1" x14ac:dyDescent="0.2">
      <c r="A427" s="6"/>
      <c r="B427" s="10" t="s">
        <v>708</v>
      </c>
      <c r="C427" s="20" t="s">
        <v>278</v>
      </c>
      <c r="D427" s="20" t="s">
        <v>696</v>
      </c>
      <c r="E427" s="20" t="s">
        <v>697</v>
      </c>
      <c r="F427" s="20" t="s">
        <v>698</v>
      </c>
      <c r="G427" s="20" t="s">
        <v>435</v>
      </c>
      <c r="H427" s="20">
        <f>(4376.51*(L8))</f>
        <v>23414.3285</v>
      </c>
      <c r="I427" s="20">
        <f>(4499.32*(L8))</f>
        <v>24071.361999999997</v>
      </c>
      <c r="J427" s="20">
        <f>(4573.01*(L8))</f>
        <v>24465.603500000001</v>
      </c>
      <c r="K427" s="20">
        <f>(4769.5*(L8))</f>
        <v>25516.824999999997</v>
      </c>
      <c r="L427" s="20">
        <f>(4892.3*(L8))</f>
        <v>26173.805</v>
      </c>
      <c r="M427" s="20">
        <f>(5039.67*(L8))</f>
        <v>26962.234499999999</v>
      </c>
      <c r="N427" s="20">
        <f>(5211.6*(L8))</f>
        <v>27882.06</v>
      </c>
      <c r="O427" s="20">
        <f>(5457.22*(L8))</f>
        <v>29196.127</v>
      </c>
      <c r="P427" s="20">
        <f>(5580.02*(L8))</f>
        <v>29853.107</v>
      </c>
      <c r="Q427" s="20">
        <f>(6071.25*(L8))</f>
        <v>32481.187499999996</v>
      </c>
    </row>
    <row r="428" spans="1:17" ht="12.75" customHeight="1" x14ac:dyDescent="0.2">
      <c r="A428" s="6"/>
      <c r="B428" s="10" t="s">
        <v>709</v>
      </c>
      <c r="C428" s="20" t="s">
        <v>280</v>
      </c>
      <c r="D428" s="20" t="s">
        <v>696</v>
      </c>
      <c r="E428" s="20" t="s">
        <v>697</v>
      </c>
      <c r="F428" s="20" t="s">
        <v>698</v>
      </c>
      <c r="G428" s="20" t="s">
        <v>237</v>
      </c>
      <c r="H428" s="20">
        <f>(4561.56*(L8))</f>
        <v>24404.346000000001</v>
      </c>
      <c r="I428" s="20">
        <f>(4693.14*(L8))</f>
        <v>25108.298999999999</v>
      </c>
      <c r="J428" s="20">
        <f>(4772.08*(L8))</f>
        <v>25530.627999999997</v>
      </c>
      <c r="K428" s="20">
        <f>(4982.61*(L8))</f>
        <v>26656.963499999998</v>
      </c>
      <c r="L428" s="20">
        <f>(5114.19*(L8))</f>
        <v>27360.916499999996</v>
      </c>
      <c r="M428" s="20">
        <f>(5272.08*(L8))</f>
        <v>28205.627999999997</v>
      </c>
      <c r="N428" s="20">
        <f>(5456.29*(L8))</f>
        <v>29191.151499999996</v>
      </c>
      <c r="O428" s="20">
        <f>(5719.45*(L8))</f>
        <v>30599.057499999995</v>
      </c>
      <c r="P428" s="20">
        <f>(5851.03*(L8))</f>
        <v>31303.010499999997</v>
      </c>
      <c r="Q428" s="20">
        <f>(6377.35*(L8))</f>
        <v>34118.822500000002</v>
      </c>
    </row>
    <row r="429" spans="1:17" ht="12.75" customHeight="1" x14ac:dyDescent="0.2">
      <c r="A429" s="6"/>
      <c r="B429" s="10" t="s">
        <v>710</v>
      </c>
      <c r="C429" s="20" t="s">
        <v>236</v>
      </c>
      <c r="D429" s="20" t="s">
        <v>696</v>
      </c>
      <c r="E429" s="20" t="s">
        <v>697</v>
      </c>
      <c r="F429" s="20" t="s">
        <v>698</v>
      </c>
      <c r="G429" s="20" t="s">
        <v>440</v>
      </c>
      <c r="H429" s="20">
        <f>(4741.56*(L8))</f>
        <v>25367.346000000001</v>
      </c>
      <c r="I429" s="20">
        <f>(4881.91*(L8))</f>
        <v>26118.218499999999</v>
      </c>
      <c r="J429" s="20">
        <f>(4966.12*(L8))</f>
        <v>26568.741999999998</v>
      </c>
      <c r="K429" s="20">
        <f>(5190.69*(L8))</f>
        <v>27770.191499999997</v>
      </c>
      <c r="L429" s="20">
        <f>(5331.04*(L8))</f>
        <v>28521.063999999998</v>
      </c>
      <c r="M429" s="20">
        <f>(5499.46*(L8))</f>
        <v>29422.110999999997</v>
      </c>
      <c r="N429" s="20">
        <f>(5695.95*(L8))</f>
        <v>30473.332499999997</v>
      </c>
      <c r="O429" s="20">
        <f>(5976.65*(L8))</f>
        <v>31975.077499999996</v>
      </c>
      <c r="P429" s="20">
        <f>(6117*(L8))</f>
        <v>32725.949999999997</v>
      </c>
      <c r="Q429" s="20">
        <f>(6678.41*(L8))</f>
        <v>35729.493499999997</v>
      </c>
    </row>
    <row r="430" spans="1:17" ht="12.75" customHeight="1" x14ac:dyDescent="0.2">
      <c r="A430" s="6"/>
      <c r="B430" s="10" t="s">
        <v>711</v>
      </c>
      <c r="C430" s="20" t="s">
        <v>134</v>
      </c>
      <c r="D430" s="20" t="s">
        <v>712</v>
      </c>
      <c r="E430" s="20" t="s">
        <v>697</v>
      </c>
      <c r="F430" s="20" t="s">
        <v>698</v>
      </c>
      <c r="G430" s="20" t="s">
        <v>160</v>
      </c>
      <c r="H430" s="20">
        <f>(3598.21*(L8))</f>
        <v>19250.423499999997</v>
      </c>
      <c r="I430" s="20">
        <f>(3694.7*(L8))</f>
        <v>19766.644999999997</v>
      </c>
      <c r="J430" s="20">
        <f>(3752.6*(L8))</f>
        <v>20076.41</v>
      </c>
      <c r="K430" s="20">
        <f>(3906.98*(L8))</f>
        <v>20902.342999999997</v>
      </c>
      <c r="L430" s="20">
        <f>(4003.47*(L8))</f>
        <v>21418.564499999997</v>
      </c>
      <c r="M430" s="20">
        <f>(4119.26*(L8))</f>
        <v>22038.041000000001</v>
      </c>
      <c r="N430" s="20">
        <f>(4254.35*(L8))</f>
        <v>22760.772499999999</v>
      </c>
      <c r="O430" s="20">
        <f>(4447.33*(L8))</f>
        <v>23793.215499999998</v>
      </c>
      <c r="P430" s="20">
        <f>(4543.82*(L8))</f>
        <v>24309.436999999998</v>
      </c>
      <c r="Q430" s="20">
        <f>(4929.79*(L8))</f>
        <v>26374.376499999998</v>
      </c>
    </row>
    <row r="431" spans="1:17" ht="12.75" customHeight="1" x14ac:dyDescent="0.2">
      <c r="A431" s="6"/>
      <c r="B431" s="10" t="s">
        <v>713</v>
      </c>
      <c r="C431" s="20" t="s">
        <v>333</v>
      </c>
      <c r="D431" s="20" t="s">
        <v>712</v>
      </c>
      <c r="E431" s="20" t="s">
        <v>697</v>
      </c>
      <c r="F431" s="20" t="s">
        <v>698</v>
      </c>
      <c r="G431" s="20" t="s">
        <v>163</v>
      </c>
      <c r="H431" s="20">
        <f>(3679.29*(L8))</f>
        <v>19684.201499999999</v>
      </c>
      <c r="I431" s="20">
        <f>(3775.79*(L8))</f>
        <v>20200.476499999997</v>
      </c>
      <c r="J431" s="20">
        <f>(3833.68*(L8))</f>
        <v>20510.187999999998</v>
      </c>
      <c r="K431" s="20">
        <f>(3988.07*(L8))</f>
        <v>21336.174500000001</v>
      </c>
      <c r="L431" s="20">
        <f>(4084.56*(L8))</f>
        <v>21852.395999999997</v>
      </c>
      <c r="M431" s="20">
        <f>(4200.35*(L8))</f>
        <v>22471.872500000001</v>
      </c>
      <c r="N431" s="20">
        <f>(4335.43*(L8))</f>
        <v>23194.550500000001</v>
      </c>
      <c r="O431" s="20">
        <f>(4528.42*(L8))</f>
        <v>24227.046999999999</v>
      </c>
      <c r="P431" s="20">
        <f>(4624.91*(L8))</f>
        <v>24743.268499999998</v>
      </c>
      <c r="Q431" s="20">
        <f>(5010.87*(L8))</f>
        <v>26808.154499999997</v>
      </c>
    </row>
    <row r="432" spans="1:17" ht="12.75" customHeight="1" x14ac:dyDescent="0.2">
      <c r="A432" s="6"/>
      <c r="B432" s="10" t="s">
        <v>714</v>
      </c>
      <c r="C432" s="20" t="s">
        <v>565</v>
      </c>
      <c r="D432" s="20" t="s">
        <v>712</v>
      </c>
      <c r="E432" s="20" t="s">
        <v>697</v>
      </c>
      <c r="F432" s="20" t="s">
        <v>698</v>
      </c>
      <c r="G432" s="20" t="s">
        <v>182</v>
      </c>
      <c r="H432" s="20">
        <f>(3798*(L8))</f>
        <v>20319.3</v>
      </c>
      <c r="I432" s="20">
        <f>(3903.26*(L8))</f>
        <v>20882.440999999999</v>
      </c>
      <c r="J432" s="20">
        <f>(3966.42*(L8))</f>
        <v>21220.346999999998</v>
      </c>
      <c r="K432" s="20">
        <f>(4134.84*(L8))</f>
        <v>22121.394</v>
      </c>
      <c r="L432" s="20">
        <f>(4240.1*(L8))</f>
        <v>22684.535</v>
      </c>
      <c r="M432" s="20">
        <f>(4366.42*(L8))</f>
        <v>23360.346999999998</v>
      </c>
      <c r="N432" s="20">
        <f>(4513.79*(L8))</f>
        <v>24148.7765</v>
      </c>
      <c r="O432" s="20">
        <f>(4724.31*(L8))</f>
        <v>25275.058499999999</v>
      </c>
      <c r="P432" s="20">
        <f>(4829.57*(L8))</f>
        <v>25838.199499999995</v>
      </c>
      <c r="Q432" s="20">
        <f>(5250.63*(L8))</f>
        <v>28090.870499999997</v>
      </c>
    </row>
    <row r="433" spans="1:17" ht="30" customHeight="1" x14ac:dyDescent="0.35">
      <c r="A433" s="6"/>
      <c r="B433" s="23" t="s">
        <v>715</v>
      </c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5"/>
    </row>
    <row r="434" spans="1:17" ht="12.75" customHeight="1" x14ac:dyDescent="0.2">
      <c r="A434" s="7" t="s">
        <v>6</v>
      </c>
      <c r="B434" s="8" t="s">
        <v>7</v>
      </c>
      <c r="C434" s="8" t="s">
        <v>8</v>
      </c>
      <c r="D434" s="8" t="s">
        <v>9</v>
      </c>
      <c r="E434" s="8" t="s">
        <v>10</v>
      </c>
      <c r="F434" s="8" t="s">
        <v>11</v>
      </c>
      <c r="G434" s="8" t="s">
        <v>12</v>
      </c>
      <c r="H434" s="8" t="s">
        <v>13</v>
      </c>
      <c r="I434" s="8" t="s">
        <v>14</v>
      </c>
      <c r="J434" s="8" t="s">
        <v>15</v>
      </c>
      <c r="K434" s="8" t="s">
        <v>16</v>
      </c>
      <c r="L434" s="8" t="s">
        <v>17</v>
      </c>
      <c r="M434" s="8" t="s">
        <v>18</v>
      </c>
      <c r="N434" s="8" t="s">
        <v>19</v>
      </c>
      <c r="O434" s="8" t="s">
        <v>20</v>
      </c>
      <c r="P434" s="8" t="s">
        <v>21</v>
      </c>
      <c r="Q434" s="8" t="s">
        <v>22</v>
      </c>
    </row>
    <row r="435" spans="1:17" ht="12.75" customHeight="1" x14ac:dyDescent="0.2">
      <c r="A435" s="6"/>
      <c r="B435" s="10" t="s">
        <v>716</v>
      </c>
      <c r="C435" s="20" t="s">
        <v>565</v>
      </c>
      <c r="D435" s="20" t="s">
        <v>382</v>
      </c>
      <c r="E435" s="20" t="s">
        <v>275</v>
      </c>
      <c r="F435" s="20" t="s">
        <v>210</v>
      </c>
      <c r="G435" s="20" t="s">
        <v>42</v>
      </c>
      <c r="H435" s="20">
        <f>(2971.77*(L8))</f>
        <v>15898.969499999999</v>
      </c>
      <c r="I435" s="20">
        <f>(3046.33*(L8))</f>
        <v>16297.865499999998</v>
      </c>
      <c r="J435" s="20">
        <f>(3091.07*(L8))</f>
        <v>16537.2245</v>
      </c>
      <c r="K435" s="20">
        <f>(3210.37*(L8))</f>
        <v>17175.479499999998</v>
      </c>
      <c r="L435" s="20">
        <f>(3284.93*(L8))</f>
        <v>17574.375499999998</v>
      </c>
      <c r="M435" s="20">
        <f>(3374.4*(L8))</f>
        <v>18053.04</v>
      </c>
      <c r="N435" s="20">
        <f>(3478.79*(L8))</f>
        <v>18611.5265</v>
      </c>
      <c r="O435" s="20">
        <f>(3627.91*(L8))</f>
        <v>19409.318499999998</v>
      </c>
      <c r="P435" s="20">
        <f>(3702.47*(L8))</f>
        <v>19808.214499999998</v>
      </c>
      <c r="Q435" s="20">
        <f>(4000.72*(L8))</f>
        <v>21403.851999999999</v>
      </c>
    </row>
    <row r="436" spans="1:17" ht="12.75" customHeight="1" x14ac:dyDescent="0.2">
      <c r="A436" s="6"/>
      <c r="B436" s="10" t="s">
        <v>717</v>
      </c>
      <c r="C436" s="20" t="s">
        <v>385</v>
      </c>
      <c r="D436" s="20" t="s">
        <v>382</v>
      </c>
      <c r="E436" s="20" t="s">
        <v>275</v>
      </c>
      <c r="F436" s="20" t="s">
        <v>210</v>
      </c>
      <c r="G436" s="20" t="s">
        <v>262</v>
      </c>
      <c r="H436" s="20">
        <f>(3069.22*(L8))</f>
        <v>16420.326999999997</v>
      </c>
      <c r="I436" s="20">
        <f>(3148.17*(L8))</f>
        <v>16842.709500000001</v>
      </c>
      <c r="J436" s="20">
        <f>(3195.54*(L8))</f>
        <v>17096.138999999999</v>
      </c>
      <c r="K436" s="20">
        <f>(3321.86*(L8))</f>
        <v>17771.951000000001</v>
      </c>
      <c r="L436" s="20">
        <f>(3400.8*(L8))</f>
        <v>18194.28</v>
      </c>
      <c r="M436" s="20">
        <f>(3495.54*(L8))</f>
        <v>18701.138999999999</v>
      </c>
      <c r="N436" s="20">
        <f>(3606.07*(L8))</f>
        <v>19292.4745</v>
      </c>
      <c r="O436" s="20">
        <f>(3763.96*(L8))</f>
        <v>20137.185999999998</v>
      </c>
      <c r="P436" s="20">
        <f>(3842.91*(L8))</f>
        <v>20559.568499999998</v>
      </c>
      <c r="Q436" s="20">
        <f>(4158.7*(L8))</f>
        <v>22249.044999999998</v>
      </c>
    </row>
    <row r="437" spans="1:17" ht="12.75" customHeight="1" x14ac:dyDescent="0.2">
      <c r="A437" s="6"/>
      <c r="B437" s="10" t="s">
        <v>718</v>
      </c>
      <c r="C437" s="20" t="s">
        <v>85</v>
      </c>
      <c r="D437" s="20" t="s">
        <v>382</v>
      </c>
      <c r="E437" s="20" t="s">
        <v>275</v>
      </c>
      <c r="F437" s="20" t="s">
        <v>210</v>
      </c>
      <c r="G437" s="20" t="s">
        <v>152</v>
      </c>
      <c r="H437" s="20">
        <f>(3165.08*(L8))</f>
        <v>16933.178</v>
      </c>
      <c r="I437" s="20">
        <f>(3248.42*(L8))</f>
        <v>17379.046999999999</v>
      </c>
      <c r="J437" s="20">
        <f>(3298.42*(L8))</f>
        <v>17646.546999999999</v>
      </c>
      <c r="K437" s="20">
        <f>(3431.75*(L8))</f>
        <v>18359.862499999999</v>
      </c>
      <c r="L437" s="20">
        <f>(3515.08*(L8))</f>
        <v>18805.678</v>
      </c>
      <c r="M437" s="20">
        <f>(3615.08*(L8))</f>
        <v>19340.678</v>
      </c>
      <c r="N437" s="20">
        <f>(3731.75*(L8))</f>
        <v>19964.862499999999</v>
      </c>
      <c r="O437" s="20">
        <f>(3898.42*(L8))</f>
        <v>20856.546999999999</v>
      </c>
      <c r="P437" s="20">
        <f>(3981.75*(L8))</f>
        <v>21302.362499999999</v>
      </c>
      <c r="Q437" s="20">
        <f>(4315.08*(L8))</f>
        <v>23085.678</v>
      </c>
    </row>
    <row r="438" spans="1:17" ht="12.75" customHeight="1" x14ac:dyDescent="0.2">
      <c r="A438" s="6"/>
      <c r="B438" s="10" t="s">
        <v>719</v>
      </c>
      <c r="C438" s="20" t="s">
        <v>37</v>
      </c>
      <c r="D438" s="20" t="s">
        <v>382</v>
      </c>
      <c r="E438" s="20" t="s">
        <v>275</v>
      </c>
      <c r="F438" s="20" t="s">
        <v>210</v>
      </c>
      <c r="G438" s="20" t="s">
        <v>237</v>
      </c>
      <c r="H438" s="20">
        <f>(3803.15*(L8))</f>
        <v>20346.852500000001</v>
      </c>
      <c r="I438" s="20">
        <f>(3925.96*(L8))</f>
        <v>21003.885999999999</v>
      </c>
      <c r="J438" s="20">
        <f>(3999.64*(L8))</f>
        <v>21398.073999999997</v>
      </c>
      <c r="K438" s="20">
        <f>(4196.13*(L8))</f>
        <v>22449.2955</v>
      </c>
      <c r="L438" s="20">
        <f>(4318.94*(L8))</f>
        <v>23106.328999999998</v>
      </c>
      <c r="M438" s="20">
        <f>(4466.31*(L8))</f>
        <v>23894.7585</v>
      </c>
      <c r="N438" s="20">
        <f>(4638.24*(L8))</f>
        <v>24814.583999999999</v>
      </c>
      <c r="O438" s="20">
        <f>(4883.85*(L8))</f>
        <v>26128.5975</v>
      </c>
      <c r="P438" s="20">
        <f>(5006.66*(L8))</f>
        <v>26785.630999999998</v>
      </c>
      <c r="Q438" s="20">
        <f>(5497.89*(L8))</f>
        <v>29413.711500000001</v>
      </c>
    </row>
    <row r="439" spans="1:17" ht="12.75" customHeight="1" x14ac:dyDescent="0.2">
      <c r="A439" s="6"/>
      <c r="B439" s="10" t="s">
        <v>720</v>
      </c>
      <c r="C439" s="20" t="s">
        <v>138</v>
      </c>
      <c r="D439" s="20" t="s">
        <v>382</v>
      </c>
      <c r="E439" s="20" t="s">
        <v>275</v>
      </c>
      <c r="F439" s="20" t="s">
        <v>210</v>
      </c>
      <c r="G439" s="20" t="s">
        <v>440</v>
      </c>
      <c r="H439" s="20">
        <f>(3962.06*(L8))</f>
        <v>21197.020999999997</v>
      </c>
      <c r="I439" s="20">
        <f>(4093.64*(L8))</f>
        <v>21900.973999999998</v>
      </c>
      <c r="J439" s="20">
        <f>(4172.59*(L8))</f>
        <v>22323.356499999998</v>
      </c>
      <c r="K439" s="20">
        <f>(4383.11*(L8))</f>
        <v>23449.638499999997</v>
      </c>
      <c r="L439" s="20">
        <f>(4514.69*(L8))</f>
        <v>24153.591499999995</v>
      </c>
      <c r="M439" s="20">
        <f>(4672.59*(L8))</f>
        <v>24998.356499999998</v>
      </c>
      <c r="N439" s="20">
        <f>(4856.8*(L8))</f>
        <v>25983.88</v>
      </c>
      <c r="O439" s="20">
        <f>(5119.96*(L8))</f>
        <v>27391.786</v>
      </c>
      <c r="P439" s="20">
        <f>(5251.53*(L8))</f>
        <v>28095.685499999996</v>
      </c>
      <c r="Q439" s="20">
        <f>(5777.85*(L8))</f>
        <v>30911.497500000001</v>
      </c>
    </row>
    <row r="440" spans="1:17" ht="12.75" customHeight="1" x14ac:dyDescent="0.2">
      <c r="A440" s="6"/>
      <c r="B440" s="10" t="s">
        <v>721</v>
      </c>
      <c r="C440" s="20" t="s">
        <v>429</v>
      </c>
      <c r="D440" s="20" t="s">
        <v>382</v>
      </c>
      <c r="E440" s="20" t="s">
        <v>275</v>
      </c>
      <c r="F440" s="20" t="s">
        <v>210</v>
      </c>
      <c r="G440" s="20" t="s">
        <v>234</v>
      </c>
      <c r="H440" s="20">
        <f>(4160.76*(L8))</f>
        <v>22260.065999999999</v>
      </c>
      <c r="I440" s="20">
        <f>(4301.12*(L8))</f>
        <v>23010.991999999998</v>
      </c>
      <c r="J440" s="20">
        <f>(4385.33*(L8))</f>
        <v>23461.515499999998</v>
      </c>
      <c r="K440" s="20">
        <f>(4609.89*(L8))</f>
        <v>24662.911499999998</v>
      </c>
      <c r="L440" s="20">
        <f>(4750.24*(L8))</f>
        <v>25413.783999999996</v>
      </c>
      <c r="M440" s="20">
        <f>(4918.66*(L8))</f>
        <v>26314.830999999998</v>
      </c>
      <c r="N440" s="20">
        <f>(5115.15*(L8))</f>
        <v>27366.052499999998</v>
      </c>
      <c r="O440" s="20">
        <f>(5395.85*(L8))</f>
        <v>28867.797500000001</v>
      </c>
      <c r="P440" s="20">
        <f>(5536.2*(L8))</f>
        <v>29618.67</v>
      </c>
      <c r="Q440" s="20">
        <f>(6097.61*(L8))</f>
        <v>32622.213499999994</v>
      </c>
    </row>
    <row r="441" spans="1:17" ht="12.75" customHeight="1" x14ac:dyDescent="0.2">
      <c r="A441" s="6"/>
      <c r="B441" s="10" t="s">
        <v>722</v>
      </c>
      <c r="C441" s="20" t="s">
        <v>431</v>
      </c>
      <c r="D441" s="20" t="s">
        <v>382</v>
      </c>
      <c r="E441" s="20" t="s">
        <v>275</v>
      </c>
      <c r="F441" s="20" t="s">
        <v>210</v>
      </c>
      <c r="G441" s="20" t="s">
        <v>243</v>
      </c>
      <c r="H441" s="20">
        <f>(4346.9*(L8))</f>
        <v>23255.914999999997</v>
      </c>
      <c r="I441" s="20">
        <f>(4496.03*(L8))</f>
        <v>24053.760499999997</v>
      </c>
      <c r="J441" s="20">
        <f>(4585.5*(L8))</f>
        <v>24532.424999999999</v>
      </c>
      <c r="K441" s="20">
        <f>(4824.1*(L8))</f>
        <v>25808.935000000001</v>
      </c>
      <c r="L441" s="20">
        <f>(4973.22*(L8))</f>
        <v>26606.726999999999</v>
      </c>
      <c r="M441" s="20">
        <f>(5152.17*(L8))</f>
        <v>27564.109499999999</v>
      </c>
      <c r="N441" s="20">
        <f>(5360.94*(L8))</f>
        <v>28681.028999999995</v>
      </c>
      <c r="O441" s="20">
        <f>(5659.18*(L8))</f>
        <v>30276.613000000001</v>
      </c>
      <c r="P441" s="20">
        <f>(5808.31*(L8))</f>
        <v>31074.458500000001</v>
      </c>
      <c r="Q441" s="20">
        <f>(6404.8*(L8))</f>
        <v>34265.68</v>
      </c>
    </row>
    <row r="442" spans="1:17" ht="12.75" customHeight="1" x14ac:dyDescent="0.2">
      <c r="A442" s="6"/>
      <c r="B442" s="10" t="s">
        <v>723</v>
      </c>
      <c r="C442" s="20" t="s">
        <v>233</v>
      </c>
      <c r="D442" s="20" t="s">
        <v>382</v>
      </c>
      <c r="E442" s="20" t="s">
        <v>275</v>
      </c>
      <c r="F442" s="20" t="s">
        <v>210</v>
      </c>
      <c r="G442" s="20" t="s">
        <v>283</v>
      </c>
      <c r="H442" s="20">
        <f>(4518.1*(L8))</f>
        <v>24171.834999999999</v>
      </c>
      <c r="I442" s="20">
        <f>(4675.99*(L8))</f>
        <v>25016.546499999997</v>
      </c>
      <c r="J442" s="20">
        <f>(4770.73*(L8))</f>
        <v>25523.405499999997</v>
      </c>
      <c r="K442" s="20">
        <f>(5023.36*(L8))</f>
        <v>26874.975999999995</v>
      </c>
      <c r="L442" s="20">
        <f>(5181.26*(L8))</f>
        <v>27719.740999999998</v>
      </c>
      <c r="M442" s="20">
        <f>(5370.73*(L8))</f>
        <v>28733.405499999997</v>
      </c>
      <c r="N442" s="20">
        <f>(5591.78*(L8))</f>
        <v>29916.022999999997</v>
      </c>
      <c r="O442" s="20">
        <f>(5907.57*(L8))</f>
        <v>31605.499499999998</v>
      </c>
      <c r="P442" s="20">
        <f>(6065.47*(L8))</f>
        <v>32450.264499999997</v>
      </c>
      <c r="Q442" s="20">
        <f>(6697.04*(L8))</f>
        <v>35829.163999999997</v>
      </c>
    </row>
    <row r="443" spans="1:17" ht="12.75" customHeight="1" x14ac:dyDescent="0.2">
      <c r="A443" s="6"/>
      <c r="B443" s="10" t="s">
        <v>724</v>
      </c>
      <c r="C443" s="20" t="s">
        <v>292</v>
      </c>
      <c r="D443" s="20" t="s">
        <v>382</v>
      </c>
      <c r="E443" s="20" t="s">
        <v>275</v>
      </c>
      <c r="F443" s="20" t="s">
        <v>210</v>
      </c>
      <c r="G443" s="20" t="s">
        <v>234</v>
      </c>
      <c r="H443" s="20">
        <f>(3982.29*(L8))</f>
        <v>21305.251499999998</v>
      </c>
      <c r="I443" s="20">
        <f>(4113.87*(L8))</f>
        <v>22009.204499999996</v>
      </c>
      <c r="J443" s="20">
        <f>(4192.82*(L8))</f>
        <v>22431.586999999996</v>
      </c>
      <c r="K443" s="20">
        <f>(4403.34*(L8))</f>
        <v>23557.868999999999</v>
      </c>
      <c r="L443" s="20">
        <f>(4534.92*(L8))</f>
        <v>24261.822</v>
      </c>
      <c r="M443" s="20">
        <f>(4692.82*(L8))</f>
        <v>25106.586999999996</v>
      </c>
      <c r="N443" s="20">
        <f>(4877.03*(L8))</f>
        <v>26092.110499999995</v>
      </c>
      <c r="O443" s="20">
        <f>(5140.18*(L8))</f>
        <v>27499.963</v>
      </c>
      <c r="P443" s="20">
        <f>(5271.76*(L8))</f>
        <v>28203.916000000001</v>
      </c>
      <c r="Q443" s="20">
        <f>(5798.08*(L8))</f>
        <v>31019.727999999999</v>
      </c>
    </row>
    <row r="444" spans="1:17" ht="12.75" customHeight="1" x14ac:dyDescent="0.2">
      <c r="A444" s="6"/>
      <c r="B444" s="10" t="s">
        <v>725</v>
      </c>
      <c r="C444" s="20" t="s">
        <v>273</v>
      </c>
      <c r="D444" s="20" t="s">
        <v>382</v>
      </c>
      <c r="E444" s="20" t="s">
        <v>275</v>
      </c>
      <c r="F444" s="20" t="s">
        <v>210</v>
      </c>
      <c r="G444" s="20" t="s">
        <v>477</v>
      </c>
      <c r="H444" s="20">
        <f>(4139.13*(L8))</f>
        <v>22144.345499999999</v>
      </c>
      <c r="I444" s="20">
        <f>(4279.49*(L8))</f>
        <v>22895.271499999999</v>
      </c>
      <c r="J444" s="20">
        <f>(4363.7*(L8))</f>
        <v>23345.794999999998</v>
      </c>
      <c r="K444" s="20">
        <f>(4588.26*(L8))</f>
        <v>24547.190999999999</v>
      </c>
      <c r="L444" s="20">
        <f>(4728.61*(L8))</f>
        <v>25298.063499999997</v>
      </c>
      <c r="M444" s="20">
        <f>(4897.03*(L8))</f>
        <v>26199.110499999995</v>
      </c>
      <c r="N444" s="20">
        <f>(5093.52*(L8))</f>
        <v>27250.332000000002</v>
      </c>
      <c r="O444" s="20">
        <f>(5374.22*(L8))</f>
        <v>28752.077000000001</v>
      </c>
      <c r="P444" s="20">
        <f>(5514.57*(L8))</f>
        <v>29502.949499999995</v>
      </c>
      <c r="Q444" s="20">
        <f>(6075.98*(L8))</f>
        <v>32506.492999999995</v>
      </c>
    </row>
    <row r="445" spans="1:17" ht="12.75" customHeight="1" x14ac:dyDescent="0.2">
      <c r="A445" s="6"/>
      <c r="B445" s="10" t="s">
        <v>726</v>
      </c>
      <c r="C445" s="20" t="s">
        <v>278</v>
      </c>
      <c r="D445" s="20" t="s">
        <v>382</v>
      </c>
      <c r="E445" s="20" t="s">
        <v>275</v>
      </c>
      <c r="F445" s="20" t="s">
        <v>210</v>
      </c>
      <c r="G445" s="20" t="s">
        <v>243</v>
      </c>
      <c r="H445" s="20">
        <f>(4314.06*(L8))</f>
        <v>23080.221000000001</v>
      </c>
      <c r="I445" s="20">
        <f>(4463.18*(L8))</f>
        <v>23878.012999999999</v>
      </c>
      <c r="J445" s="20">
        <f>(4552.65*(L8))</f>
        <v>24356.677499999998</v>
      </c>
      <c r="K445" s="20">
        <f>(4791.25*(L8))</f>
        <v>25633.1875</v>
      </c>
      <c r="L445" s="20">
        <f>(4940.37*(L8))</f>
        <v>26430.979499999998</v>
      </c>
      <c r="M445" s="20">
        <f>(5119.32*(L8))</f>
        <v>27388.361999999997</v>
      </c>
      <c r="N445" s="20">
        <f>(5328.09*(L8))</f>
        <v>28505.281499999997</v>
      </c>
      <c r="O445" s="20">
        <f>(5626.34*(L8))</f>
        <v>30100.918999999998</v>
      </c>
      <c r="P445" s="20">
        <f>(5775.46*(L8))</f>
        <v>30898.710999999999</v>
      </c>
      <c r="Q445" s="20">
        <f>(6371.95*(L8))</f>
        <v>34089.932499999995</v>
      </c>
    </row>
    <row r="446" spans="1:17" ht="12.75" customHeight="1" x14ac:dyDescent="0.2">
      <c r="A446" s="6"/>
      <c r="B446" s="10" t="s">
        <v>727</v>
      </c>
      <c r="C446" s="20" t="s">
        <v>280</v>
      </c>
      <c r="D446" s="20" t="s">
        <v>382</v>
      </c>
      <c r="E446" s="20" t="s">
        <v>275</v>
      </c>
      <c r="F446" s="20" t="s">
        <v>210</v>
      </c>
      <c r="G446" s="20" t="s">
        <v>728</v>
      </c>
      <c r="H446" s="20">
        <f>(4502.69*(L8))</f>
        <v>24089.391499999998</v>
      </c>
      <c r="I446" s="20">
        <f>(4660.59*(L8))</f>
        <v>24934.156499999997</v>
      </c>
      <c r="J446" s="20">
        <f>(4755.33*(L8))</f>
        <v>25441.015499999998</v>
      </c>
      <c r="K446" s="20">
        <f>(5007.96*(L8))</f>
        <v>26792.585999999999</v>
      </c>
      <c r="L446" s="20">
        <f>(5165.85*(L8))</f>
        <v>27637.297500000001</v>
      </c>
      <c r="M446" s="20">
        <f>(5355.33*(L8))</f>
        <v>28651.015499999998</v>
      </c>
      <c r="N446" s="20">
        <f>(5576.38*(L8))</f>
        <v>29833.632999999998</v>
      </c>
      <c r="O446" s="20">
        <f>(5892.17*(L8))</f>
        <v>31523.109499999999</v>
      </c>
      <c r="P446" s="20">
        <f>(6050.06*(L8))</f>
        <v>32367.821</v>
      </c>
      <c r="Q446" s="20">
        <f>(6681.64*(L8))</f>
        <v>35746.773999999998</v>
      </c>
    </row>
    <row r="447" spans="1:17" ht="12.75" customHeight="1" x14ac:dyDescent="0.2">
      <c r="A447" s="6"/>
      <c r="B447" s="10" t="s">
        <v>729</v>
      </c>
      <c r="C447" s="20" t="s">
        <v>236</v>
      </c>
      <c r="D447" s="20" t="s">
        <v>382</v>
      </c>
      <c r="E447" s="20" t="s">
        <v>275</v>
      </c>
      <c r="F447" s="20" t="s">
        <v>210</v>
      </c>
      <c r="G447" s="20" t="s">
        <v>286</v>
      </c>
      <c r="H447" s="20">
        <f>(4655.94*(L8))</f>
        <v>24909.278999999995</v>
      </c>
      <c r="I447" s="20">
        <f>(4818.22*(L8))</f>
        <v>25777.476999999999</v>
      </c>
      <c r="J447" s="20">
        <f>(4915.59*(L8))</f>
        <v>26298.406499999997</v>
      </c>
      <c r="K447" s="20">
        <f>(5175.24*(L8))</f>
        <v>27687.533999999996</v>
      </c>
      <c r="L447" s="20">
        <f>(5337.52*(L8))</f>
        <v>28555.732</v>
      </c>
      <c r="M447" s="20">
        <f>(5532.26*(L8))</f>
        <v>29597.591</v>
      </c>
      <c r="N447" s="20">
        <f>(5759.45*(L8))</f>
        <v>30813.057499999995</v>
      </c>
      <c r="O447" s="20">
        <f>(6084.01*(L8))</f>
        <v>32549.4535</v>
      </c>
      <c r="P447" s="20">
        <f>(6246.29*(L8))</f>
        <v>33417.6515</v>
      </c>
      <c r="Q447" s="20">
        <f>(6895.41*(L8))</f>
        <v>36890.443499999994</v>
      </c>
    </row>
    <row r="448" spans="1:17" ht="12.75" customHeight="1" x14ac:dyDescent="0.2">
      <c r="A448" s="6"/>
      <c r="B448" s="10" t="s">
        <v>730</v>
      </c>
      <c r="C448" s="20" t="s">
        <v>26</v>
      </c>
      <c r="D448" s="20" t="s">
        <v>382</v>
      </c>
      <c r="E448" s="20" t="s">
        <v>27</v>
      </c>
      <c r="F448" s="20" t="s">
        <v>27</v>
      </c>
      <c r="G448" s="20" t="s">
        <v>60</v>
      </c>
      <c r="H448" s="20">
        <f>(2944.91*(L8))</f>
        <v>15755.268499999998</v>
      </c>
      <c r="I448" s="20">
        <f>(3019.47*(L8))</f>
        <v>16154.164499999997</v>
      </c>
      <c r="J448" s="20">
        <f>(3064.21*(L8))</f>
        <v>16393.523499999999</v>
      </c>
      <c r="K448" s="20">
        <f>(3183.51*(L8))</f>
        <v>17031.7785</v>
      </c>
      <c r="L448" s="20">
        <f>(3258.07*(L8))</f>
        <v>17430.674500000001</v>
      </c>
      <c r="M448" s="20">
        <f>(3347.54*(L8))</f>
        <v>17909.339</v>
      </c>
      <c r="N448" s="20">
        <f>(3451.93*(L8))</f>
        <v>18467.825499999999</v>
      </c>
      <c r="O448" s="20">
        <f>(3601.05*(L8))</f>
        <v>19265.6175</v>
      </c>
      <c r="P448" s="20">
        <f>(3675.61*(L8))</f>
        <v>19664.513500000001</v>
      </c>
      <c r="Q448" s="20">
        <f>(3973.86*(L8))</f>
        <v>21260.150999999998</v>
      </c>
    </row>
    <row r="449" spans="1:17" ht="12.75" customHeight="1" x14ac:dyDescent="0.2">
      <c r="A449" s="6"/>
      <c r="B449" s="10" t="s">
        <v>731</v>
      </c>
      <c r="C449" s="20" t="s">
        <v>99</v>
      </c>
      <c r="D449" s="20" t="s">
        <v>732</v>
      </c>
      <c r="E449" s="20" t="s">
        <v>27</v>
      </c>
      <c r="F449" s="20" t="s">
        <v>27</v>
      </c>
      <c r="G449" s="20" t="s">
        <v>247</v>
      </c>
      <c r="H449" s="20">
        <f>(1823.46*(L8))</f>
        <v>9755.5110000000004</v>
      </c>
      <c r="I449" s="20">
        <f>(1854.16*(L8))</f>
        <v>9919.7559999999994</v>
      </c>
      <c r="J449" s="20">
        <f>(1872.58*(L8))</f>
        <v>10018.302999999998</v>
      </c>
      <c r="K449" s="20">
        <f>(1921.7*(L8))</f>
        <v>10281.094999999999</v>
      </c>
      <c r="L449" s="20">
        <f>(1952.41*(L8))</f>
        <v>10445.3935</v>
      </c>
      <c r="M449" s="20">
        <f>(1989.25*(L8))</f>
        <v>10642.487499999999</v>
      </c>
      <c r="N449" s="20">
        <f>(2032.23*(L8))</f>
        <v>10872.430499999999</v>
      </c>
      <c r="O449" s="20">
        <f>(2093.63*(L8))</f>
        <v>11200.9205</v>
      </c>
      <c r="P449" s="20">
        <f>(2124.34*(L8))</f>
        <v>11365.218999999999</v>
      </c>
      <c r="Q449" s="20">
        <f>(2247.14*(L8))</f>
        <v>12022.198999999999</v>
      </c>
    </row>
    <row r="450" spans="1:17" ht="12.75" customHeight="1" x14ac:dyDescent="0.2">
      <c r="A450" s="6"/>
      <c r="B450" s="10" t="s">
        <v>733</v>
      </c>
      <c r="C450" s="20" t="s">
        <v>270</v>
      </c>
      <c r="D450" s="20" t="s">
        <v>382</v>
      </c>
      <c r="E450" s="20" t="s">
        <v>275</v>
      </c>
      <c r="F450" s="20" t="s">
        <v>27</v>
      </c>
      <c r="G450" s="20" t="s">
        <v>38</v>
      </c>
      <c r="H450" s="20">
        <f>(2914.78*(L8))</f>
        <v>15594.073</v>
      </c>
      <c r="I450" s="20">
        <f>(2984.95*(L8))</f>
        <v>15969.482499999998</v>
      </c>
      <c r="J450" s="20">
        <f>(3027.06*(L8))</f>
        <v>16194.770999999999</v>
      </c>
      <c r="K450" s="20">
        <f>(3139.34*(L8))</f>
        <v>16795.469000000001</v>
      </c>
      <c r="L450" s="20">
        <f>(3209.51*(L8))</f>
        <v>17170.878499999999</v>
      </c>
      <c r="M450" s="20">
        <f>(3293.72*(L8))</f>
        <v>17621.401999999998</v>
      </c>
      <c r="N450" s="20">
        <f>(3391.97*(L8))</f>
        <v>18147.039499999999</v>
      </c>
      <c r="O450" s="20">
        <f>(3532.32*(L8))</f>
        <v>18897.912</v>
      </c>
      <c r="P450" s="20">
        <f>(3602.5*(L8))</f>
        <v>19273.375</v>
      </c>
      <c r="Q450" s="20">
        <f>(3883.2*(L8))</f>
        <v>20775.12</v>
      </c>
    </row>
    <row r="451" spans="1:17" ht="12.75" customHeight="1" x14ac:dyDescent="0.2">
      <c r="A451" s="6"/>
      <c r="B451" s="10" t="s">
        <v>734</v>
      </c>
      <c r="C451" s="20" t="s">
        <v>30</v>
      </c>
      <c r="D451" s="20" t="s">
        <v>382</v>
      </c>
      <c r="E451" s="20" t="s">
        <v>275</v>
      </c>
      <c r="F451" s="20" t="s">
        <v>27</v>
      </c>
      <c r="G451" s="20" t="s">
        <v>42</v>
      </c>
      <c r="H451" s="20">
        <f>(3011.49*(L8))</f>
        <v>16111.471499999998</v>
      </c>
      <c r="I451" s="20">
        <f>(3086.05*(L8))</f>
        <v>16510.3675</v>
      </c>
      <c r="J451" s="20">
        <f>(3130.78*(L8))</f>
        <v>16749.672999999999</v>
      </c>
      <c r="K451" s="20">
        <f>(3250.08*(L8))</f>
        <v>17387.928</v>
      </c>
      <c r="L451" s="20">
        <f>(3324.64*(L8))</f>
        <v>17786.823999999997</v>
      </c>
      <c r="M451" s="20">
        <f>(3414.12*(L8))</f>
        <v>18265.541999999998</v>
      </c>
      <c r="N451" s="20">
        <f>(3518.5*(L8))</f>
        <v>18823.974999999999</v>
      </c>
      <c r="O451" s="20">
        <f>(3667.63*(L8))</f>
        <v>19621.820499999998</v>
      </c>
      <c r="P451" s="20">
        <f>(3742.19*(L8))</f>
        <v>20020.716499999999</v>
      </c>
      <c r="Q451" s="20">
        <f>(4040.43*(L8))</f>
        <v>21616.300499999998</v>
      </c>
    </row>
    <row r="452" spans="1:17" ht="12.75" customHeight="1" x14ac:dyDescent="0.2">
      <c r="A452" s="6"/>
      <c r="B452" s="10" t="s">
        <v>735</v>
      </c>
      <c r="C452" s="20" t="s">
        <v>425</v>
      </c>
      <c r="D452" s="20" t="s">
        <v>382</v>
      </c>
      <c r="E452" s="20" t="s">
        <v>275</v>
      </c>
      <c r="F452" s="20" t="s">
        <v>27</v>
      </c>
      <c r="G452" s="20" t="s">
        <v>152</v>
      </c>
      <c r="H452" s="20">
        <f>(3113.65*(L8))</f>
        <v>16658.0275</v>
      </c>
      <c r="I452" s="20">
        <f>(3192.6*(L8))</f>
        <v>17080.41</v>
      </c>
      <c r="J452" s="20">
        <f>(3239.97*(L8))</f>
        <v>17333.839499999998</v>
      </c>
      <c r="K452" s="20">
        <f>(3366.28*(L8))</f>
        <v>18009.597999999998</v>
      </c>
      <c r="L452" s="20">
        <f>(3445.23*(L8))</f>
        <v>18431.980499999998</v>
      </c>
      <c r="M452" s="20">
        <f>(3539.97*(L8))</f>
        <v>18938.839499999998</v>
      </c>
      <c r="N452" s="20">
        <f>(3650.49*(L8))</f>
        <v>19530.121499999997</v>
      </c>
      <c r="O452" s="20">
        <f>(3808.39*(L8))</f>
        <v>20374.886499999997</v>
      </c>
      <c r="P452" s="20">
        <f>(3887.33*(L8))</f>
        <v>20797.215499999998</v>
      </c>
      <c r="Q452" s="20">
        <f>(4203.12*(L8))</f>
        <v>22486.691999999999</v>
      </c>
    </row>
    <row r="453" spans="1:17" ht="12.75" customHeight="1" x14ac:dyDescent="0.2">
      <c r="A453" s="6"/>
      <c r="B453" s="98" t="s">
        <v>1448</v>
      </c>
      <c r="C453" s="125">
        <f>(1150*($L$8))</f>
        <v>6152.5</v>
      </c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</row>
    <row r="454" spans="1:17" ht="12.75" customHeight="1" x14ac:dyDescent="0.2">
      <c r="A454" s="6"/>
      <c r="B454" s="98" t="s">
        <v>1449</v>
      </c>
      <c r="C454" s="125">
        <f>(2300*($L$8))</f>
        <v>12305</v>
      </c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</row>
    <row r="455" spans="1:17" ht="30" customHeight="1" x14ac:dyDescent="0.35">
      <c r="A455" s="6"/>
      <c r="B455" s="23" t="s">
        <v>736</v>
      </c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5"/>
    </row>
    <row r="456" spans="1:17" ht="12.75" customHeight="1" x14ac:dyDescent="0.2">
      <c r="A456" s="7" t="s">
        <v>6</v>
      </c>
      <c r="B456" s="8" t="s">
        <v>7</v>
      </c>
      <c r="C456" s="8" t="s">
        <v>8</v>
      </c>
      <c r="D456" s="8" t="s">
        <v>9</v>
      </c>
      <c r="E456" s="8" t="s">
        <v>10</v>
      </c>
      <c r="F456" s="8" t="s">
        <v>11</v>
      </c>
      <c r="G456" s="8" t="s">
        <v>12</v>
      </c>
      <c r="H456" s="8" t="s">
        <v>13</v>
      </c>
      <c r="I456" s="8" t="s">
        <v>14</v>
      </c>
      <c r="J456" s="8" t="s">
        <v>15</v>
      </c>
      <c r="K456" s="8" t="s">
        <v>16</v>
      </c>
      <c r="L456" s="8" t="s">
        <v>17</v>
      </c>
      <c r="M456" s="8" t="s">
        <v>18</v>
      </c>
      <c r="N456" s="8" t="s">
        <v>19</v>
      </c>
      <c r="O456" s="8" t="s">
        <v>20</v>
      </c>
      <c r="P456" s="8" t="s">
        <v>21</v>
      </c>
      <c r="Q456" s="8" t="s">
        <v>22</v>
      </c>
    </row>
    <row r="457" spans="1:17" ht="12.75" customHeight="1" x14ac:dyDescent="0.2">
      <c r="A457" s="6"/>
      <c r="B457" s="10" t="s">
        <v>737</v>
      </c>
      <c r="C457" s="20" t="s">
        <v>565</v>
      </c>
      <c r="D457" s="20" t="s">
        <v>149</v>
      </c>
      <c r="E457" s="20" t="s">
        <v>256</v>
      </c>
      <c r="F457" s="20" t="s">
        <v>210</v>
      </c>
      <c r="G457" s="20" t="s">
        <v>60</v>
      </c>
      <c r="H457" s="20">
        <f>(2863.57*(L8))</f>
        <v>15320.0995</v>
      </c>
      <c r="I457" s="20">
        <f>(2929.36*(L8))</f>
        <v>15672.075999999999</v>
      </c>
      <c r="J457" s="20">
        <f>(2968.83*(L8))</f>
        <v>15883.240499999998</v>
      </c>
      <c r="K457" s="20">
        <f>(3074.1*(L8))</f>
        <v>16446.434999999998</v>
      </c>
      <c r="L457" s="20">
        <f>(3139.89*(L8))</f>
        <v>16798.411499999998</v>
      </c>
      <c r="M457" s="20">
        <f>(3218.83*(L8))</f>
        <v>17220.7405</v>
      </c>
      <c r="N457" s="20">
        <f>(3310.94*(L8))</f>
        <v>17713.528999999999</v>
      </c>
      <c r="O457" s="20">
        <f>(3442.52*(L8))</f>
        <v>18417.482</v>
      </c>
      <c r="P457" s="20">
        <f>(3508.31*(L8))</f>
        <v>18769.458499999997</v>
      </c>
      <c r="Q457" s="20">
        <f>(3771.47*(L8))</f>
        <v>20177.364499999996</v>
      </c>
    </row>
    <row r="458" spans="1:17" ht="12.75" customHeight="1" x14ac:dyDescent="0.2">
      <c r="A458" s="6"/>
      <c r="B458" s="10" t="s">
        <v>738</v>
      </c>
      <c r="C458" s="20" t="s">
        <v>385</v>
      </c>
      <c r="D458" s="20" t="s">
        <v>149</v>
      </c>
      <c r="E458" s="20" t="s">
        <v>256</v>
      </c>
      <c r="F458" s="20" t="s">
        <v>210</v>
      </c>
      <c r="G458" s="20" t="s">
        <v>42</v>
      </c>
      <c r="H458" s="20">
        <f>(2978.55*(L8))</f>
        <v>15935.2425</v>
      </c>
      <c r="I458" s="20">
        <f>(3048.73*(L8))</f>
        <v>16310.705499999998</v>
      </c>
      <c r="J458" s="20">
        <f>(3090.83*(L8))</f>
        <v>16535.940499999997</v>
      </c>
      <c r="K458" s="20">
        <f>(3203.11*(L8))</f>
        <v>17136.638500000001</v>
      </c>
      <c r="L458" s="20">
        <f>(3273.29*(L8))</f>
        <v>17512.101499999997</v>
      </c>
      <c r="M458" s="20">
        <f>(3357.5*(L8))</f>
        <v>17962.625</v>
      </c>
      <c r="N458" s="20">
        <f>(3455.74*(L8))</f>
        <v>18488.208999999999</v>
      </c>
      <c r="O458" s="20">
        <f>(3596.1*(L8))</f>
        <v>19239.134999999998</v>
      </c>
      <c r="P458" s="20">
        <f>(3666.27*(L8))</f>
        <v>19614.5445</v>
      </c>
      <c r="Q458" s="20">
        <f>(3946.97*(L8))</f>
        <v>21116.289499999999</v>
      </c>
    </row>
    <row r="459" spans="1:17" ht="12.75" customHeight="1" x14ac:dyDescent="0.2">
      <c r="A459" s="6"/>
      <c r="B459" s="10" t="s">
        <v>739</v>
      </c>
      <c r="C459" s="20" t="s">
        <v>85</v>
      </c>
      <c r="D459" s="20" t="s">
        <v>149</v>
      </c>
      <c r="E459" s="20" t="s">
        <v>256</v>
      </c>
      <c r="F459" s="20" t="s">
        <v>210</v>
      </c>
      <c r="G459" s="20" t="s">
        <v>262</v>
      </c>
      <c r="H459" s="20">
        <f>(3084.35*(L8))</f>
        <v>16501.272499999999</v>
      </c>
      <c r="I459" s="20">
        <f>(3158.91*(L8))</f>
        <v>16900.1685</v>
      </c>
      <c r="J459" s="20">
        <f>(3203.65*(L8))</f>
        <v>17139.5275</v>
      </c>
      <c r="K459" s="20">
        <f>(3322.95*(L8))</f>
        <v>17777.782499999998</v>
      </c>
      <c r="L459" s="20">
        <f>(3397.51*(L8))</f>
        <v>18176.678499999998</v>
      </c>
      <c r="M459" s="20">
        <f>(3486.98*(L8))</f>
        <v>18655.342999999997</v>
      </c>
      <c r="N459" s="20">
        <f>(3591.37*(L8))</f>
        <v>19213.8295</v>
      </c>
      <c r="O459" s="20">
        <f>(3740.49*(L8))</f>
        <v>20011.621499999997</v>
      </c>
      <c r="P459" s="20">
        <f>(3815.05*(L8))</f>
        <v>20410.517499999998</v>
      </c>
      <c r="Q459" s="20">
        <f>(4113.3*(L8))</f>
        <v>22006.154999999999</v>
      </c>
    </row>
    <row r="460" spans="1:17" ht="12.75" customHeight="1" x14ac:dyDescent="0.2">
      <c r="A460" s="6"/>
      <c r="B460" s="10" t="s">
        <v>740</v>
      </c>
      <c r="C460" s="20" t="s">
        <v>79</v>
      </c>
      <c r="D460" s="20" t="s">
        <v>149</v>
      </c>
      <c r="E460" s="20" t="s">
        <v>256</v>
      </c>
      <c r="F460" s="20" t="s">
        <v>210</v>
      </c>
      <c r="G460" s="20" t="s">
        <v>54</v>
      </c>
      <c r="H460" s="20">
        <f>(2673.8*(L8))</f>
        <v>14304.83</v>
      </c>
      <c r="I460" s="20">
        <f>(2730.82*(L8))</f>
        <v>14609.887000000001</v>
      </c>
      <c r="J460" s="20">
        <f>(2765.03*(L8))</f>
        <v>14792.9105</v>
      </c>
      <c r="K460" s="20">
        <f>(2856.26*(L8))</f>
        <v>15280.991</v>
      </c>
      <c r="L460" s="20">
        <f>(2913.28*(L8))</f>
        <v>15586.048000000001</v>
      </c>
      <c r="M460" s="20">
        <f>(2981.7*(L8))</f>
        <v>15952.094999999998</v>
      </c>
      <c r="N460" s="20">
        <f>(3061.52*(L8))</f>
        <v>16379.132</v>
      </c>
      <c r="O460" s="20">
        <f>(3175.56*(L8))</f>
        <v>16989.245999999999</v>
      </c>
      <c r="P460" s="20">
        <f>(3232.57*(L8))</f>
        <v>17294.249499999998</v>
      </c>
      <c r="Q460" s="20">
        <f>(3460.64*(L8))</f>
        <v>18514.423999999999</v>
      </c>
    </row>
    <row r="461" spans="1:17" ht="12.75" customHeight="1" x14ac:dyDescent="0.2">
      <c r="A461" s="6"/>
      <c r="B461" s="10" t="s">
        <v>741</v>
      </c>
      <c r="C461" s="20" t="s">
        <v>24</v>
      </c>
      <c r="D461" s="20" t="s">
        <v>149</v>
      </c>
      <c r="E461" s="20" t="s">
        <v>256</v>
      </c>
      <c r="F461" s="20" t="s">
        <v>210</v>
      </c>
      <c r="G461" s="20" t="s">
        <v>35</v>
      </c>
      <c r="H461" s="20">
        <f>(2665.79*(L8))</f>
        <v>14261.976499999999</v>
      </c>
      <c r="I461" s="20">
        <f>(2718.43*(L8))</f>
        <v>14543.600499999999</v>
      </c>
      <c r="J461" s="20">
        <f>(2750*(L8))</f>
        <v>14712.499999999998</v>
      </c>
      <c r="K461" s="20">
        <f>(2834.21*(L8))</f>
        <v>15163.023499999999</v>
      </c>
      <c r="L461" s="20">
        <f>(2886.85*(L8))</f>
        <v>15444.647499999999</v>
      </c>
      <c r="M461" s="20">
        <f>(2950*(L8))</f>
        <v>15782.499999999998</v>
      </c>
      <c r="N461" s="20">
        <f>(3023.69*(L8))</f>
        <v>16176.7415</v>
      </c>
      <c r="O461" s="20">
        <f>(3128.95*(L8))</f>
        <v>16739.8825</v>
      </c>
      <c r="P461" s="20">
        <f>(3181.58*(L8))</f>
        <v>17021.452999999998</v>
      </c>
      <c r="Q461" s="20">
        <f>(3392.11*(L8))</f>
        <v>18147.788499999999</v>
      </c>
    </row>
    <row r="462" spans="1:17" ht="12.75" customHeight="1" x14ac:dyDescent="0.2">
      <c r="A462" s="6"/>
      <c r="B462" s="10" t="s">
        <v>742</v>
      </c>
      <c r="C462" s="20" t="s">
        <v>562</v>
      </c>
      <c r="D462" s="20" t="s">
        <v>149</v>
      </c>
      <c r="E462" s="20" t="s">
        <v>256</v>
      </c>
      <c r="F462" s="20" t="s">
        <v>210</v>
      </c>
      <c r="G462" s="20" t="s">
        <v>54</v>
      </c>
      <c r="H462" s="20">
        <f>(2745.87*(L8))</f>
        <v>14690.404499999999</v>
      </c>
      <c r="I462" s="20">
        <f>(2802.89*(L8))</f>
        <v>14995.461499999998</v>
      </c>
      <c r="J462" s="20">
        <f>(2837.1*(L8))</f>
        <v>15178.484999999999</v>
      </c>
      <c r="K462" s="20">
        <f>(2928.33*(L8))</f>
        <v>15666.565499999999</v>
      </c>
      <c r="L462" s="20">
        <f>(2985.34*(L8))</f>
        <v>15971.569</v>
      </c>
      <c r="M462" s="20">
        <f>(3053.77*(L8))</f>
        <v>16337.669499999998</v>
      </c>
      <c r="N462" s="20">
        <f>(3133.59*(L8))</f>
        <v>16764.7065</v>
      </c>
      <c r="O462" s="20">
        <f>(3247.63*(L8))</f>
        <v>17374.820499999998</v>
      </c>
      <c r="P462" s="20">
        <f>(3304.64*(L8))</f>
        <v>17679.823999999997</v>
      </c>
      <c r="Q462" s="20">
        <f>(3532.71*(L8))</f>
        <v>18899.998499999998</v>
      </c>
    </row>
    <row r="463" spans="1:17" ht="12.75" customHeight="1" x14ac:dyDescent="0.2">
      <c r="A463" s="6"/>
      <c r="B463" s="10" t="s">
        <v>743</v>
      </c>
      <c r="C463" s="20" t="s">
        <v>265</v>
      </c>
      <c r="D463" s="20" t="s">
        <v>149</v>
      </c>
      <c r="E463" s="20" t="s">
        <v>256</v>
      </c>
      <c r="F463" s="20" t="s">
        <v>210</v>
      </c>
      <c r="G463" s="20" t="s">
        <v>38</v>
      </c>
      <c r="H463" s="20">
        <f>(2826.66*(L8))</f>
        <v>15122.630999999998</v>
      </c>
      <c r="I463" s="20">
        <f>(2888.07*(L8))</f>
        <v>15451.174499999999</v>
      </c>
      <c r="J463" s="20">
        <f>(2924.91*(L8))</f>
        <v>15648.268499999998</v>
      </c>
      <c r="K463" s="20">
        <f>(3023.15*(L8))</f>
        <v>16173.852499999999</v>
      </c>
      <c r="L463" s="20">
        <f>(3084.56*(L8))</f>
        <v>16502.395999999997</v>
      </c>
      <c r="M463" s="20">
        <f>(3158.24*(L8))</f>
        <v>16896.583999999999</v>
      </c>
      <c r="N463" s="20">
        <f>(3244.21*(L8))</f>
        <v>17356.523499999999</v>
      </c>
      <c r="O463" s="20">
        <f>(3367.01*(L8))</f>
        <v>18013.503499999999</v>
      </c>
      <c r="P463" s="20">
        <f>(3428.42*(L8))</f>
        <v>18342.046999999999</v>
      </c>
      <c r="Q463" s="20">
        <f>(3674.03*(L8))</f>
        <v>19656.0605</v>
      </c>
    </row>
    <row r="464" spans="1:17" ht="30" customHeight="1" x14ac:dyDescent="0.35">
      <c r="A464" s="6"/>
      <c r="B464" s="23" t="s">
        <v>744</v>
      </c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5"/>
    </row>
    <row r="465" spans="1:17" ht="12.75" customHeight="1" x14ac:dyDescent="0.2">
      <c r="A465" s="7" t="s">
        <v>6</v>
      </c>
      <c r="B465" s="8" t="s">
        <v>7</v>
      </c>
      <c r="C465" s="8" t="s">
        <v>8</v>
      </c>
      <c r="D465" s="8" t="s">
        <v>9</v>
      </c>
      <c r="E465" s="8" t="s">
        <v>10</v>
      </c>
      <c r="F465" s="8" t="s">
        <v>11</v>
      </c>
      <c r="G465" s="8" t="s">
        <v>12</v>
      </c>
      <c r="H465" s="8" t="s">
        <v>13</v>
      </c>
      <c r="I465" s="8" t="s">
        <v>14</v>
      </c>
      <c r="J465" s="8" t="s">
        <v>15</v>
      </c>
      <c r="K465" s="8" t="s">
        <v>16</v>
      </c>
      <c r="L465" s="8" t="s">
        <v>17</v>
      </c>
      <c r="M465" s="8" t="s">
        <v>18</v>
      </c>
      <c r="N465" s="8" t="s">
        <v>19</v>
      </c>
      <c r="O465" s="8" t="s">
        <v>20</v>
      </c>
      <c r="P465" s="8" t="s">
        <v>21</v>
      </c>
      <c r="Q465" s="8" t="s">
        <v>22</v>
      </c>
    </row>
    <row r="466" spans="1:17" ht="12.75" customHeight="1" x14ac:dyDescent="0.2">
      <c r="A466" s="6"/>
      <c r="B466" s="10" t="s">
        <v>745</v>
      </c>
      <c r="C466" s="20" t="s">
        <v>138</v>
      </c>
      <c r="D466" s="20" t="s">
        <v>746</v>
      </c>
      <c r="E466" s="20" t="s">
        <v>747</v>
      </c>
      <c r="F466" s="20" t="s">
        <v>210</v>
      </c>
      <c r="G466" s="20" t="s">
        <v>185</v>
      </c>
      <c r="H466" s="20">
        <f>(3974.34*(L8))</f>
        <v>21262.719000000001</v>
      </c>
      <c r="I466" s="20">
        <f>(4083.99*(L8))</f>
        <v>21849.346499999996</v>
      </c>
      <c r="J466" s="20">
        <f>(4149.78*(L8))</f>
        <v>22201.322999999997</v>
      </c>
      <c r="K466" s="20">
        <f>(4325.22*(L8))</f>
        <v>23139.927</v>
      </c>
      <c r="L466" s="20">
        <f>(4434.87*(L8))</f>
        <v>23726.554499999998</v>
      </c>
      <c r="M466" s="20">
        <f>(4566.45*(L8))</f>
        <v>24430.507499999996</v>
      </c>
      <c r="N466" s="20">
        <f>(4719.96*(L8))</f>
        <v>25251.786</v>
      </c>
      <c r="O466" s="20">
        <f>(4939.26*(L8))</f>
        <v>26425.041000000001</v>
      </c>
      <c r="P466" s="20">
        <f>(5048.91*(L8))</f>
        <v>27011.668499999996</v>
      </c>
      <c r="Q466" s="20">
        <f>(5487.5*(L8))</f>
        <v>29358.124999999996</v>
      </c>
    </row>
    <row r="467" spans="1:17" ht="12.75" customHeight="1" x14ac:dyDescent="0.2">
      <c r="A467" s="6"/>
      <c r="B467" s="10" t="s">
        <v>748</v>
      </c>
      <c r="C467" s="20" t="s">
        <v>429</v>
      </c>
      <c r="D467" s="20" t="s">
        <v>746</v>
      </c>
      <c r="E467" s="20" t="s">
        <v>747</v>
      </c>
      <c r="F467" s="20" t="s">
        <v>210</v>
      </c>
      <c r="G467" s="20" t="s">
        <v>421</v>
      </c>
      <c r="H467" s="20">
        <f>(4154.4*(L8))</f>
        <v>22226.039999999997</v>
      </c>
      <c r="I467" s="20">
        <f>(4272.82*(L8))</f>
        <v>22859.586999999996</v>
      </c>
      <c r="J467" s="20">
        <f>(4343.87*(L8))</f>
        <v>23239.704499999996</v>
      </c>
      <c r="K467" s="20">
        <f>(4533.35*(L8))</f>
        <v>24253.422500000001</v>
      </c>
      <c r="L467" s="20">
        <f>(4651.77*(L8))</f>
        <v>24886.969499999999</v>
      </c>
      <c r="M467" s="20">
        <f>(4793.87*(L8))</f>
        <v>25647.204499999996</v>
      </c>
      <c r="N467" s="20">
        <f>(4959.66*(L8))</f>
        <v>26534.180999999997</v>
      </c>
      <c r="O467" s="20">
        <f>(5196.51*(L8))</f>
        <v>27801.3285</v>
      </c>
      <c r="P467" s="20">
        <f>(5314.93*(L8))</f>
        <v>28434.875499999998</v>
      </c>
      <c r="Q467" s="20">
        <f>(5788.61*(L8))</f>
        <v>30969.063499999997</v>
      </c>
    </row>
    <row r="468" spans="1:17" ht="12.75" customHeight="1" x14ac:dyDescent="0.2">
      <c r="A468" s="6"/>
      <c r="B468" s="10" t="s">
        <v>749</v>
      </c>
      <c r="C468" s="20" t="s">
        <v>431</v>
      </c>
      <c r="D468" s="20" t="s">
        <v>746</v>
      </c>
      <c r="E468" s="20" t="s">
        <v>747</v>
      </c>
      <c r="F468" s="20" t="s">
        <v>210</v>
      </c>
      <c r="G468" s="20" t="s">
        <v>231</v>
      </c>
      <c r="H468" s="20">
        <f>(4320.28*(L8))</f>
        <v>23113.497999999996</v>
      </c>
      <c r="I468" s="20">
        <f>(4443.09*(L8))</f>
        <v>23770.531500000001</v>
      </c>
      <c r="J468" s="20">
        <f>(4516.78*(L8))</f>
        <v>24164.772999999997</v>
      </c>
      <c r="K468" s="20">
        <f>(4713.27*(L8))</f>
        <v>25215.994500000001</v>
      </c>
      <c r="L468" s="20">
        <f>(4836.07*(L8))</f>
        <v>25872.974499999997</v>
      </c>
      <c r="M468" s="20">
        <f>(4983.44*(L8))</f>
        <v>26661.403999999995</v>
      </c>
      <c r="N468" s="20">
        <f>(5155.37*(L8))</f>
        <v>27581.229499999998</v>
      </c>
      <c r="O468" s="20">
        <f>(5400.99*(L8))</f>
        <v>28895.296499999997</v>
      </c>
      <c r="P468" s="20">
        <f>(5523.79*(L8))</f>
        <v>29552.276499999996</v>
      </c>
      <c r="Q468" s="20">
        <f>(6015.02*(L8))</f>
        <v>32180.357</v>
      </c>
    </row>
    <row r="469" spans="1:17" ht="12.75" customHeight="1" x14ac:dyDescent="0.2">
      <c r="A469" s="6"/>
      <c r="B469" s="10" t="s">
        <v>750</v>
      </c>
      <c r="C469" s="20" t="s">
        <v>233</v>
      </c>
      <c r="D469" s="20" t="s">
        <v>746</v>
      </c>
      <c r="E469" s="20" t="s">
        <v>747</v>
      </c>
      <c r="F469" s="20" t="s">
        <v>210</v>
      </c>
      <c r="G469" s="20" t="s">
        <v>237</v>
      </c>
      <c r="H469" s="20">
        <f>(4457.91*(L8))</f>
        <v>23849.818499999998</v>
      </c>
      <c r="I469" s="20">
        <f>(4589.49*(L8))</f>
        <v>24553.771499999999</v>
      </c>
      <c r="J469" s="20">
        <f>(4668.44*(L8))</f>
        <v>24976.153999999995</v>
      </c>
      <c r="K469" s="20">
        <f>(4878.96*(L8))</f>
        <v>26102.435999999998</v>
      </c>
      <c r="L469" s="20">
        <f>(5010.54*(L8))</f>
        <v>26806.388999999999</v>
      </c>
      <c r="M469" s="20">
        <f>(5168.44*(L8))</f>
        <v>27651.153999999995</v>
      </c>
      <c r="N469" s="20">
        <f>(5352.65*(L8))</f>
        <v>28636.677499999998</v>
      </c>
      <c r="O469" s="20">
        <f>(5615.81*(L8))</f>
        <v>30044.583500000001</v>
      </c>
      <c r="P469" s="20">
        <f>(5747.39*(L8))</f>
        <v>30748.536499999998</v>
      </c>
      <c r="Q469" s="20">
        <f>(6273.7*(L8))</f>
        <v>33564.294999999998</v>
      </c>
    </row>
    <row r="470" spans="1:17" ht="12.75" customHeight="1" x14ac:dyDescent="0.2">
      <c r="A470" s="6"/>
      <c r="B470" s="10" t="s">
        <v>751</v>
      </c>
      <c r="C470" s="20" t="s">
        <v>137</v>
      </c>
      <c r="D470" s="20" t="s">
        <v>746</v>
      </c>
      <c r="E470" s="20" t="s">
        <v>747</v>
      </c>
      <c r="F470" s="20" t="s">
        <v>210</v>
      </c>
      <c r="G470" s="20" t="s">
        <v>160</v>
      </c>
      <c r="H470" s="20">
        <f>(3872.82*(L8))</f>
        <v>20719.587</v>
      </c>
      <c r="I470" s="20">
        <f>(3969.31*(L8))</f>
        <v>21235.808499999999</v>
      </c>
      <c r="J470" s="20">
        <f>(4027.2*(L8))</f>
        <v>21545.519999999997</v>
      </c>
      <c r="K470" s="20">
        <f>(4181.59*(L8))</f>
        <v>22371.5065</v>
      </c>
      <c r="L470" s="20">
        <f>(4278.08*(L8))</f>
        <v>22887.727999999999</v>
      </c>
      <c r="M470" s="20">
        <f>(4393.87*(L8))</f>
        <v>23507.204499999996</v>
      </c>
      <c r="N470" s="20">
        <f>(4528.96*(L8))</f>
        <v>24229.935999999998</v>
      </c>
      <c r="O470" s="20">
        <f>(4721.94*(L8))</f>
        <v>25262.378999999997</v>
      </c>
      <c r="P470" s="20">
        <f>(4818.43*(L8))</f>
        <v>25778.6005</v>
      </c>
      <c r="Q470" s="20">
        <f>(5204.4*(L8))</f>
        <v>27843.539999999997</v>
      </c>
    </row>
    <row r="471" spans="1:17" ht="12.75" customHeight="1" x14ac:dyDescent="0.2">
      <c r="A471" s="6"/>
      <c r="B471" s="10" t="s">
        <v>752</v>
      </c>
      <c r="C471" s="20" t="s">
        <v>292</v>
      </c>
      <c r="D471" s="20" t="s">
        <v>746</v>
      </c>
      <c r="E471" s="20" t="s">
        <v>747</v>
      </c>
      <c r="F471" s="20" t="s">
        <v>210</v>
      </c>
      <c r="G471" s="20" t="s">
        <v>182</v>
      </c>
      <c r="H471" s="20">
        <f>(4054.48*(L8))</f>
        <v>21691.467999999997</v>
      </c>
      <c r="I471" s="20">
        <f>(4157.38*(L8))</f>
        <v>22241.983</v>
      </c>
      <c r="J471" s="20">
        <f>(4219.12*(L8))</f>
        <v>22572.291999999998</v>
      </c>
      <c r="K471" s="20">
        <f>(4383.75*(L8))</f>
        <v>23453.0625</v>
      </c>
      <c r="L471" s="20">
        <f>(4486.64*(L8))</f>
        <v>24003.524000000001</v>
      </c>
      <c r="M471" s="20">
        <f>(4610.12*(L8))</f>
        <v>24664.141999999996</v>
      </c>
      <c r="N471" s="20">
        <f>(4754.17*(L8))</f>
        <v>25434.809499999999</v>
      </c>
      <c r="O471" s="20">
        <f>(4959.96*(L8))</f>
        <v>26535.786</v>
      </c>
      <c r="P471" s="20">
        <f>(5062.85*(L8))</f>
        <v>27086.247500000001</v>
      </c>
      <c r="Q471" s="20">
        <f>(5474.43*(L8))</f>
        <v>29288.200499999999</v>
      </c>
    </row>
    <row r="472" spans="1:17" ht="12.75" customHeight="1" x14ac:dyDescent="0.2">
      <c r="A472" s="6"/>
      <c r="B472" s="10" t="s">
        <v>753</v>
      </c>
      <c r="C472" s="20" t="s">
        <v>273</v>
      </c>
      <c r="D472" s="20" t="s">
        <v>746</v>
      </c>
      <c r="E472" s="20" t="s">
        <v>747</v>
      </c>
      <c r="F472" s="20" t="s">
        <v>210</v>
      </c>
      <c r="G472" s="20" t="s">
        <v>229</v>
      </c>
      <c r="H472" s="20">
        <f>(4226.91*(L8))</f>
        <v>22613.968499999999</v>
      </c>
      <c r="I472" s="20">
        <f>(4340.94*(L8))</f>
        <v>23224.028999999995</v>
      </c>
      <c r="J472" s="20">
        <f>(4409.36*(L8))</f>
        <v>23590.075999999997</v>
      </c>
      <c r="K472" s="20">
        <f>(4591.82*(L8))</f>
        <v>24566.236999999997</v>
      </c>
      <c r="L472" s="20">
        <f>(4705.85*(L8))</f>
        <v>25176.297500000001</v>
      </c>
      <c r="M472" s="20">
        <f>(4842.7*(L8))</f>
        <v>25908.444999999996</v>
      </c>
      <c r="N472" s="20">
        <f>(5002.34*(L8))</f>
        <v>26762.519</v>
      </c>
      <c r="O472" s="20">
        <f>(5230.41*(L8))</f>
        <v>27982.693499999998</v>
      </c>
      <c r="P472" s="20">
        <f>(5344.45*(L8))</f>
        <v>28592.807499999995</v>
      </c>
      <c r="Q472" s="20">
        <f>(5800.59*(L8))</f>
        <v>31033.156499999997</v>
      </c>
    </row>
    <row r="473" spans="1:17" ht="12.75" customHeight="1" x14ac:dyDescent="0.2">
      <c r="A473" s="6"/>
      <c r="B473" s="10" t="s">
        <v>754</v>
      </c>
      <c r="C473" s="20" t="s">
        <v>278</v>
      </c>
      <c r="D473" s="20" t="s">
        <v>746</v>
      </c>
      <c r="E473" s="20" t="s">
        <v>747</v>
      </c>
      <c r="F473" s="20" t="s">
        <v>210</v>
      </c>
      <c r="G473" s="20" t="s">
        <v>231</v>
      </c>
      <c r="H473" s="20">
        <f>(4376.26*(L8))</f>
        <v>23412.990999999998</v>
      </c>
      <c r="I473" s="20">
        <f>(4499.07*(L8))</f>
        <v>24070.024499999996</v>
      </c>
      <c r="J473" s="20">
        <f>(4572.75*(L8))</f>
        <v>24464.212499999998</v>
      </c>
      <c r="K473" s="20">
        <f>(4769.24*(L8))</f>
        <v>25515.433999999997</v>
      </c>
      <c r="L473" s="20">
        <f>(4892.05*(L8))</f>
        <v>26172.467499999999</v>
      </c>
      <c r="M473" s="20">
        <f>(5039.42*(L8))</f>
        <v>26960.896999999997</v>
      </c>
      <c r="N473" s="20">
        <f>(5211.35*(L8))</f>
        <v>27880.7225</v>
      </c>
      <c r="O473" s="20">
        <f>(5456.96*(L8))</f>
        <v>29194.735999999997</v>
      </c>
      <c r="P473" s="20">
        <f>(5579.77*(L8))</f>
        <v>29851.769500000002</v>
      </c>
      <c r="Q473" s="20">
        <f>(6071*(L8))</f>
        <v>32479.85</v>
      </c>
    </row>
    <row r="474" spans="1:17" ht="12.75" customHeight="1" x14ac:dyDescent="0.2">
      <c r="A474" s="6"/>
      <c r="B474" s="10" t="s">
        <v>755</v>
      </c>
      <c r="C474" s="20" t="s">
        <v>280</v>
      </c>
      <c r="D474" s="20" t="s">
        <v>746</v>
      </c>
      <c r="E474" s="20" t="s">
        <v>747</v>
      </c>
      <c r="F474" s="20" t="s">
        <v>210</v>
      </c>
      <c r="G474" s="20" t="s">
        <v>237</v>
      </c>
      <c r="H474" s="20">
        <f>(4537.58*(L8))</f>
        <v>24276.052999999996</v>
      </c>
      <c r="I474" s="20">
        <f>(4669.16*(L8))</f>
        <v>24980.005999999998</v>
      </c>
      <c r="J474" s="20">
        <f>(4748.11*(L8))</f>
        <v>25402.388499999997</v>
      </c>
      <c r="K474" s="20">
        <f>(4958.64*(L8))</f>
        <v>26528.723999999998</v>
      </c>
      <c r="L474" s="20">
        <f>(5090.21*(L8))</f>
        <v>27232.623499999998</v>
      </c>
      <c r="M474" s="20">
        <f>(5248.11*(L8))</f>
        <v>28077.388499999997</v>
      </c>
      <c r="N474" s="20">
        <f>(5432.32*(L8))</f>
        <v>29062.911999999997</v>
      </c>
      <c r="O474" s="20">
        <f>(5695.48*(L8))</f>
        <v>30470.817999999996</v>
      </c>
      <c r="P474" s="20">
        <f>(5827.06*(L8))</f>
        <v>31174.771000000001</v>
      </c>
      <c r="Q474" s="20">
        <f>(6353.37*(L8))</f>
        <v>33990.529499999997</v>
      </c>
    </row>
    <row r="475" spans="1:17" ht="12.75" customHeight="1" x14ac:dyDescent="0.2">
      <c r="A475" s="6"/>
      <c r="B475" s="10" t="s">
        <v>756</v>
      </c>
      <c r="C475" s="20" t="s">
        <v>236</v>
      </c>
      <c r="D475" s="20" t="s">
        <v>746</v>
      </c>
      <c r="E475" s="20" t="s">
        <v>747</v>
      </c>
      <c r="F475" s="20" t="s">
        <v>210</v>
      </c>
      <c r="G475" s="20" t="s">
        <v>234</v>
      </c>
      <c r="H475" s="20">
        <f>(4706.21*(L8))</f>
        <v>25178.2235</v>
      </c>
      <c r="I475" s="20">
        <f>(4842.18*(L8))</f>
        <v>25905.663</v>
      </c>
      <c r="J475" s="20">
        <f>(4923.75*(L8))</f>
        <v>26342.0625</v>
      </c>
      <c r="K475" s="20">
        <f>(5141.3*(L8))</f>
        <v>27505.954999999998</v>
      </c>
      <c r="L475" s="20">
        <f>(5277.26*(L8))</f>
        <v>28233.341</v>
      </c>
      <c r="M475" s="20">
        <f>(5440.42*(L8))</f>
        <v>29106.246999999999</v>
      </c>
      <c r="N475" s="20">
        <f>(5630.77*(L8))</f>
        <v>30124.619500000001</v>
      </c>
      <c r="O475" s="20">
        <f>(5902.7*(L8))</f>
        <v>31579.444999999996</v>
      </c>
      <c r="P475" s="20">
        <f>(6038.67*(L8))</f>
        <v>32306.884499999996</v>
      </c>
      <c r="Q475" s="20">
        <f>(6582.53*(L8))</f>
        <v>35216.535499999998</v>
      </c>
    </row>
    <row r="476" spans="1:17" ht="12.75" customHeight="1" x14ac:dyDescent="0.2">
      <c r="A476" s="6"/>
      <c r="B476" s="10" t="s">
        <v>757</v>
      </c>
      <c r="C476" s="20" t="s">
        <v>333</v>
      </c>
      <c r="D476" s="20" t="s">
        <v>758</v>
      </c>
      <c r="E476" s="20" t="s">
        <v>747</v>
      </c>
      <c r="F476" s="20" t="s">
        <v>210</v>
      </c>
      <c r="G476" s="20" t="s">
        <v>152</v>
      </c>
      <c r="H476" s="20">
        <f>(3482.74*(L8))</f>
        <v>18632.658999999996</v>
      </c>
      <c r="I476" s="20">
        <f>(3561.68*(L8))</f>
        <v>19054.987999999998</v>
      </c>
      <c r="J476" s="20">
        <f>(3609.05*(L8))</f>
        <v>19308.4175</v>
      </c>
      <c r="K476" s="20">
        <f>(3735.37*(L8))</f>
        <v>19984.229499999998</v>
      </c>
      <c r="L476" s="20">
        <f>(3814.32*(L8))</f>
        <v>20406.612000000001</v>
      </c>
      <c r="M476" s="20">
        <f>(3909.05*(L8))</f>
        <v>20913.4175</v>
      </c>
      <c r="N476" s="20">
        <f>(4019.58*(L8))</f>
        <v>21504.752999999997</v>
      </c>
      <c r="O476" s="20">
        <f>(4177.47*(L8))</f>
        <v>22349.464499999998</v>
      </c>
      <c r="P476" s="20">
        <f>(4256.42*(L8))</f>
        <v>22771.846999999998</v>
      </c>
      <c r="Q476" s="20">
        <f>(4572.21*(L8))</f>
        <v>24461.323499999999</v>
      </c>
    </row>
    <row r="477" spans="1:17" ht="12.75" customHeight="1" x14ac:dyDescent="0.2">
      <c r="A477" s="6"/>
      <c r="B477" s="10" t="s">
        <v>759</v>
      </c>
      <c r="C477" s="20" t="s">
        <v>565</v>
      </c>
      <c r="D477" s="20" t="s">
        <v>758</v>
      </c>
      <c r="E477" s="20" t="s">
        <v>747</v>
      </c>
      <c r="F477" s="20" t="s">
        <v>210</v>
      </c>
      <c r="G477" s="20" t="s">
        <v>166</v>
      </c>
      <c r="H477" s="20">
        <f>(3633.24*(L8))</f>
        <v>19437.833999999999</v>
      </c>
      <c r="I477" s="20">
        <f>(3720.96*(L8))</f>
        <v>19907.135999999999</v>
      </c>
      <c r="J477" s="20">
        <f>(3773.59*(L8))</f>
        <v>20188.7065</v>
      </c>
      <c r="K477" s="20">
        <f>(3913.94*(L8))</f>
        <v>20939.578999999998</v>
      </c>
      <c r="L477" s="20">
        <f>(4001.66*(L8))</f>
        <v>21408.880999999998</v>
      </c>
      <c r="M477" s="20">
        <f>(4106.92*(L8))</f>
        <v>21972.021999999997</v>
      </c>
      <c r="N477" s="20">
        <f>(4229.73*(L8))</f>
        <v>22629.055499999995</v>
      </c>
      <c r="O477" s="20">
        <f>(4405.17*(L8))</f>
        <v>23567.659499999998</v>
      </c>
      <c r="P477" s="20">
        <f>(4492.89*(L8))</f>
        <v>24036.961500000001</v>
      </c>
      <c r="Q477" s="20">
        <f>(4843.76*(L8))</f>
        <v>25914.115999999998</v>
      </c>
    </row>
    <row r="478" spans="1:17" ht="12.75" customHeight="1" x14ac:dyDescent="0.2">
      <c r="A478" s="6"/>
      <c r="B478" s="10" t="s">
        <v>760</v>
      </c>
      <c r="C478" s="20" t="s">
        <v>385</v>
      </c>
      <c r="D478" s="20" t="s">
        <v>758</v>
      </c>
      <c r="E478" s="20" t="s">
        <v>747</v>
      </c>
      <c r="F478" s="20" t="s">
        <v>210</v>
      </c>
      <c r="G478" s="20" t="s">
        <v>154</v>
      </c>
      <c r="H478" s="20">
        <f>(3747.88*(L8))</f>
        <v>20051.157999999999</v>
      </c>
      <c r="I478" s="20">
        <f>(3835.6*(L8))</f>
        <v>20520.46</v>
      </c>
      <c r="J478" s="20">
        <f>(3888.23*(L8))</f>
        <v>20802.030499999997</v>
      </c>
      <c r="K478" s="20">
        <f>(4028.58*(L8))</f>
        <v>21552.902999999998</v>
      </c>
      <c r="L478" s="20">
        <f>(4116.3*(L8))</f>
        <v>22022.204999999998</v>
      </c>
      <c r="M478" s="20">
        <f>(4221.57*(L8))</f>
        <v>22585.399499999996</v>
      </c>
      <c r="N478" s="20">
        <f>(4344.37*(L8))</f>
        <v>23242.379499999999</v>
      </c>
      <c r="O478" s="20">
        <f>(4519.81*(L8))</f>
        <v>24180.983500000002</v>
      </c>
      <c r="P478" s="20">
        <f>(4607.53*(L8))</f>
        <v>24650.285499999998</v>
      </c>
      <c r="Q478" s="20">
        <f>(4958.41*(L8))</f>
        <v>26527.493499999997</v>
      </c>
    </row>
    <row r="479" spans="1:17" ht="12.75" customHeight="1" x14ac:dyDescent="0.2">
      <c r="A479" s="6"/>
      <c r="B479" s="10" t="s">
        <v>761</v>
      </c>
      <c r="C479" s="20" t="s">
        <v>85</v>
      </c>
      <c r="D479" s="20" t="s">
        <v>758</v>
      </c>
      <c r="E479" s="20" t="s">
        <v>747</v>
      </c>
      <c r="F479" s="20" t="s">
        <v>210</v>
      </c>
      <c r="G479" s="20" t="s">
        <v>157</v>
      </c>
      <c r="H479" s="20">
        <f>(3882.12*(L8))</f>
        <v>20769.341999999997</v>
      </c>
      <c r="I479" s="20">
        <f>(3974.23*(L8))</f>
        <v>21262.130499999999</v>
      </c>
      <c r="J479" s="20">
        <f>(4029.49*(L8))</f>
        <v>21557.771499999999</v>
      </c>
      <c r="K479" s="20">
        <f>(4176.86*(L8))</f>
        <v>22346.200999999997</v>
      </c>
      <c r="L479" s="20">
        <f>(4268.96*(L8))</f>
        <v>22838.935999999998</v>
      </c>
      <c r="M479" s="20">
        <f>(4379.49*(L8))</f>
        <v>23430.271499999999</v>
      </c>
      <c r="N479" s="20">
        <f>(4508.44*(L8))</f>
        <v>24120.153999999995</v>
      </c>
      <c r="O479" s="20">
        <f>(4692.65*(L8))</f>
        <v>25105.677499999998</v>
      </c>
      <c r="P479" s="20">
        <f>(4784.75*(L8))</f>
        <v>25598.412499999999</v>
      </c>
      <c r="Q479" s="20">
        <f>(5153.17*(L8))</f>
        <v>27569.459499999997</v>
      </c>
    </row>
    <row r="480" spans="1:17" ht="30" customHeight="1" x14ac:dyDescent="0.35">
      <c r="A480" s="6"/>
      <c r="B480" s="23" t="s">
        <v>762</v>
      </c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5"/>
    </row>
    <row r="481" spans="1:17" ht="12.75" customHeight="1" x14ac:dyDescent="0.2">
      <c r="A481" s="7" t="s">
        <v>6</v>
      </c>
      <c r="B481" s="8" t="s">
        <v>7</v>
      </c>
      <c r="C481" s="8" t="s">
        <v>8</v>
      </c>
      <c r="D481" s="8" t="s">
        <v>9</v>
      </c>
      <c r="E481" s="8" t="s">
        <v>10</v>
      </c>
      <c r="F481" s="8" t="s">
        <v>11</v>
      </c>
      <c r="G481" s="8" t="s">
        <v>12</v>
      </c>
      <c r="H481" s="8" t="s">
        <v>13</v>
      </c>
      <c r="I481" s="8" t="s">
        <v>14</v>
      </c>
      <c r="J481" s="8" t="s">
        <v>15</v>
      </c>
      <c r="K481" s="8" t="s">
        <v>16</v>
      </c>
      <c r="L481" s="8" t="s">
        <v>17</v>
      </c>
      <c r="M481" s="8" t="s">
        <v>18</v>
      </c>
      <c r="N481" s="8" t="s">
        <v>19</v>
      </c>
      <c r="O481" s="8" t="s">
        <v>20</v>
      </c>
      <c r="P481" s="8" t="s">
        <v>21</v>
      </c>
      <c r="Q481" s="8" t="s">
        <v>22</v>
      </c>
    </row>
    <row r="482" spans="1:17" ht="12.75" customHeight="1" x14ac:dyDescent="0.2">
      <c r="A482" s="6"/>
      <c r="B482" s="10" t="s">
        <v>763</v>
      </c>
      <c r="C482" s="20" t="s">
        <v>137</v>
      </c>
      <c r="D482" s="20" t="s">
        <v>382</v>
      </c>
      <c r="E482" s="20" t="s">
        <v>256</v>
      </c>
      <c r="F482" s="20" t="s">
        <v>383</v>
      </c>
      <c r="G482" s="20" t="s">
        <v>390</v>
      </c>
      <c r="H482" s="20">
        <f>(4658.43*(L8))</f>
        <v>24922.6005</v>
      </c>
      <c r="I482" s="20">
        <f>(4886.5*(L8))</f>
        <v>26142.774999999998</v>
      </c>
      <c r="J482" s="20">
        <f>(5023.34*(L8))</f>
        <v>26874.868999999999</v>
      </c>
      <c r="K482" s="20">
        <f>(5388.25*(L8))</f>
        <v>28827.137499999997</v>
      </c>
      <c r="L482" s="20">
        <f>(5616.32*(L8))</f>
        <v>30047.311999999998</v>
      </c>
      <c r="M482" s="20">
        <f>(5890.01*(L8))</f>
        <v>31511.553499999998</v>
      </c>
      <c r="N482" s="20">
        <f>(6209.3*(L8))</f>
        <v>33219.754999999997</v>
      </c>
      <c r="O482" s="20">
        <f>(6665.44*(L8))</f>
        <v>35660.103999999992</v>
      </c>
      <c r="P482" s="20">
        <f>(6893.51*(L8))</f>
        <v>36880.2785</v>
      </c>
      <c r="Q482" s="20">
        <f>(7805.8*(L8))</f>
        <v>41761.03</v>
      </c>
    </row>
    <row r="483" spans="1:17" ht="12.75" customHeight="1" x14ac:dyDescent="0.2">
      <c r="A483" s="6"/>
      <c r="B483" s="10" t="s">
        <v>764</v>
      </c>
      <c r="C483" s="20" t="s">
        <v>292</v>
      </c>
      <c r="D483" s="20" t="s">
        <v>382</v>
      </c>
      <c r="E483" s="20" t="s">
        <v>256</v>
      </c>
      <c r="F483" s="20" t="s">
        <v>383</v>
      </c>
      <c r="G483" s="20" t="s">
        <v>392</v>
      </c>
      <c r="H483" s="20">
        <f>(4873.86*(L8))</f>
        <v>26075.150999999998</v>
      </c>
      <c r="I483" s="20">
        <f>(5110.7*(L8))</f>
        <v>27342.244999999999</v>
      </c>
      <c r="J483" s="20">
        <f>(5252.8*(L8))</f>
        <v>28102.48</v>
      </c>
      <c r="K483" s="20">
        <f>(5631.75*(L8))</f>
        <v>30129.862499999999</v>
      </c>
      <c r="L483" s="20">
        <f>(5868.59*(L8))</f>
        <v>31396.9565</v>
      </c>
      <c r="M483" s="20">
        <f>(6152.8*(L8))</f>
        <v>32917.479999999996</v>
      </c>
      <c r="N483" s="20">
        <f>(6484.38*(L8))</f>
        <v>34691.432999999997</v>
      </c>
      <c r="O483" s="20">
        <f>(6958.07*(L8))</f>
        <v>37225.674499999994</v>
      </c>
      <c r="P483" s="20">
        <f>(7194.91*(L8))</f>
        <v>38492.768499999998</v>
      </c>
      <c r="Q483" s="20">
        <f>(8142.28*(L8))</f>
        <v>43561.197999999997</v>
      </c>
    </row>
    <row r="484" spans="1:17" ht="12.75" customHeight="1" x14ac:dyDescent="0.2">
      <c r="A484" s="6"/>
      <c r="B484" s="10" t="s">
        <v>765</v>
      </c>
      <c r="C484" s="20" t="s">
        <v>273</v>
      </c>
      <c r="D484" s="20" t="s">
        <v>382</v>
      </c>
      <c r="E484" s="20" t="s">
        <v>256</v>
      </c>
      <c r="F484" s="20" t="s">
        <v>383</v>
      </c>
      <c r="G484" s="20" t="s">
        <v>766</v>
      </c>
      <c r="H484" s="20">
        <f>(5067.02*(L8))</f>
        <v>27108.557000000001</v>
      </c>
      <c r="I484" s="20">
        <f>(5312.63*(L8))</f>
        <v>28422.570499999998</v>
      </c>
      <c r="J484" s="20">
        <f>(5460*(L8))</f>
        <v>29210.999999999996</v>
      </c>
      <c r="K484" s="20">
        <f>(5852.98*(L8))</f>
        <v>31313.442999999996</v>
      </c>
      <c r="L484" s="20">
        <f>(6098.59*(L8))</f>
        <v>32627.4565</v>
      </c>
      <c r="M484" s="20">
        <f>(6393.33*(L8))</f>
        <v>34204.315499999997</v>
      </c>
      <c r="N484" s="20">
        <f>(6737.19*(L8))</f>
        <v>36043.966499999995</v>
      </c>
      <c r="O484" s="20">
        <f>(7228.42*(L8))</f>
        <v>38672.046999999999</v>
      </c>
      <c r="P484" s="20">
        <f>(7474.03*(L8))</f>
        <v>39986.0605</v>
      </c>
      <c r="Q484" s="20">
        <f>(8456.49*(L8))</f>
        <v>45242.221499999992</v>
      </c>
    </row>
    <row r="485" spans="1:17" ht="12.75" customHeight="1" x14ac:dyDescent="0.2">
      <c r="A485" s="6"/>
      <c r="B485" s="10" t="s">
        <v>767</v>
      </c>
      <c r="C485" s="20" t="s">
        <v>278</v>
      </c>
      <c r="D485" s="20" t="s">
        <v>382</v>
      </c>
      <c r="E485" s="20" t="s">
        <v>256</v>
      </c>
      <c r="F485" s="20" t="s">
        <v>383</v>
      </c>
      <c r="G485" s="20" t="s">
        <v>768</v>
      </c>
      <c r="H485" s="20">
        <f>(5303.88*(L8))</f>
        <v>28375.757999999998</v>
      </c>
      <c r="I485" s="20">
        <f>(5558.27*(L8))</f>
        <v>29736.744500000001</v>
      </c>
      <c r="J485" s="20">
        <f>(5710.9*(L8))</f>
        <v>30553.314999999995</v>
      </c>
      <c r="K485" s="20">
        <f>(6117.92*(L8))</f>
        <v>32730.871999999999</v>
      </c>
      <c r="L485" s="20">
        <f>(6372.3*(L8))</f>
        <v>34091.805</v>
      </c>
      <c r="M485" s="20">
        <f>(6677.57*(L8))</f>
        <v>35724.999499999998</v>
      </c>
      <c r="N485" s="20">
        <f>(7033.71*(L8))</f>
        <v>37630.3485</v>
      </c>
      <c r="O485" s="20">
        <f>(7542.48*(L8))</f>
        <v>40352.267999999996</v>
      </c>
      <c r="P485" s="20">
        <f>(7796.86*(L8))</f>
        <v>41713.200999999994</v>
      </c>
      <c r="Q485" s="20">
        <f>(8814.41*(L8))</f>
        <v>47157.093499999995</v>
      </c>
    </row>
    <row r="486" spans="1:17" ht="12.75" customHeight="1" x14ac:dyDescent="0.2">
      <c r="A486" s="6"/>
      <c r="B486" s="10" t="s">
        <v>769</v>
      </c>
      <c r="C486" s="20" t="s">
        <v>280</v>
      </c>
      <c r="D486" s="20" t="s">
        <v>382</v>
      </c>
      <c r="E486" s="20" t="s">
        <v>256</v>
      </c>
      <c r="F486" s="20" t="s">
        <v>383</v>
      </c>
      <c r="G486" s="20" t="s">
        <v>770</v>
      </c>
      <c r="H486" s="20">
        <f>(5593.56*(L8))</f>
        <v>29925.545999999998</v>
      </c>
      <c r="I486" s="20">
        <f>(5874.26*(L8))</f>
        <v>31427.290999999997</v>
      </c>
      <c r="J486" s="20">
        <f>(6042.68*(L8))</f>
        <v>32328.338</v>
      </c>
      <c r="K486" s="20">
        <f>(6491.8*(L8))</f>
        <v>34731.129999999997</v>
      </c>
      <c r="L486" s="20">
        <f>(6772.5*(L8))</f>
        <v>36232.875</v>
      </c>
      <c r="M486" s="20">
        <f>(7109.35*(L8))</f>
        <v>38035.022499999999</v>
      </c>
      <c r="N486" s="20">
        <f>(7502.33*(L8))</f>
        <v>40137.465499999998</v>
      </c>
      <c r="O486" s="20">
        <f>(8063.73*(L8))</f>
        <v>43140.955499999996</v>
      </c>
      <c r="P486" s="20">
        <f>(8344.43*(L8))</f>
        <v>44642.700499999999</v>
      </c>
      <c r="Q486" s="20">
        <f>(9467.24*(L8))</f>
        <v>50649.733999999997</v>
      </c>
    </row>
    <row r="487" spans="1:17" ht="12.75" customHeight="1" x14ac:dyDescent="0.2">
      <c r="A487" s="6"/>
      <c r="B487" s="10" t="s">
        <v>771</v>
      </c>
      <c r="C487" s="20" t="s">
        <v>236</v>
      </c>
      <c r="D487" s="20" t="s">
        <v>382</v>
      </c>
      <c r="E487" s="20" t="s">
        <v>256</v>
      </c>
      <c r="F487" s="20" t="s">
        <v>383</v>
      </c>
      <c r="G487" s="20" t="s">
        <v>772</v>
      </c>
      <c r="H487" s="20">
        <f>(5783.44*(L8))</f>
        <v>30941.403999999995</v>
      </c>
      <c r="I487" s="20">
        <f>(6072.91*(L8))</f>
        <v>32490.068499999998</v>
      </c>
      <c r="J487" s="20">
        <f>(6246.6*(L8))</f>
        <v>33419.31</v>
      </c>
      <c r="K487" s="20">
        <f>(6709.76*(L8))</f>
        <v>35897.216</v>
      </c>
      <c r="L487" s="20">
        <f>(6999.23*(L8))</f>
        <v>37445.880499999992</v>
      </c>
      <c r="M487" s="20">
        <f>(7346.6*(L8))</f>
        <v>39304.31</v>
      </c>
      <c r="N487" s="20">
        <f>(7751.86*(L8))</f>
        <v>41472.450999999994</v>
      </c>
      <c r="O487" s="20">
        <f>(8330.81*(L8))</f>
        <v>44569.833499999993</v>
      </c>
      <c r="P487" s="20">
        <f>(8620.28*(L8))</f>
        <v>46118.498</v>
      </c>
      <c r="Q487" s="20">
        <f>(9778.18*(L8))</f>
        <v>52313.262999999999</v>
      </c>
    </row>
    <row r="488" spans="1:17" ht="12.75" customHeight="1" x14ac:dyDescent="0.2">
      <c r="A488" s="6"/>
      <c r="B488" s="10" t="s">
        <v>773</v>
      </c>
      <c r="C488" s="20" t="s">
        <v>79</v>
      </c>
      <c r="D488" s="20" t="s">
        <v>774</v>
      </c>
      <c r="E488" s="20" t="s">
        <v>256</v>
      </c>
      <c r="F488" s="20" t="s">
        <v>383</v>
      </c>
      <c r="G488" s="20" t="s">
        <v>289</v>
      </c>
      <c r="H488" s="20">
        <f>(3879.48*(L8))</f>
        <v>20755.217999999997</v>
      </c>
      <c r="I488" s="20">
        <f>(4028.61*(L8))</f>
        <v>21553.0635</v>
      </c>
      <c r="J488" s="20">
        <f>(4118.08*(L8))</f>
        <v>22031.727999999999</v>
      </c>
      <c r="K488" s="20">
        <f>(4356.68*(L8))</f>
        <v>23308.238000000001</v>
      </c>
      <c r="L488" s="20">
        <f>(4505.8*(L8))</f>
        <v>24106.03</v>
      </c>
      <c r="M488" s="20">
        <f>(4684.75*(L8))</f>
        <v>25063.412499999999</v>
      </c>
      <c r="N488" s="20">
        <f>(4893.52*(L8))</f>
        <v>26180.332000000002</v>
      </c>
      <c r="O488" s="20">
        <f>(5191.76*(L8))</f>
        <v>27775.916000000001</v>
      </c>
      <c r="P488" s="20">
        <f>(5340.89*(L8))</f>
        <v>28573.761500000001</v>
      </c>
      <c r="Q488" s="20">
        <f>(5937.38*(L8))</f>
        <v>31764.983</v>
      </c>
    </row>
    <row r="489" spans="1:17" ht="12.75" customHeight="1" x14ac:dyDescent="0.2">
      <c r="A489" s="6"/>
      <c r="B489" s="10" t="s">
        <v>775</v>
      </c>
      <c r="C489" s="20" t="s">
        <v>333</v>
      </c>
      <c r="D489" s="20" t="s">
        <v>374</v>
      </c>
      <c r="E489" s="20" t="s">
        <v>256</v>
      </c>
      <c r="F489" s="20" t="s">
        <v>383</v>
      </c>
      <c r="G489" s="20" t="s">
        <v>151</v>
      </c>
      <c r="H489" s="20">
        <f>(4091.69*(L8))</f>
        <v>21890.541499999999</v>
      </c>
      <c r="I489" s="20">
        <f>(4258.35*(L8))</f>
        <v>22782.172500000001</v>
      </c>
      <c r="J489" s="20">
        <f>(4358.35*(L8))</f>
        <v>23317.172500000001</v>
      </c>
      <c r="K489" s="20">
        <f>(4625.02*(L8))</f>
        <v>24743.857</v>
      </c>
      <c r="L489" s="20">
        <f>(4791.69*(L8))</f>
        <v>25635.541499999996</v>
      </c>
      <c r="M489" s="20">
        <f>(4991.69*(L8))</f>
        <v>26705.541499999996</v>
      </c>
      <c r="N489" s="20">
        <f>(5225.02*(L8))</f>
        <v>27953.857</v>
      </c>
      <c r="O489" s="20">
        <f>(5558.35*(L8))</f>
        <v>29737.172500000001</v>
      </c>
      <c r="P489" s="20">
        <f>(5725.02*(L8))</f>
        <v>30628.857</v>
      </c>
      <c r="Q489" s="20">
        <f>(6391.69*(L8))</f>
        <v>34195.541499999992</v>
      </c>
    </row>
    <row r="490" spans="1:17" ht="30" customHeight="1" x14ac:dyDescent="0.35">
      <c r="A490" s="6"/>
      <c r="B490" s="23" t="s">
        <v>776</v>
      </c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5"/>
    </row>
    <row r="491" spans="1:17" ht="12.75" customHeight="1" x14ac:dyDescent="0.2">
      <c r="A491" s="7" t="s">
        <v>6</v>
      </c>
      <c r="B491" s="8" t="s">
        <v>7</v>
      </c>
      <c r="C491" s="8" t="s">
        <v>8</v>
      </c>
      <c r="D491" s="8" t="s">
        <v>9</v>
      </c>
      <c r="E491" s="8" t="s">
        <v>10</v>
      </c>
      <c r="F491" s="8" t="s">
        <v>11</v>
      </c>
      <c r="G491" s="8" t="s">
        <v>12</v>
      </c>
      <c r="H491" s="8" t="s">
        <v>13</v>
      </c>
      <c r="I491" s="8" t="s">
        <v>14</v>
      </c>
      <c r="J491" s="8" t="s">
        <v>15</v>
      </c>
      <c r="K491" s="8" t="s">
        <v>16</v>
      </c>
      <c r="L491" s="8" t="s">
        <v>17</v>
      </c>
      <c r="M491" s="8" t="s">
        <v>18</v>
      </c>
      <c r="N491" s="8" t="s">
        <v>19</v>
      </c>
      <c r="O491" s="8" t="s">
        <v>20</v>
      </c>
      <c r="P491" s="8" t="s">
        <v>21</v>
      </c>
      <c r="Q491" s="8" t="s">
        <v>22</v>
      </c>
    </row>
    <row r="492" spans="1:17" ht="12.75" customHeight="1" x14ac:dyDescent="0.2">
      <c r="A492" s="6"/>
      <c r="B492" s="10" t="s">
        <v>777</v>
      </c>
      <c r="C492" s="20" t="s">
        <v>96</v>
      </c>
      <c r="D492" s="20" t="s">
        <v>778</v>
      </c>
      <c r="E492" s="20" t="s">
        <v>275</v>
      </c>
      <c r="F492" s="20" t="s">
        <v>652</v>
      </c>
      <c r="G492" s="20" t="s">
        <v>262</v>
      </c>
      <c r="H492" s="20">
        <f>(3785.46*(L8))</f>
        <v>20252.210999999999</v>
      </c>
      <c r="I492" s="20">
        <f>(3846.86*(L8))</f>
        <v>20580.701000000001</v>
      </c>
      <c r="J492" s="20">
        <f>(3883.7*(L8))</f>
        <v>20777.794999999998</v>
      </c>
      <c r="K492" s="20">
        <f>(3981.95*(L8))</f>
        <v>21303.432499999999</v>
      </c>
      <c r="L492" s="20">
        <f>(4043.35*(L8))</f>
        <v>21631.922499999997</v>
      </c>
      <c r="M492" s="20">
        <f>(4117.04*(L8))</f>
        <v>22026.163999999997</v>
      </c>
      <c r="N492" s="20">
        <f>(4203*(L8))</f>
        <v>22486.05</v>
      </c>
      <c r="O492" s="20">
        <f>(4325.81*(L8))</f>
        <v>23143.083500000001</v>
      </c>
      <c r="P492" s="20">
        <f>(4387.21*(L8))</f>
        <v>23471.573499999999</v>
      </c>
      <c r="Q492" s="20">
        <f>(4632.83*(L8))</f>
        <v>24785.640499999998</v>
      </c>
    </row>
    <row r="493" spans="1:17" ht="12.75" customHeight="1" x14ac:dyDescent="0.2">
      <c r="A493" s="6"/>
      <c r="B493" s="10" t="s">
        <v>779</v>
      </c>
      <c r="C493" s="20" t="s">
        <v>780</v>
      </c>
      <c r="D493" s="20" t="s">
        <v>778</v>
      </c>
      <c r="E493" s="20" t="s">
        <v>275</v>
      </c>
      <c r="F493" s="20" t="s">
        <v>652</v>
      </c>
      <c r="G493" s="20" t="s">
        <v>152</v>
      </c>
      <c r="H493" s="20">
        <f>(3945.12*(L8))</f>
        <v>21106.392</v>
      </c>
      <c r="I493" s="20">
        <f>(4010.91*(L8))</f>
        <v>21458.368499999997</v>
      </c>
      <c r="J493" s="20">
        <f>(4050.38*(L8))</f>
        <v>21669.532999999999</v>
      </c>
      <c r="K493" s="20">
        <f>(4155.64*(L8))</f>
        <v>22232.673999999999</v>
      </c>
      <c r="L493" s="20">
        <f>(4221.43*(L8))</f>
        <v>22584.6505</v>
      </c>
      <c r="M493" s="20">
        <f>(4300.38*(L8))</f>
        <v>23007.032999999999</v>
      </c>
      <c r="N493" s="20">
        <f>(4392.48*(L8))</f>
        <v>23499.767999999996</v>
      </c>
      <c r="O493" s="20">
        <f>(4524.06*(L8))</f>
        <v>24203.721000000001</v>
      </c>
      <c r="P493" s="20">
        <f>(4589.85*(L8))</f>
        <v>24555.697500000002</v>
      </c>
      <c r="Q493" s="20">
        <f>(4853.01*(L8))</f>
        <v>25963.603500000001</v>
      </c>
    </row>
    <row r="494" spans="1:17" ht="12.75" customHeight="1" x14ac:dyDescent="0.2">
      <c r="A494" s="6"/>
      <c r="B494" s="10" t="s">
        <v>781</v>
      </c>
      <c r="C494" s="20" t="s">
        <v>347</v>
      </c>
      <c r="D494" s="20" t="s">
        <v>778</v>
      </c>
      <c r="E494" s="20" t="s">
        <v>275</v>
      </c>
      <c r="F494" s="20" t="s">
        <v>652</v>
      </c>
      <c r="G494" s="20" t="s">
        <v>166</v>
      </c>
      <c r="H494" s="20">
        <f>(4106.55*(L8))</f>
        <v>21970.0425</v>
      </c>
      <c r="I494" s="20">
        <f>(4176.73*(L8))</f>
        <v>22345.505499999996</v>
      </c>
      <c r="J494" s="20">
        <f>(4218.84*(L8))</f>
        <v>22570.793999999998</v>
      </c>
      <c r="K494" s="20">
        <f>(4331.12*(L8))</f>
        <v>23171.491999999998</v>
      </c>
      <c r="L494" s="20">
        <f>(4401.29*(L8))</f>
        <v>23546.9015</v>
      </c>
      <c r="M494" s="20">
        <f>(4485.5*(L8))</f>
        <v>23997.424999999999</v>
      </c>
      <c r="N494" s="20">
        <f>(4583.75*(L8))</f>
        <v>24523.0625</v>
      </c>
      <c r="O494" s="20">
        <f>(4724.1*(L8))</f>
        <v>25273.935000000001</v>
      </c>
      <c r="P494" s="20">
        <f>(4794.27*(L8))</f>
        <v>25649.344499999999</v>
      </c>
      <c r="Q494" s="20">
        <f>(5074.98*(L8))</f>
        <v>27151.142999999996</v>
      </c>
    </row>
    <row r="495" spans="1:17" ht="12.75" customHeight="1" x14ac:dyDescent="0.2">
      <c r="A495" s="6"/>
      <c r="B495" s="10" t="s">
        <v>782</v>
      </c>
      <c r="C495" s="20" t="s">
        <v>783</v>
      </c>
      <c r="D495" s="20" t="s">
        <v>778</v>
      </c>
      <c r="E495" s="20" t="s">
        <v>275</v>
      </c>
      <c r="F495" s="20" t="s">
        <v>652</v>
      </c>
      <c r="G495" s="20" t="s">
        <v>154</v>
      </c>
      <c r="H495" s="20">
        <f>(4261.89*(L8))</f>
        <v>22801.111499999999</v>
      </c>
      <c r="I495" s="20">
        <f>(4336.45*(L8))</f>
        <v>23200.007499999996</v>
      </c>
      <c r="J495" s="20">
        <f>(4381.19*(L8))</f>
        <v>23439.366499999996</v>
      </c>
      <c r="K495" s="20">
        <f>(4500.49*(L8))</f>
        <v>24077.621499999997</v>
      </c>
      <c r="L495" s="20">
        <f>(4575.05*(L8))</f>
        <v>24476.517499999998</v>
      </c>
      <c r="M495" s="20">
        <f>(4664.52*(L8))</f>
        <v>24955.182000000001</v>
      </c>
      <c r="N495" s="20">
        <f>(4768.91*(L8))</f>
        <v>25513.668499999996</v>
      </c>
      <c r="O495" s="20">
        <f>(4918.03*(L8))</f>
        <v>26311.460499999997</v>
      </c>
      <c r="P495" s="20">
        <f>(4992.59*(L8))</f>
        <v>26710.356499999998</v>
      </c>
      <c r="Q495" s="20">
        <f>(5290.84*(L8))</f>
        <v>28305.993999999999</v>
      </c>
    </row>
    <row r="496" spans="1:17" ht="12.75" customHeight="1" x14ac:dyDescent="0.2">
      <c r="A496" s="6"/>
      <c r="B496" s="10" t="s">
        <v>784</v>
      </c>
      <c r="C496" s="20" t="s">
        <v>131</v>
      </c>
      <c r="D496" s="20" t="s">
        <v>778</v>
      </c>
      <c r="E496" s="20" t="s">
        <v>275</v>
      </c>
      <c r="F496" s="20" t="s">
        <v>652</v>
      </c>
      <c r="G496" s="20" t="s">
        <v>152</v>
      </c>
      <c r="H496" s="20">
        <f>(3759.22*(L8))</f>
        <v>20111.826999999997</v>
      </c>
      <c r="I496" s="20">
        <f>(3825.01*(L8))</f>
        <v>20463.803499999998</v>
      </c>
      <c r="J496" s="20">
        <f>(3864.49*(L8))</f>
        <v>20675.021499999999</v>
      </c>
      <c r="K496" s="20">
        <f>(3969.75*(L8))</f>
        <v>21238.162499999999</v>
      </c>
      <c r="L496" s="20">
        <f>(4035.54*(L8))</f>
        <v>21590.138999999999</v>
      </c>
      <c r="M496" s="20">
        <f>(4114.49*(L8))</f>
        <v>22012.521499999999</v>
      </c>
      <c r="N496" s="20">
        <f>(4206.59*(L8))</f>
        <v>22505.2565</v>
      </c>
      <c r="O496" s="20">
        <f>(4338.17*(L8))</f>
        <v>23209.209499999997</v>
      </c>
      <c r="P496" s="20">
        <f>(4403.96*(L8))</f>
        <v>23561.185999999998</v>
      </c>
      <c r="Q496" s="20">
        <f>(4667.12*(L8))</f>
        <v>24969.091999999997</v>
      </c>
    </row>
    <row r="497" spans="1:17" ht="12.75" customHeight="1" x14ac:dyDescent="0.2">
      <c r="A497" s="6"/>
      <c r="B497" s="10" t="s">
        <v>785</v>
      </c>
      <c r="C497" s="20" t="s">
        <v>132</v>
      </c>
      <c r="D497" s="20" t="s">
        <v>778</v>
      </c>
      <c r="E497" s="20" t="s">
        <v>275</v>
      </c>
      <c r="F497" s="20" t="s">
        <v>652</v>
      </c>
      <c r="G497" s="20" t="s">
        <v>166</v>
      </c>
      <c r="H497" s="20">
        <f>(3930.35*(L8))</f>
        <v>21027.372499999998</v>
      </c>
      <c r="I497" s="20">
        <f>(4000.53*(L8))</f>
        <v>21402.835500000001</v>
      </c>
      <c r="J497" s="20">
        <f>(4042.63*(L8))</f>
        <v>21628.070499999998</v>
      </c>
      <c r="K497" s="20">
        <f>(4154.91*(L8))</f>
        <v>22228.768499999998</v>
      </c>
      <c r="L497" s="20">
        <f>(4225.09*(L8))</f>
        <v>22604.231499999998</v>
      </c>
      <c r="M497" s="20">
        <f>(4309.3*(L8))</f>
        <v>23054.755000000001</v>
      </c>
      <c r="N497" s="20">
        <f>(4407.55*(L8))</f>
        <v>23580.392499999998</v>
      </c>
      <c r="O497" s="20">
        <f>(4547.9*(L8))</f>
        <v>24331.264999999996</v>
      </c>
      <c r="P497" s="20">
        <f>(4618.07*(L8))</f>
        <v>24706.674499999997</v>
      </c>
      <c r="Q497" s="20">
        <f>(4898.77*(L8))</f>
        <v>26208.4195</v>
      </c>
    </row>
    <row r="498" spans="1:17" ht="12.75" customHeight="1" x14ac:dyDescent="0.2">
      <c r="A498" s="6"/>
      <c r="B498" s="10" t="s">
        <v>786</v>
      </c>
      <c r="C498" s="20" t="s">
        <v>576</v>
      </c>
      <c r="D498" s="20" t="s">
        <v>778</v>
      </c>
      <c r="E498" s="20" t="s">
        <v>275</v>
      </c>
      <c r="F498" s="20" t="s">
        <v>652</v>
      </c>
      <c r="G498" s="20" t="s">
        <v>154</v>
      </c>
      <c r="H498" s="20">
        <f>(4082.15*(L8))</f>
        <v>21839.502499999999</v>
      </c>
      <c r="I498" s="20">
        <f>(4156.71*(L8))</f>
        <v>22238.398499999999</v>
      </c>
      <c r="J498" s="20">
        <f>(4201.45*(L8))</f>
        <v>22477.757499999996</v>
      </c>
      <c r="K498" s="20">
        <f>(4320.75*(L8))</f>
        <v>23116.012499999997</v>
      </c>
      <c r="L498" s="20">
        <f>(4395.31*(L8))</f>
        <v>23514.908500000001</v>
      </c>
      <c r="M498" s="20">
        <f>(4484.78*(L8))</f>
        <v>23993.572999999997</v>
      </c>
      <c r="N498" s="20">
        <f>(4589.17*(L8))</f>
        <v>24552.059499999999</v>
      </c>
      <c r="O498" s="20">
        <f>(4738.29*(L8))</f>
        <v>25349.851499999997</v>
      </c>
      <c r="P498" s="20">
        <f>(4812.85*(L8))</f>
        <v>25748.747500000001</v>
      </c>
      <c r="Q498" s="20">
        <f>(5111.1*(L8))</f>
        <v>27344.384999999998</v>
      </c>
    </row>
    <row r="499" spans="1:17" ht="12.75" customHeight="1" x14ac:dyDescent="0.2">
      <c r="A499" s="6"/>
      <c r="B499" s="10" t="s">
        <v>787</v>
      </c>
      <c r="C499" s="20" t="s">
        <v>788</v>
      </c>
      <c r="D499" s="20" t="s">
        <v>778</v>
      </c>
      <c r="E499" s="20" t="s">
        <v>275</v>
      </c>
      <c r="F499" s="20" t="s">
        <v>652</v>
      </c>
      <c r="G499" s="20" t="s">
        <v>157</v>
      </c>
      <c r="H499" s="20">
        <f>(4236.8*(L8))</f>
        <v>22666.880000000001</v>
      </c>
      <c r="I499" s="20">
        <f>(4315.75*(L8))</f>
        <v>23089.262499999997</v>
      </c>
      <c r="J499" s="20">
        <f>(4363.12*(L8))</f>
        <v>23342.691999999999</v>
      </c>
      <c r="K499" s="20">
        <f>(4489.43*(L8))</f>
        <v>24018.450499999999</v>
      </c>
      <c r="L499" s="20">
        <f>(4568.38*(L8))</f>
        <v>24440.832999999999</v>
      </c>
      <c r="M499" s="20">
        <f>(4663.12*(L8))</f>
        <v>24947.691999999999</v>
      </c>
      <c r="N499" s="20">
        <f>(4773.64*(L8))</f>
        <v>25538.973999999998</v>
      </c>
      <c r="O499" s="20">
        <f>(4931.54*(L8))</f>
        <v>26383.738999999998</v>
      </c>
      <c r="P499" s="20">
        <f>(5010.48*(L8))</f>
        <v>26806.067999999996</v>
      </c>
      <c r="Q499" s="20">
        <f>(5326.27*(L8))</f>
        <v>28495.5445</v>
      </c>
    </row>
    <row r="500" spans="1:17" ht="12.75" customHeight="1" x14ac:dyDescent="0.2">
      <c r="A500" s="6"/>
      <c r="B500" s="10" t="s">
        <v>789</v>
      </c>
      <c r="C500" s="20" t="s">
        <v>790</v>
      </c>
      <c r="D500" s="20" t="s">
        <v>778</v>
      </c>
      <c r="E500" s="20" t="s">
        <v>275</v>
      </c>
      <c r="F500" s="20" t="s">
        <v>652</v>
      </c>
      <c r="G500" s="20" t="s">
        <v>160</v>
      </c>
      <c r="H500" s="20">
        <f>(4388.65*(L8))</f>
        <v>23479.277499999997</v>
      </c>
      <c r="I500" s="20">
        <f>(4471.98*(L8))</f>
        <v>23925.092999999997</v>
      </c>
      <c r="J500" s="20">
        <f>(4521.98*(L8))</f>
        <v>24192.592999999997</v>
      </c>
      <c r="K500" s="20">
        <f>(4655.31*(L8))</f>
        <v>24905.908500000001</v>
      </c>
      <c r="L500" s="20">
        <f>(4738.65*(L8))</f>
        <v>25351.777499999997</v>
      </c>
      <c r="M500" s="20">
        <f>(4838.65*(L8))</f>
        <v>25886.777499999997</v>
      </c>
      <c r="N500" s="20">
        <f>(4955.31*(L8))</f>
        <v>26510.908500000001</v>
      </c>
      <c r="O500" s="20">
        <f>(5121.98*(L8))</f>
        <v>27402.592999999997</v>
      </c>
      <c r="P500" s="20">
        <f>(5205.31*(L8))</f>
        <v>27848.408500000001</v>
      </c>
      <c r="Q500" s="20">
        <f>(5538.65*(L8))</f>
        <v>29631.777499999997</v>
      </c>
    </row>
    <row r="501" spans="1:17" ht="12.75" customHeight="1" x14ac:dyDescent="0.2">
      <c r="A501" s="6"/>
      <c r="B501" s="10" t="s">
        <v>791</v>
      </c>
      <c r="C501" s="20" t="s">
        <v>267</v>
      </c>
      <c r="D501" s="20" t="s">
        <v>712</v>
      </c>
      <c r="E501" s="20" t="s">
        <v>275</v>
      </c>
      <c r="F501" s="20" t="s">
        <v>571</v>
      </c>
      <c r="G501" s="20" t="s">
        <v>38</v>
      </c>
      <c r="H501" s="20">
        <f>(3511.58*(L8))</f>
        <v>18786.952999999998</v>
      </c>
      <c r="I501" s="20">
        <f>(3564.21*(L8))</f>
        <v>19068.523499999999</v>
      </c>
      <c r="J501" s="20">
        <f>(3595.79*(L8))</f>
        <v>19237.476499999997</v>
      </c>
      <c r="K501" s="20">
        <f>(3680*(L8))</f>
        <v>19688</v>
      </c>
      <c r="L501" s="20">
        <f>(3732.63*(L8))</f>
        <v>19969.570499999998</v>
      </c>
      <c r="M501" s="20">
        <f>(3795.79*(L8))</f>
        <v>20307.476499999997</v>
      </c>
      <c r="N501" s="20">
        <f>(3869.48*(L8))</f>
        <v>20701.717999999997</v>
      </c>
      <c r="O501" s="20">
        <f>(3974.74*(L8))</f>
        <v>21264.858999999997</v>
      </c>
      <c r="P501" s="20">
        <f>(4027.37*(L8))</f>
        <v>21546.429499999998</v>
      </c>
      <c r="Q501" s="20">
        <f>(4237.9*(L8))</f>
        <v>22672.764999999996</v>
      </c>
    </row>
    <row r="502" spans="1:17" ht="30" customHeight="1" x14ac:dyDescent="0.35">
      <c r="A502" s="6"/>
      <c r="B502" s="23" t="s">
        <v>792</v>
      </c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5"/>
    </row>
    <row r="503" spans="1:17" ht="12.75" customHeight="1" x14ac:dyDescent="0.2">
      <c r="A503" s="7" t="s">
        <v>6</v>
      </c>
      <c r="B503" s="8" t="s">
        <v>7</v>
      </c>
      <c r="C503" s="8" t="s">
        <v>8</v>
      </c>
      <c r="D503" s="8" t="s">
        <v>9</v>
      </c>
      <c r="E503" s="8" t="s">
        <v>10</v>
      </c>
      <c r="F503" s="8" t="s">
        <v>11</v>
      </c>
      <c r="G503" s="8" t="s">
        <v>12</v>
      </c>
      <c r="H503" s="8" t="s">
        <v>13</v>
      </c>
      <c r="I503" s="8" t="s">
        <v>14</v>
      </c>
      <c r="J503" s="8" t="s">
        <v>15</v>
      </c>
      <c r="K503" s="8" t="s">
        <v>16</v>
      </c>
      <c r="L503" s="8" t="s">
        <v>17</v>
      </c>
      <c r="M503" s="8" t="s">
        <v>18</v>
      </c>
      <c r="N503" s="8" t="s">
        <v>19</v>
      </c>
      <c r="O503" s="8" t="s">
        <v>20</v>
      </c>
      <c r="P503" s="8" t="s">
        <v>21</v>
      </c>
      <c r="Q503" s="8" t="s">
        <v>22</v>
      </c>
    </row>
    <row r="504" spans="1:17" ht="12.75" customHeight="1" x14ac:dyDescent="0.2">
      <c r="A504" s="6"/>
      <c r="B504" s="10" t="s">
        <v>793</v>
      </c>
      <c r="C504" s="20" t="s">
        <v>136</v>
      </c>
      <c r="D504" s="20" t="s">
        <v>696</v>
      </c>
      <c r="E504" s="20" t="s">
        <v>697</v>
      </c>
      <c r="F504" s="20" t="s">
        <v>698</v>
      </c>
      <c r="G504" s="20" t="s">
        <v>157</v>
      </c>
      <c r="H504" s="20">
        <f>(3604.09*(L8))</f>
        <v>19281.8815</v>
      </c>
      <c r="I504" s="20">
        <f>(3696.2*(L8))</f>
        <v>19774.669999999998</v>
      </c>
      <c r="J504" s="20">
        <f>(3751.46*(L8))</f>
        <v>20070.310999999998</v>
      </c>
      <c r="K504" s="20">
        <f>(3898.83*(L8))</f>
        <v>20858.7405</v>
      </c>
      <c r="L504" s="20">
        <f>(3990.94*(L8))</f>
        <v>21351.528999999999</v>
      </c>
      <c r="M504" s="20">
        <f>(4101.46*(L8))</f>
        <v>21942.810999999998</v>
      </c>
      <c r="N504" s="20">
        <f>(4230.41*(L8))</f>
        <v>22632.693499999998</v>
      </c>
      <c r="O504" s="20">
        <f>(4414.62*(L8))</f>
        <v>23618.216999999997</v>
      </c>
      <c r="P504" s="20">
        <f>(4506.73*(L8))</f>
        <v>24111.005499999996</v>
      </c>
      <c r="Q504" s="20">
        <f>(4875.15*(L8))</f>
        <v>26082.052499999998</v>
      </c>
    </row>
    <row r="505" spans="1:17" ht="12.75" customHeight="1" x14ac:dyDescent="0.2">
      <c r="A505" s="6"/>
      <c r="B505" s="10" t="s">
        <v>794</v>
      </c>
      <c r="C505" s="20" t="s">
        <v>137</v>
      </c>
      <c r="D505" s="20" t="s">
        <v>696</v>
      </c>
      <c r="E505" s="20" t="s">
        <v>697</v>
      </c>
      <c r="F505" s="20" t="s">
        <v>698</v>
      </c>
      <c r="G505" s="20" t="s">
        <v>160</v>
      </c>
      <c r="H505" s="20">
        <f>(3765.9*(L8))</f>
        <v>20147.564999999999</v>
      </c>
      <c r="I505" s="20">
        <f>(3862.39*(L8))</f>
        <v>20663.786499999998</v>
      </c>
      <c r="J505" s="20">
        <f>(3920.29*(L8))</f>
        <v>20973.551499999998</v>
      </c>
      <c r="K505" s="20">
        <f>(4074.67*(L8))</f>
        <v>21799.484499999999</v>
      </c>
      <c r="L505" s="20">
        <f>(4171.16*(L8))</f>
        <v>22315.705999999998</v>
      </c>
      <c r="M505" s="20">
        <f>(4286.95*(L8))</f>
        <v>22935.182499999999</v>
      </c>
      <c r="N505" s="20">
        <f>(4422.04*(L8))</f>
        <v>23657.913999999997</v>
      </c>
      <c r="O505" s="20">
        <f>(4615.02*(L8))</f>
        <v>24690.357</v>
      </c>
      <c r="P505" s="20">
        <f>(4711.51*(L8))</f>
        <v>25206.5785</v>
      </c>
      <c r="Q505" s="20">
        <f>(5097.48*(L8))</f>
        <v>27271.517999999996</v>
      </c>
    </row>
    <row r="506" spans="1:17" ht="12.75" customHeight="1" x14ac:dyDescent="0.2">
      <c r="A506" s="6"/>
      <c r="B506" s="10" t="s">
        <v>795</v>
      </c>
      <c r="C506" s="20" t="s">
        <v>292</v>
      </c>
      <c r="D506" s="20" t="s">
        <v>696</v>
      </c>
      <c r="E506" s="20" t="s">
        <v>697</v>
      </c>
      <c r="F506" s="20" t="s">
        <v>698</v>
      </c>
      <c r="G506" s="20" t="s">
        <v>163</v>
      </c>
      <c r="H506" s="20">
        <f>(4091.89*(L8))</f>
        <v>21891.611499999999</v>
      </c>
      <c r="I506" s="20">
        <f>(4197.15*(L8))</f>
        <v>22454.752499999995</v>
      </c>
      <c r="J506" s="20">
        <f>(4260.31*(L8))</f>
        <v>22792.658500000001</v>
      </c>
      <c r="K506" s="20">
        <f>(4428.73*(L8))</f>
        <v>23693.705499999996</v>
      </c>
      <c r="L506" s="20">
        <f>(4534*(L8))</f>
        <v>24256.899999999998</v>
      </c>
      <c r="M506" s="20">
        <f>(4660.31*(L8))</f>
        <v>24932.658500000001</v>
      </c>
      <c r="N506" s="20">
        <f>(4807.68*(L8))</f>
        <v>25721.088</v>
      </c>
      <c r="O506" s="20">
        <f>(5018.21*(L8))</f>
        <v>26847.423499999997</v>
      </c>
      <c r="P506" s="20">
        <f>(5123.47*(L8))</f>
        <v>27410.5645</v>
      </c>
      <c r="Q506" s="20">
        <f>(5544.52*(L8))</f>
        <v>29663.182000000001</v>
      </c>
    </row>
    <row r="507" spans="1:17" ht="12.75" customHeight="1" x14ac:dyDescent="0.2">
      <c r="A507" s="6"/>
      <c r="B507" s="10" t="s">
        <v>796</v>
      </c>
      <c r="C507" s="20" t="s">
        <v>273</v>
      </c>
      <c r="D507" s="20" t="s">
        <v>696</v>
      </c>
      <c r="E507" s="20" t="s">
        <v>697</v>
      </c>
      <c r="F507" s="20" t="s">
        <v>698</v>
      </c>
      <c r="G507" s="20" t="s">
        <v>182</v>
      </c>
      <c r="H507" s="20">
        <f>(4182.02*(L8))</f>
        <v>22373.807000000001</v>
      </c>
      <c r="I507" s="20">
        <f>(4296.05*(L8))</f>
        <v>22983.8675</v>
      </c>
      <c r="J507" s="20">
        <f>(4364.47*(L8))</f>
        <v>23349.914499999999</v>
      </c>
      <c r="K507" s="20">
        <f>(4546.93*(L8))</f>
        <v>24326.075499999999</v>
      </c>
      <c r="L507" s="20">
        <f>(4660.96*(L8))</f>
        <v>24936.135999999999</v>
      </c>
      <c r="M507" s="20">
        <f>(4797.81*(L8))</f>
        <v>25668.283500000001</v>
      </c>
      <c r="N507" s="20">
        <f>(4957.45*(L8))</f>
        <v>26522.357499999998</v>
      </c>
      <c r="O507" s="20">
        <f>(5185.52*(L8))</f>
        <v>27742.531999999999</v>
      </c>
      <c r="P507" s="20">
        <f>(5299.56*(L8))</f>
        <v>28352.646000000001</v>
      </c>
      <c r="Q507" s="20">
        <f>(5755.7*(L8))</f>
        <v>30792.994999999995</v>
      </c>
    </row>
    <row r="508" spans="1:17" ht="12.75" customHeight="1" x14ac:dyDescent="0.2">
      <c r="A508" s="6"/>
      <c r="B508" s="10" t="s">
        <v>797</v>
      </c>
      <c r="C508" s="20" t="s">
        <v>278</v>
      </c>
      <c r="D508" s="20" t="s">
        <v>696</v>
      </c>
      <c r="E508" s="20" t="s">
        <v>697</v>
      </c>
      <c r="F508" s="20" t="s">
        <v>698</v>
      </c>
      <c r="G508" s="20" t="s">
        <v>421</v>
      </c>
      <c r="H508" s="20">
        <f>(4489.01*(L8))</f>
        <v>24016.2035</v>
      </c>
      <c r="I508" s="20">
        <f>(4607.43*(L8))</f>
        <v>24649.750499999998</v>
      </c>
      <c r="J508" s="20">
        <f>(4678.48*(L8))</f>
        <v>25029.867999999995</v>
      </c>
      <c r="K508" s="20">
        <f>(4867.95*(L8))</f>
        <v>26043.532499999998</v>
      </c>
      <c r="L508" s="20">
        <f>(4986.37*(L8))</f>
        <v>26677.079499999996</v>
      </c>
      <c r="M508" s="20">
        <f>(5128.48*(L8))</f>
        <v>27437.367999999995</v>
      </c>
      <c r="N508" s="20">
        <f>(5294.27*(L8))</f>
        <v>28324.344499999999</v>
      </c>
      <c r="O508" s="20">
        <f>(5531.11*(L8))</f>
        <v>29591.438499999997</v>
      </c>
      <c r="P508" s="20">
        <f>(5649.53*(L8))</f>
        <v>30224.985499999995</v>
      </c>
      <c r="Q508" s="20">
        <f>(6123.22*(L8))</f>
        <v>32759.226999999999</v>
      </c>
    </row>
    <row r="509" spans="1:17" ht="12.75" customHeight="1" x14ac:dyDescent="0.2">
      <c r="A509" s="6"/>
      <c r="B509" s="10" t="s">
        <v>798</v>
      </c>
      <c r="C509" s="20" t="s">
        <v>280</v>
      </c>
      <c r="D509" s="20" t="s">
        <v>696</v>
      </c>
      <c r="E509" s="20" t="s">
        <v>697</v>
      </c>
      <c r="F509" s="20" t="s">
        <v>698</v>
      </c>
      <c r="G509" s="20" t="s">
        <v>231</v>
      </c>
      <c r="H509" s="20">
        <f>(4710.28*(L8))</f>
        <v>25199.997999999996</v>
      </c>
      <c r="I509" s="20">
        <f>(4833.08*(L8))</f>
        <v>25856.977999999999</v>
      </c>
      <c r="J509" s="20">
        <f>(4906.77*(L8))</f>
        <v>26251.219499999999</v>
      </c>
      <c r="K509" s="20">
        <f>(5103.26*(L8))</f>
        <v>27302.440999999999</v>
      </c>
      <c r="L509" s="20">
        <f>(5226.07*(L8))</f>
        <v>27959.474499999997</v>
      </c>
      <c r="M509" s="20">
        <f>(5373.43*(L8))</f>
        <v>28747.8505</v>
      </c>
      <c r="N509" s="20">
        <f>(5545.36*(L8))</f>
        <v>29667.675999999996</v>
      </c>
      <c r="O509" s="20">
        <f>(5790.98*(L8))</f>
        <v>30981.742999999995</v>
      </c>
      <c r="P509" s="20">
        <f>(5913.78*(L8))</f>
        <v>31638.722999999998</v>
      </c>
      <c r="Q509" s="20">
        <f>(6405.01*(L8))</f>
        <v>34266.803500000002</v>
      </c>
    </row>
    <row r="510" spans="1:17" ht="12.75" customHeight="1" x14ac:dyDescent="0.2">
      <c r="A510" s="6"/>
      <c r="B510" s="10" t="s">
        <v>799</v>
      </c>
      <c r="C510" s="20" t="s">
        <v>136</v>
      </c>
      <c r="D510" s="20" t="s">
        <v>696</v>
      </c>
      <c r="E510" s="20" t="s">
        <v>697</v>
      </c>
      <c r="F510" s="20" t="s">
        <v>698</v>
      </c>
      <c r="G510" s="20" t="s">
        <v>182</v>
      </c>
      <c r="H510" s="20">
        <f>(3607.16*(L8))</f>
        <v>19298.305999999997</v>
      </c>
      <c r="I510" s="20">
        <f>(3703.65*(L8))</f>
        <v>19814.5275</v>
      </c>
      <c r="J510" s="20">
        <f>(3761.55*(L8))</f>
        <v>20124.2925</v>
      </c>
      <c r="K510" s="20">
        <f>(3915.93*(L8))</f>
        <v>20950.225499999997</v>
      </c>
      <c r="L510" s="20">
        <f>(4012.42*(L8))</f>
        <v>21466.447</v>
      </c>
      <c r="M510" s="20">
        <f>(4128.21*(L8))</f>
        <v>22085.923499999997</v>
      </c>
      <c r="N510" s="20">
        <f>(4263.3*(L8))</f>
        <v>22808.654999999999</v>
      </c>
      <c r="O510" s="20">
        <f>(4456.28*(L8))</f>
        <v>23841.097999999998</v>
      </c>
      <c r="P510" s="20">
        <f>(4552.78*(L8))</f>
        <v>24357.372999999996</v>
      </c>
      <c r="Q510" s="20">
        <f>(4938.74*(L8))</f>
        <v>26422.258999999998</v>
      </c>
    </row>
    <row r="511" spans="1:17" ht="12.75" customHeight="1" x14ac:dyDescent="0.2">
      <c r="A511" s="6"/>
      <c r="B511" s="10" t="s">
        <v>800</v>
      </c>
      <c r="C511" s="20" t="s">
        <v>137</v>
      </c>
      <c r="D511" s="20" t="s">
        <v>696</v>
      </c>
      <c r="E511" s="20" t="s">
        <v>697</v>
      </c>
      <c r="F511" s="20" t="s">
        <v>698</v>
      </c>
      <c r="G511" s="20" t="s">
        <v>229</v>
      </c>
      <c r="H511" s="20">
        <f>(3784.13*(L8))</f>
        <v>20245.095499999999</v>
      </c>
      <c r="I511" s="20">
        <f>(3889.39*(L8))</f>
        <v>20808.236499999999</v>
      </c>
      <c r="J511" s="20">
        <f>(3952.55*(L8))</f>
        <v>21146.142499999998</v>
      </c>
      <c r="K511" s="20">
        <f>(4120.97*(L8))</f>
        <v>22047.1895</v>
      </c>
      <c r="L511" s="20">
        <f>(4226.23*(L8))</f>
        <v>22610.330499999996</v>
      </c>
      <c r="M511" s="20">
        <f>(4352.55*(L8))</f>
        <v>23286.142499999998</v>
      </c>
      <c r="N511" s="20">
        <f>(4499.92*(L8))</f>
        <v>24074.572</v>
      </c>
      <c r="O511" s="20">
        <f>(4710.44*(L8))</f>
        <v>25200.853999999996</v>
      </c>
      <c r="P511" s="20">
        <f>(4815.71*(L8))</f>
        <v>25764.048499999997</v>
      </c>
      <c r="Q511" s="20">
        <f>(5236.76*(L8))</f>
        <v>28016.666000000001</v>
      </c>
    </row>
    <row r="512" spans="1:17" ht="12.75" customHeight="1" x14ac:dyDescent="0.2">
      <c r="A512" s="6"/>
      <c r="B512" s="10" t="s">
        <v>801</v>
      </c>
      <c r="C512" s="20" t="s">
        <v>292</v>
      </c>
      <c r="D512" s="20" t="s">
        <v>696</v>
      </c>
      <c r="E512" s="20" t="s">
        <v>697</v>
      </c>
      <c r="F512" s="20" t="s">
        <v>698</v>
      </c>
      <c r="G512" s="20" t="s">
        <v>421</v>
      </c>
      <c r="H512" s="20">
        <f>(4002.47*(L8))</f>
        <v>21413.214499999998</v>
      </c>
      <c r="I512" s="20">
        <f>(4116.5*(L8))</f>
        <v>22023.274999999998</v>
      </c>
      <c r="J512" s="20">
        <f>(4184.93*(L8))</f>
        <v>22389.375499999998</v>
      </c>
      <c r="K512" s="20">
        <f>(4367.38*(L8))</f>
        <v>23365.483</v>
      </c>
      <c r="L512" s="20">
        <f>(4481.42*(L8))</f>
        <v>23975.596999999998</v>
      </c>
      <c r="M512" s="20">
        <f>(4618.26*(L8))</f>
        <v>24707.690999999999</v>
      </c>
      <c r="N512" s="20">
        <f>(4777.91*(L8))</f>
        <v>25561.818499999998</v>
      </c>
      <c r="O512" s="20">
        <f>(5005.98*(L8))</f>
        <v>26781.992999999995</v>
      </c>
      <c r="P512" s="20">
        <f>(5120.01*(L8))</f>
        <v>27392.053499999998</v>
      </c>
      <c r="Q512" s="20">
        <f>(5576.15*(L8))</f>
        <v>29832.402499999997</v>
      </c>
    </row>
    <row r="513" spans="1:17" ht="12.75" customHeight="1" x14ac:dyDescent="0.2">
      <c r="A513" s="6"/>
      <c r="B513" s="10" t="s">
        <v>802</v>
      </c>
      <c r="C513" s="20" t="s">
        <v>273</v>
      </c>
      <c r="D513" s="20" t="s">
        <v>696</v>
      </c>
      <c r="E513" s="20" t="s">
        <v>697</v>
      </c>
      <c r="F513" s="20" t="s">
        <v>698</v>
      </c>
      <c r="G513" s="20" t="s">
        <v>231</v>
      </c>
      <c r="H513" s="20">
        <f>(4199.19*(L8))</f>
        <v>22465.666499999996</v>
      </c>
      <c r="I513" s="20">
        <f>(4322*(L8))</f>
        <v>23122.699999999997</v>
      </c>
      <c r="J513" s="20">
        <f>(4395.68*(L8))</f>
        <v>23516.887999999999</v>
      </c>
      <c r="K513" s="20">
        <f>(4592.17*(L8))</f>
        <v>24568.109499999999</v>
      </c>
      <c r="L513" s="20">
        <f>(4714.98*(L8))</f>
        <v>25225.142999999996</v>
      </c>
      <c r="M513" s="20">
        <f>(4862.35*(L8))</f>
        <v>26013.572500000002</v>
      </c>
      <c r="N513" s="20">
        <f>(5034.28*(L8))</f>
        <v>26933.397999999997</v>
      </c>
      <c r="O513" s="20">
        <f>(5279.89*(L8))</f>
        <v>28247.411499999998</v>
      </c>
      <c r="P513" s="20">
        <f>(5402.7*(L8))</f>
        <v>28904.444999999996</v>
      </c>
      <c r="Q513" s="20">
        <f>(5893.93*(L8))</f>
        <v>31532.5255</v>
      </c>
    </row>
    <row r="514" spans="1:17" ht="12.75" customHeight="1" x14ac:dyDescent="0.2">
      <c r="A514" s="6"/>
      <c r="B514" s="10" t="s">
        <v>803</v>
      </c>
      <c r="C514" s="20" t="s">
        <v>278</v>
      </c>
      <c r="D514" s="20" t="s">
        <v>696</v>
      </c>
      <c r="E514" s="20" t="s">
        <v>697</v>
      </c>
      <c r="F514" s="20" t="s">
        <v>698</v>
      </c>
      <c r="G514" s="20" t="s">
        <v>435</v>
      </c>
      <c r="H514" s="20">
        <f>(4503.18*(L8))</f>
        <v>24092.012999999999</v>
      </c>
      <c r="I514" s="20">
        <f>(4625.99*(L8))</f>
        <v>24749.046499999997</v>
      </c>
      <c r="J514" s="20">
        <f>(4699.67*(L8))</f>
        <v>25143.234499999999</v>
      </c>
      <c r="K514" s="20">
        <f>(4896.16*(L8))</f>
        <v>26194.455999999998</v>
      </c>
      <c r="L514" s="20">
        <f>(5018.97*(L8))</f>
        <v>26851.4895</v>
      </c>
      <c r="M514" s="20">
        <f>(5166.34*(L8))</f>
        <v>27639.918999999998</v>
      </c>
      <c r="N514" s="20">
        <f>(5338.27*(L8))</f>
        <v>28559.744500000001</v>
      </c>
      <c r="O514" s="20">
        <f>(5583.88*(L8))</f>
        <v>29873.757999999998</v>
      </c>
      <c r="P514" s="20">
        <f>(5706.69*(L8))</f>
        <v>30530.791499999996</v>
      </c>
      <c r="Q514" s="20">
        <f>(6197.92*(L8))</f>
        <v>33158.871999999996</v>
      </c>
    </row>
    <row r="515" spans="1:17" ht="12.75" customHeight="1" x14ac:dyDescent="0.2">
      <c r="A515" s="6"/>
      <c r="B515" s="10" t="s">
        <v>804</v>
      </c>
      <c r="C515" s="20" t="s">
        <v>280</v>
      </c>
      <c r="D515" s="20" t="s">
        <v>696</v>
      </c>
      <c r="E515" s="20" t="s">
        <v>697</v>
      </c>
      <c r="F515" s="20" t="s">
        <v>698</v>
      </c>
      <c r="G515" s="20" t="s">
        <v>237</v>
      </c>
      <c r="H515" s="20">
        <f>(4751.73*(L8))</f>
        <v>25421.755499999996</v>
      </c>
      <c r="I515" s="20">
        <f>(4883.31*(L8))</f>
        <v>26125.708500000001</v>
      </c>
      <c r="J515" s="20">
        <f>(4962.26*(L8))</f>
        <v>26548.091</v>
      </c>
      <c r="K515" s="20">
        <f>(5172.78*(L8))</f>
        <v>27674.372999999996</v>
      </c>
      <c r="L515" s="20">
        <f>(5304.36*(L8))</f>
        <v>28378.325999999997</v>
      </c>
      <c r="M515" s="20">
        <f>(5462.26*(L8))</f>
        <v>29223.091</v>
      </c>
      <c r="N515" s="20">
        <f>(5646.47*(L8))</f>
        <v>30208.6145</v>
      </c>
      <c r="O515" s="20">
        <f>(5909.63*(L8))</f>
        <v>31616.520499999999</v>
      </c>
      <c r="P515" s="20">
        <f>(6041.21*(L8))</f>
        <v>32320.473499999996</v>
      </c>
      <c r="Q515" s="20">
        <f>(6567.52*(L8))</f>
        <v>35136.232000000004</v>
      </c>
    </row>
    <row r="516" spans="1:17" ht="12.75" customHeight="1" x14ac:dyDescent="0.2">
      <c r="A516" s="6"/>
      <c r="B516" s="10" t="s">
        <v>805</v>
      </c>
      <c r="C516" s="20" t="s">
        <v>236</v>
      </c>
      <c r="D516" s="20" t="s">
        <v>696</v>
      </c>
      <c r="E516" s="20" t="s">
        <v>697</v>
      </c>
      <c r="F516" s="20" t="s">
        <v>698</v>
      </c>
      <c r="G516" s="20" t="s">
        <v>440</v>
      </c>
      <c r="H516" s="20">
        <f>(4963.67*(L8))</f>
        <v>26555.6345</v>
      </c>
      <c r="I516" s="20">
        <f>(5104.02*(L8))</f>
        <v>27306.507000000001</v>
      </c>
      <c r="J516" s="20">
        <f>(5188.23*(L8))</f>
        <v>27757.030499999997</v>
      </c>
      <c r="K516" s="20">
        <f>(5412.79*(L8))</f>
        <v>28958.426499999998</v>
      </c>
      <c r="L516" s="20">
        <f>(5553.14*(L8))</f>
        <v>29709.298999999999</v>
      </c>
      <c r="M516" s="20">
        <f>(5721.56*(L8))</f>
        <v>30610.346000000001</v>
      </c>
      <c r="N516" s="20">
        <f>(5918.05*(L8))</f>
        <v>31661.567499999997</v>
      </c>
      <c r="O516" s="20">
        <f>(6198.76*(L8))</f>
        <v>33163.366000000002</v>
      </c>
      <c r="P516" s="20">
        <f>(6339.11*(L8))</f>
        <v>33914.238499999999</v>
      </c>
      <c r="Q516" s="20">
        <f>(6900.51*(L8))</f>
        <v>36917.728499999997</v>
      </c>
    </row>
    <row r="517" spans="1:17" ht="12.75" customHeight="1" x14ac:dyDescent="0.2">
      <c r="A517" s="6"/>
      <c r="B517" s="10" t="s">
        <v>806</v>
      </c>
      <c r="C517" s="20" t="s">
        <v>134</v>
      </c>
      <c r="D517" s="20" t="s">
        <v>712</v>
      </c>
      <c r="E517" s="20" t="s">
        <v>697</v>
      </c>
      <c r="F517" s="20" t="s">
        <v>698</v>
      </c>
      <c r="G517" s="20" t="s">
        <v>160</v>
      </c>
      <c r="H517" s="20">
        <f>(3829.79*(L8))</f>
        <v>20489.376499999998</v>
      </c>
      <c r="I517" s="20">
        <f>(3926.28*(L8))</f>
        <v>21005.597999999998</v>
      </c>
      <c r="J517" s="20">
        <f>(3984.17*(L8))</f>
        <v>21315.309499999999</v>
      </c>
      <c r="K517" s="20">
        <f>(4138.56*(L8))</f>
        <v>22141.296000000002</v>
      </c>
      <c r="L517" s="20">
        <f>(4235.05*(L8))</f>
        <v>22657.517499999998</v>
      </c>
      <c r="M517" s="20">
        <f>(4350.84*(L8))</f>
        <v>23276.993999999999</v>
      </c>
      <c r="N517" s="20">
        <f>(4485.93*(L8))</f>
        <v>23999.7255</v>
      </c>
      <c r="O517" s="20">
        <f>(4678.91*(L8))</f>
        <v>25032.168499999996</v>
      </c>
      <c r="P517" s="20">
        <f>(4775.4*(L8))</f>
        <v>25548.389999999996</v>
      </c>
      <c r="Q517" s="20">
        <f>(5161.36*(L8))</f>
        <v>27613.275999999998</v>
      </c>
    </row>
    <row r="518" spans="1:17" ht="12.75" customHeight="1" x14ac:dyDescent="0.2">
      <c r="A518" s="6"/>
      <c r="B518" s="10" t="s">
        <v>807</v>
      </c>
      <c r="C518" s="20" t="s">
        <v>333</v>
      </c>
      <c r="D518" s="20" t="s">
        <v>712</v>
      </c>
      <c r="E518" s="20" t="s">
        <v>697</v>
      </c>
      <c r="F518" s="20" t="s">
        <v>698</v>
      </c>
      <c r="G518" s="20" t="s">
        <v>163</v>
      </c>
      <c r="H518" s="20">
        <f>(3928.42*(L8))</f>
        <v>21017.046999999999</v>
      </c>
      <c r="I518" s="20">
        <f>(4024.91*(L8))</f>
        <v>21533.268499999998</v>
      </c>
      <c r="J518" s="20">
        <f>(4082.8*(L8))</f>
        <v>21842.98</v>
      </c>
      <c r="K518" s="20">
        <f>(4237.19*(L8))</f>
        <v>22668.966499999995</v>
      </c>
      <c r="L518" s="20">
        <f>(4333.68*(L8))</f>
        <v>23185.187999999998</v>
      </c>
      <c r="M518" s="20">
        <f>(4449.47*(L8))</f>
        <v>23804.664499999999</v>
      </c>
      <c r="N518" s="20">
        <f>(4584.56*(L8))</f>
        <v>24527.396000000001</v>
      </c>
      <c r="O518" s="20">
        <f>(4777.54*(L8))</f>
        <v>25559.838999999996</v>
      </c>
      <c r="P518" s="20">
        <f>(4874.03*(L8))</f>
        <v>26076.060499999996</v>
      </c>
      <c r="Q518" s="20">
        <f>(5260*(L8))</f>
        <v>28140.999999999996</v>
      </c>
    </row>
    <row r="519" spans="1:17" ht="12.75" customHeight="1" x14ac:dyDescent="0.2">
      <c r="A519" s="6"/>
      <c r="B519" s="10" t="s">
        <v>808</v>
      </c>
      <c r="C519" s="20" t="s">
        <v>565</v>
      </c>
      <c r="D519" s="20" t="s">
        <v>712</v>
      </c>
      <c r="E519" s="20" t="s">
        <v>697</v>
      </c>
      <c r="F519" s="20" t="s">
        <v>698</v>
      </c>
      <c r="G519" s="20" t="s">
        <v>182</v>
      </c>
      <c r="H519" s="20">
        <f>(4064.66*(L8))</f>
        <v>21745.930999999997</v>
      </c>
      <c r="I519" s="20">
        <f>(4169.93*(L8))</f>
        <v>22309.125499999998</v>
      </c>
      <c r="J519" s="20">
        <f>(4233.08*(L8))</f>
        <v>22646.977999999999</v>
      </c>
      <c r="K519" s="20">
        <f>(4401.5*(L8))</f>
        <v>23548.024999999998</v>
      </c>
      <c r="L519" s="20">
        <f>(4506.77*(L8))</f>
        <v>24111.219499999999</v>
      </c>
      <c r="M519" s="20">
        <f>(4633.08*(L8))</f>
        <v>24786.977999999999</v>
      </c>
      <c r="N519" s="20">
        <f>(4780.45*(L8))</f>
        <v>25575.407499999998</v>
      </c>
      <c r="O519" s="20">
        <f>(4990.98*(L8))</f>
        <v>26701.742999999995</v>
      </c>
      <c r="P519" s="20">
        <f>(5096.24*(L8))</f>
        <v>27264.883999999998</v>
      </c>
      <c r="Q519" s="20">
        <f>(5517.29*(L8))</f>
        <v>29517.501499999998</v>
      </c>
    </row>
    <row r="520" spans="1:17" ht="30" customHeight="1" x14ac:dyDescent="0.35">
      <c r="A520" s="6"/>
      <c r="B520" s="23" t="s">
        <v>809</v>
      </c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5"/>
    </row>
    <row r="521" spans="1:17" ht="12.75" customHeight="1" x14ac:dyDescent="0.2">
      <c r="A521" s="7" t="s">
        <v>6</v>
      </c>
      <c r="B521" s="8" t="s">
        <v>7</v>
      </c>
      <c r="C521" s="8" t="s">
        <v>8</v>
      </c>
      <c r="D521" s="8" t="s">
        <v>9</v>
      </c>
      <c r="E521" s="8" t="s">
        <v>10</v>
      </c>
      <c r="F521" s="8" t="s">
        <v>11</v>
      </c>
      <c r="G521" s="8" t="s">
        <v>12</v>
      </c>
      <c r="H521" s="8" t="s">
        <v>13</v>
      </c>
      <c r="I521" s="8" t="s">
        <v>14</v>
      </c>
      <c r="J521" s="8" t="s">
        <v>15</v>
      </c>
      <c r="K521" s="8" t="s">
        <v>16</v>
      </c>
      <c r="L521" s="8" t="s">
        <v>17</v>
      </c>
      <c r="M521" s="8" t="s">
        <v>18</v>
      </c>
      <c r="N521" s="8" t="s">
        <v>19</v>
      </c>
      <c r="O521" s="8" t="s">
        <v>20</v>
      </c>
      <c r="P521" s="8" t="s">
        <v>21</v>
      </c>
      <c r="Q521" s="8" t="s">
        <v>22</v>
      </c>
    </row>
    <row r="522" spans="1:17" ht="12.75" customHeight="1" x14ac:dyDescent="0.2">
      <c r="A522" s="6"/>
      <c r="B522" s="10" t="s">
        <v>810</v>
      </c>
      <c r="C522" s="20" t="s">
        <v>40</v>
      </c>
      <c r="D522" s="20" t="s">
        <v>644</v>
      </c>
      <c r="E522" s="20" t="s">
        <v>275</v>
      </c>
      <c r="F522" s="20" t="s">
        <v>652</v>
      </c>
      <c r="G522" s="20" t="s">
        <v>166</v>
      </c>
      <c r="H522" s="20">
        <f>(3680.89*(L8))</f>
        <v>19692.761499999997</v>
      </c>
      <c r="I522" s="20">
        <f>(3737.91*(L8))</f>
        <v>19997.818499999998</v>
      </c>
      <c r="J522" s="20">
        <f>(3772.12*(L8))</f>
        <v>20180.841999999997</v>
      </c>
      <c r="K522" s="20">
        <f>(3863.35*(L8))</f>
        <v>20668.922499999997</v>
      </c>
      <c r="L522" s="20">
        <f>(3920.36*(L8))</f>
        <v>20973.925999999999</v>
      </c>
      <c r="M522" s="20">
        <f>(3988.79*(L8))</f>
        <v>21340.0265</v>
      </c>
      <c r="N522" s="20">
        <f>(4068.61*(L8))</f>
        <v>21767.0635</v>
      </c>
      <c r="O522" s="20">
        <f>(4182.64*(L8))</f>
        <v>22377.124</v>
      </c>
      <c r="P522" s="20">
        <f>(4239.66*(L8))</f>
        <v>22682.180999999997</v>
      </c>
      <c r="Q522" s="20">
        <f>(4467.73*(L8))</f>
        <v>23902.355499999998</v>
      </c>
    </row>
    <row r="523" spans="1:17" ht="12.75" customHeight="1" x14ac:dyDescent="0.2">
      <c r="A523" s="6"/>
      <c r="B523" s="10" t="s">
        <v>811</v>
      </c>
      <c r="C523" s="20" t="s">
        <v>259</v>
      </c>
      <c r="D523" s="20" t="s">
        <v>644</v>
      </c>
      <c r="E523" s="20" t="s">
        <v>275</v>
      </c>
      <c r="F523" s="20" t="s">
        <v>652</v>
      </c>
      <c r="G523" s="20" t="s">
        <v>154</v>
      </c>
      <c r="H523" s="20">
        <f>(3947.61*(L8))</f>
        <v>21119.713499999998</v>
      </c>
      <c r="I523" s="20">
        <f>(4009.02*(L8))</f>
        <v>21448.256999999998</v>
      </c>
      <c r="J523" s="20">
        <f>(4045.86*(L8))</f>
        <v>21645.350999999999</v>
      </c>
      <c r="K523" s="20">
        <f>(4144.1*(L8))</f>
        <v>22170.935000000001</v>
      </c>
      <c r="L523" s="20">
        <f>(4205.51*(L8))</f>
        <v>22499.478500000001</v>
      </c>
      <c r="M523" s="20">
        <f>(4279.19*(L8))</f>
        <v>22893.666499999996</v>
      </c>
      <c r="N523" s="20">
        <f>(4365.16*(L8))</f>
        <v>23353.605999999996</v>
      </c>
      <c r="O523" s="20">
        <f>(4487.96*(L8))</f>
        <v>24010.585999999999</v>
      </c>
      <c r="P523" s="20">
        <f>(4549.37*(L8))</f>
        <v>24339.129499999999</v>
      </c>
      <c r="Q523" s="20">
        <f>(4794.98*(L8))</f>
        <v>25653.142999999996</v>
      </c>
    </row>
    <row r="524" spans="1:17" ht="12.75" customHeight="1" x14ac:dyDescent="0.2">
      <c r="A524" s="6"/>
      <c r="B524" s="10" t="s">
        <v>812</v>
      </c>
      <c r="C524" s="20" t="s">
        <v>165</v>
      </c>
      <c r="D524" s="20" t="s">
        <v>644</v>
      </c>
      <c r="E524" s="20" t="s">
        <v>275</v>
      </c>
      <c r="F524" s="20" t="s">
        <v>652</v>
      </c>
      <c r="G524" s="20" t="s">
        <v>157</v>
      </c>
      <c r="H524" s="20">
        <f>(4104.67*(L8))</f>
        <v>21959.984499999999</v>
      </c>
      <c r="I524" s="20">
        <f>(4170.46*(L8))</f>
        <v>22311.960999999999</v>
      </c>
      <c r="J524" s="20">
        <f>(4209.94*(L8))</f>
        <v>22523.178999999996</v>
      </c>
      <c r="K524" s="20">
        <f>(4315.2*(L8))</f>
        <v>23086.319999999996</v>
      </c>
      <c r="L524" s="20">
        <f>(4380.99*(L8))</f>
        <v>23438.296499999997</v>
      </c>
      <c r="M524" s="20">
        <f>(4459.94*(L8))</f>
        <v>23860.678999999996</v>
      </c>
      <c r="N524" s="20">
        <f>(4552.04*(L8))</f>
        <v>24353.413999999997</v>
      </c>
      <c r="O524" s="20">
        <f>(4683.62*(L8))</f>
        <v>25057.366999999998</v>
      </c>
      <c r="P524" s="20">
        <f>(4749.41*(L8))</f>
        <v>25409.343499999999</v>
      </c>
      <c r="Q524" s="20">
        <f>(5012.57*(L8))</f>
        <v>26817.249499999998</v>
      </c>
    </row>
    <row r="525" spans="1:17" ht="12.75" customHeight="1" x14ac:dyDescent="0.2">
      <c r="A525" s="6"/>
      <c r="B525" s="10" t="s">
        <v>813</v>
      </c>
      <c r="C525" s="20" t="s">
        <v>168</v>
      </c>
      <c r="D525" s="20" t="s">
        <v>644</v>
      </c>
      <c r="E525" s="20" t="s">
        <v>275</v>
      </c>
      <c r="F525" s="20" t="s">
        <v>652</v>
      </c>
      <c r="G525" s="20" t="s">
        <v>160</v>
      </c>
      <c r="H525" s="20">
        <f>(4267.1*(L8))</f>
        <v>22828.985000000001</v>
      </c>
      <c r="I525" s="20">
        <f>(4337.28*(L8))</f>
        <v>23204.447999999997</v>
      </c>
      <c r="J525" s="20">
        <f>(4379.38*(L8))</f>
        <v>23429.682999999997</v>
      </c>
      <c r="K525" s="20">
        <f>(4491.66*(L8))</f>
        <v>24030.380999999998</v>
      </c>
      <c r="L525" s="20">
        <f>(4561.84*(L8))</f>
        <v>24405.844000000001</v>
      </c>
      <c r="M525" s="20">
        <f>(4646.05*(L8))</f>
        <v>24856.3675</v>
      </c>
      <c r="N525" s="20">
        <f>(4744.29*(L8))</f>
        <v>25381.951499999999</v>
      </c>
      <c r="O525" s="20">
        <f>(4884.64*(L8))</f>
        <v>26132.824000000001</v>
      </c>
      <c r="P525" s="20">
        <f>(4954.82*(L8))</f>
        <v>26508.286999999997</v>
      </c>
      <c r="Q525" s="20">
        <f>(5235.52*(L8))</f>
        <v>28010.031999999999</v>
      </c>
    </row>
    <row r="526" spans="1:17" ht="12.75" customHeight="1" x14ac:dyDescent="0.2">
      <c r="A526" s="6"/>
      <c r="B526" s="10" t="s">
        <v>814</v>
      </c>
      <c r="C526" s="20" t="s">
        <v>170</v>
      </c>
      <c r="D526" s="20" t="s">
        <v>644</v>
      </c>
      <c r="E526" s="20" t="s">
        <v>275</v>
      </c>
      <c r="F526" s="20" t="s">
        <v>652</v>
      </c>
      <c r="G526" s="20" t="s">
        <v>163</v>
      </c>
      <c r="H526" s="20">
        <f>(4453.62*(L8))</f>
        <v>23826.866999999998</v>
      </c>
      <c r="I526" s="20">
        <f>(4532.56*(L8))</f>
        <v>24249.196</v>
      </c>
      <c r="J526" s="20">
        <f>(4579.93*(L8))</f>
        <v>24502.625499999998</v>
      </c>
      <c r="K526" s="20">
        <f>(4706.25*(L8))</f>
        <v>25178.4375</v>
      </c>
      <c r="L526" s="20">
        <f>(4785.19*(L8))</f>
        <v>25600.766499999998</v>
      </c>
      <c r="M526" s="20">
        <f>(4879.93*(L8))</f>
        <v>26107.625499999998</v>
      </c>
      <c r="N526" s="20">
        <f>(4990.46*(L8))</f>
        <v>26698.960999999999</v>
      </c>
      <c r="O526" s="20">
        <f>(5148.35*(L8))</f>
        <v>27543.672500000001</v>
      </c>
      <c r="P526" s="20">
        <f>(5227.3*(L8))</f>
        <v>27966.055</v>
      </c>
      <c r="Q526" s="20">
        <f>(5543.09*(L8))</f>
        <v>29655.531499999997</v>
      </c>
    </row>
    <row r="527" spans="1:17" ht="12.75" customHeight="1" x14ac:dyDescent="0.2">
      <c r="A527" s="6"/>
      <c r="B527" s="10" t="s">
        <v>815</v>
      </c>
      <c r="C527" s="20" t="s">
        <v>165</v>
      </c>
      <c r="D527" s="20" t="s">
        <v>644</v>
      </c>
      <c r="E527" s="20" t="s">
        <v>275</v>
      </c>
      <c r="F527" s="20" t="s">
        <v>652</v>
      </c>
      <c r="G527" s="20" t="s">
        <v>166</v>
      </c>
      <c r="H527" s="20">
        <f>(4480.4*(L8))</f>
        <v>23970.139999999996</v>
      </c>
      <c r="I527" s="20">
        <f>(4537.42*(L8))</f>
        <v>24275.197</v>
      </c>
      <c r="J527" s="20">
        <f>(4571.63*(L8))</f>
        <v>24458.220499999999</v>
      </c>
      <c r="K527" s="20">
        <f>(4662.86*(L8))</f>
        <v>24946.300999999996</v>
      </c>
      <c r="L527" s="20">
        <f>(4719.87*(L8))</f>
        <v>25251.304499999998</v>
      </c>
      <c r="M527" s="20">
        <f>(4788.29*(L8))</f>
        <v>25617.351499999997</v>
      </c>
      <c r="N527" s="20">
        <f>(4868.12*(L8))</f>
        <v>26044.441999999999</v>
      </c>
      <c r="O527" s="20">
        <f>(4982.15*(L8))</f>
        <v>26654.502499999995</v>
      </c>
      <c r="P527" s="20">
        <f>(5039.17*(L8))</f>
        <v>26959.559499999999</v>
      </c>
      <c r="Q527" s="20">
        <f>(5267.24*(L8))</f>
        <v>28179.733999999997</v>
      </c>
    </row>
    <row r="528" spans="1:17" ht="12.75" customHeight="1" x14ac:dyDescent="0.2">
      <c r="A528" s="6"/>
      <c r="B528" s="10" t="s">
        <v>816</v>
      </c>
      <c r="C528" s="20" t="s">
        <v>168</v>
      </c>
      <c r="D528" s="20" t="s">
        <v>644</v>
      </c>
      <c r="E528" s="20" t="s">
        <v>275</v>
      </c>
      <c r="F528" s="20" t="s">
        <v>652</v>
      </c>
      <c r="G528" s="20" t="s">
        <v>154</v>
      </c>
      <c r="H528" s="20">
        <f>(4658.84*(L8))</f>
        <v>24924.793999999998</v>
      </c>
      <c r="I528" s="20">
        <f>(4720.24*(L8))</f>
        <v>25253.283999999996</v>
      </c>
      <c r="J528" s="20">
        <f>(4757.09*(L8))</f>
        <v>25450.431499999999</v>
      </c>
      <c r="K528" s="20">
        <f>(4855.33*(L8))</f>
        <v>25976.015499999998</v>
      </c>
      <c r="L528" s="20">
        <f>(4916.74*(L8))</f>
        <v>26304.558999999997</v>
      </c>
      <c r="M528" s="20">
        <f>(4990.42*(L8))</f>
        <v>26698.746999999999</v>
      </c>
      <c r="N528" s="20">
        <f>(5076.38*(L8))</f>
        <v>27158.632999999998</v>
      </c>
      <c r="O528" s="20">
        <f>(5199.19*(L8))</f>
        <v>27815.666499999996</v>
      </c>
      <c r="P528" s="20">
        <f>(5260.59*(L8))</f>
        <v>28144.156499999997</v>
      </c>
      <c r="Q528" s="20">
        <f>(5506.21*(L8))</f>
        <v>29458.2235</v>
      </c>
    </row>
    <row r="529" spans="1:17" ht="12.75" customHeight="1" x14ac:dyDescent="0.2">
      <c r="A529" s="6"/>
      <c r="B529" s="10" t="s">
        <v>817</v>
      </c>
      <c r="C529" s="20" t="s">
        <v>170</v>
      </c>
      <c r="D529" s="20" t="s">
        <v>644</v>
      </c>
      <c r="E529" s="20" t="s">
        <v>275</v>
      </c>
      <c r="F529" s="20" t="s">
        <v>652</v>
      </c>
      <c r="G529" s="20" t="s">
        <v>157</v>
      </c>
      <c r="H529" s="20">
        <f>(4825.23*(L8))</f>
        <v>25814.980499999994</v>
      </c>
      <c r="I529" s="20">
        <f>(4891.02*(L8))</f>
        <v>26166.957000000002</v>
      </c>
      <c r="J529" s="20">
        <f>(4930.5*(L8))</f>
        <v>26378.174999999999</v>
      </c>
      <c r="K529" s="20">
        <f>(5035.76*(L8))</f>
        <v>26941.315999999999</v>
      </c>
      <c r="L529" s="20">
        <f>(5101.55*(L8))</f>
        <v>27293.2925</v>
      </c>
      <c r="M529" s="20">
        <f>(5180.5*(L8))</f>
        <v>27715.674999999999</v>
      </c>
      <c r="N529" s="20">
        <f>(5272.6*(L8))</f>
        <v>28208.41</v>
      </c>
      <c r="O529" s="20">
        <f>(5404.18*(L8))</f>
        <v>28912.363000000001</v>
      </c>
      <c r="P529" s="20">
        <f>(5469.97*(L8))</f>
        <v>29264.339499999998</v>
      </c>
      <c r="Q529" s="20">
        <f>(5733.13*(L8))</f>
        <v>30672.245499999997</v>
      </c>
    </row>
    <row r="530" spans="1:17" ht="12.75" customHeight="1" x14ac:dyDescent="0.2">
      <c r="A530" s="6"/>
      <c r="B530" s="10" t="s">
        <v>818</v>
      </c>
      <c r="C530" s="20" t="s">
        <v>172</v>
      </c>
      <c r="D530" s="20" t="s">
        <v>644</v>
      </c>
      <c r="E530" s="20" t="s">
        <v>275</v>
      </c>
      <c r="F530" s="20" t="s">
        <v>652</v>
      </c>
      <c r="G530" s="20" t="s">
        <v>160</v>
      </c>
      <c r="H530" s="20">
        <f>(5051.87*(L8))</f>
        <v>27027.504499999999</v>
      </c>
      <c r="I530" s="20">
        <f>(5122.05*(L8))</f>
        <v>27402.967499999999</v>
      </c>
      <c r="J530" s="20">
        <f>(5164.15*(L8))</f>
        <v>27628.202499999996</v>
      </c>
      <c r="K530" s="20">
        <f>(5276.43*(L8))</f>
        <v>28228.9005</v>
      </c>
      <c r="L530" s="20">
        <f>(5346.61*(L8))</f>
        <v>28604.363499999996</v>
      </c>
      <c r="M530" s="20">
        <f>(5430.82*(L8))</f>
        <v>29054.886999999995</v>
      </c>
      <c r="N530" s="20">
        <f>(5529.07*(L8))</f>
        <v>29580.524499999996</v>
      </c>
      <c r="O530" s="20">
        <f>(5669.42*(L8))</f>
        <v>30331.396999999997</v>
      </c>
      <c r="P530" s="20">
        <f>(5739.59*(L8))</f>
        <v>30706.806499999999</v>
      </c>
      <c r="Q530" s="20">
        <f>(6020.29*(L8))</f>
        <v>32208.551499999998</v>
      </c>
    </row>
    <row r="531" spans="1:17" ht="12.75" customHeight="1" x14ac:dyDescent="0.2">
      <c r="A531" s="6"/>
      <c r="B531" s="10" t="s">
        <v>819</v>
      </c>
      <c r="C531" s="20" t="s">
        <v>174</v>
      </c>
      <c r="D531" s="20" t="s">
        <v>644</v>
      </c>
      <c r="E531" s="20" t="s">
        <v>275</v>
      </c>
      <c r="F531" s="20" t="s">
        <v>652</v>
      </c>
      <c r="G531" s="20" t="s">
        <v>163</v>
      </c>
      <c r="H531" s="20">
        <f>(5339.09*(L8))</f>
        <v>28564.1315</v>
      </c>
      <c r="I531" s="20">
        <f>(5439.97*(L8))</f>
        <v>29103.839499999998</v>
      </c>
      <c r="J531" s="20">
        <f>(5500.49*(L8))</f>
        <v>29427.621499999997</v>
      </c>
      <c r="K531" s="20">
        <f>(5661.9*(L8))</f>
        <v>30291.164999999997</v>
      </c>
      <c r="L531" s="20">
        <f>(5762.77*(L8))</f>
        <v>30830.819500000001</v>
      </c>
      <c r="M531" s="20">
        <f>(5883.83*(L8))</f>
        <v>31478.490499999996</v>
      </c>
      <c r="N531" s="20">
        <f>(6025.05*(L8))</f>
        <v>32234.017499999998</v>
      </c>
      <c r="O531" s="20">
        <f>(6226.81*(L8))</f>
        <v>33313.433499999999</v>
      </c>
      <c r="P531" s="20">
        <f>(6327.69*(L8))</f>
        <v>33853.141499999998</v>
      </c>
      <c r="Q531" s="20">
        <f>(6731.19*(L8))</f>
        <v>36011.866499999996</v>
      </c>
    </row>
    <row r="532" spans="1:17" ht="12.75" customHeight="1" x14ac:dyDescent="0.2">
      <c r="A532" s="6"/>
      <c r="B532" s="10" t="s">
        <v>820</v>
      </c>
      <c r="C532" s="20" t="s">
        <v>137</v>
      </c>
      <c r="D532" s="20" t="s">
        <v>644</v>
      </c>
      <c r="E532" s="20" t="s">
        <v>275</v>
      </c>
      <c r="F532" s="20" t="s">
        <v>652</v>
      </c>
      <c r="G532" s="20" t="s">
        <v>152</v>
      </c>
      <c r="H532" s="20">
        <f>(3437.81*(L8))</f>
        <v>18392.283499999998</v>
      </c>
      <c r="I532" s="20">
        <f>(3499.21*(L8))</f>
        <v>18720.773499999999</v>
      </c>
      <c r="J532" s="20">
        <f>(3536.05*(L8))</f>
        <v>18917.8675</v>
      </c>
      <c r="K532" s="20">
        <f>(3634.3*(L8))</f>
        <v>19443.505000000001</v>
      </c>
      <c r="L532" s="20">
        <f>(3695.7*(L8))</f>
        <v>19771.994999999999</v>
      </c>
      <c r="M532" s="20">
        <f>(3769.39*(L8))</f>
        <v>20166.236499999999</v>
      </c>
      <c r="N532" s="20">
        <f>(3855.35*(L8))</f>
        <v>20626.122499999998</v>
      </c>
      <c r="O532" s="20">
        <f>(3978.16*(L8))</f>
        <v>21283.155999999999</v>
      </c>
      <c r="P532" s="20">
        <f>(4039.56*(L8))</f>
        <v>21611.645999999997</v>
      </c>
      <c r="Q532" s="20">
        <f>(4285.18*(L8))</f>
        <v>22925.713</v>
      </c>
    </row>
    <row r="533" spans="1:17" ht="12.75" customHeight="1" x14ac:dyDescent="0.2">
      <c r="A533" s="6"/>
      <c r="B533" s="10" t="s">
        <v>821</v>
      </c>
      <c r="C533" s="20" t="s">
        <v>292</v>
      </c>
      <c r="D533" s="20" t="s">
        <v>644</v>
      </c>
      <c r="E533" s="20" t="s">
        <v>275</v>
      </c>
      <c r="F533" s="20" t="s">
        <v>652</v>
      </c>
      <c r="G533" s="20" t="s">
        <v>166</v>
      </c>
      <c r="H533" s="20">
        <f>(3618.12*(L8))</f>
        <v>19356.941999999999</v>
      </c>
      <c r="I533" s="20">
        <f>(3683.91*(L8))</f>
        <v>19708.918499999996</v>
      </c>
      <c r="J533" s="20">
        <f>(3723.38*(L8))</f>
        <v>19920.082999999999</v>
      </c>
      <c r="K533" s="20">
        <f>(3828.64*(L8))</f>
        <v>20483.223999999998</v>
      </c>
      <c r="L533" s="20">
        <f>(3894.43*(L8))</f>
        <v>20835.200499999999</v>
      </c>
      <c r="M533" s="20">
        <f>(3973.38*(L8))</f>
        <v>21257.582999999999</v>
      </c>
      <c r="N533" s="20">
        <f>(4065.49*(L8))</f>
        <v>21750.371499999997</v>
      </c>
      <c r="O533" s="20">
        <f>(4197.07*(L8))</f>
        <v>22454.324499999995</v>
      </c>
      <c r="P533" s="20">
        <f>(4262.86*(L8))</f>
        <v>22806.300999999996</v>
      </c>
      <c r="Q533" s="20">
        <f>(4526.01*(L8))</f>
        <v>24214.1535</v>
      </c>
    </row>
    <row r="534" spans="1:17" ht="12.75" customHeight="1" x14ac:dyDescent="0.2">
      <c r="A534" s="6"/>
      <c r="B534" s="10" t="s">
        <v>822</v>
      </c>
      <c r="C534" s="20" t="s">
        <v>273</v>
      </c>
      <c r="D534" s="20" t="s">
        <v>644</v>
      </c>
      <c r="E534" s="20" t="s">
        <v>275</v>
      </c>
      <c r="F534" s="20" t="s">
        <v>652</v>
      </c>
      <c r="G534" s="20" t="s">
        <v>154</v>
      </c>
      <c r="H534" s="20">
        <f>(3782.66*(L8))</f>
        <v>20237.230999999996</v>
      </c>
      <c r="I534" s="20">
        <f>(3852.84*(L8))</f>
        <v>20612.694</v>
      </c>
      <c r="J534" s="20">
        <f>(3894.95*(L8))</f>
        <v>20837.982499999998</v>
      </c>
      <c r="K534" s="20">
        <f>(4007.23*(L8))</f>
        <v>21438.680499999999</v>
      </c>
      <c r="L534" s="20">
        <f>(4077.4*(L8))</f>
        <v>21814.09</v>
      </c>
      <c r="M534" s="20">
        <f>(4161.61*(L8))</f>
        <v>22264.613499999996</v>
      </c>
      <c r="N534" s="20">
        <f>(4259.86*(L8))</f>
        <v>22790.250999999997</v>
      </c>
      <c r="O534" s="20">
        <f>(4400.21*(L8))</f>
        <v>23541.123499999998</v>
      </c>
      <c r="P534" s="20">
        <f>(4470.38*(L8))</f>
        <v>23916.532999999999</v>
      </c>
      <c r="Q534" s="20">
        <f>(4751.09*(L8))</f>
        <v>25418.3315</v>
      </c>
    </row>
    <row r="535" spans="1:17" ht="12.75" customHeight="1" x14ac:dyDescent="0.2">
      <c r="A535" s="6"/>
      <c r="B535" s="10" t="s">
        <v>823</v>
      </c>
      <c r="C535" s="20" t="s">
        <v>278</v>
      </c>
      <c r="D535" s="20" t="s">
        <v>644</v>
      </c>
      <c r="E535" s="20" t="s">
        <v>275</v>
      </c>
      <c r="F535" s="20" t="s">
        <v>652</v>
      </c>
      <c r="G535" s="20" t="s">
        <v>157</v>
      </c>
      <c r="H535" s="20">
        <f>(3961.36*(L8))</f>
        <v>21193.275999999998</v>
      </c>
      <c r="I535" s="20">
        <f>(4035.92*(L8))</f>
        <v>21592.171999999999</v>
      </c>
      <c r="J535" s="20">
        <f>(4080.65*(L8))</f>
        <v>21831.477499999997</v>
      </c>
      <c r="K535" s="20">
        <f>(4199.95*(L8))</f>
        <v>22469.732499999998</v>
      </c>
      <c r="L535" s="20">
        <f>(4274.51*(L8))</f>
        <v>22868.628499999999</v>
      </c>
      <c r="M535" s="20">
        <f>(4363.99*(L8))</f>
        <v>23347.346499999996</v>
      </c>
      <c r="N535" s="20">
        <f>(4468.37*(L8))</f>
        <v>23905.779499999997</v>
      </c>
      <c r="O535" s="20">
        <f>(4617.5*(L8))</f>
        <v>24703.625</v>
      </c>
      <c r="P535" s="20">
        <f>(4692.06*(L8))</f>
        <v>25102.521000000001</v>
      </c>
      <c r="Q535" s="20">
        <f>(4990.3*(L8))</f>
        <v>26698.105</v>
      </c>
    </row>
    <row r="536" spans="1:17" ht="12.75" customHeight="1" x14ac:dyDescent="0.2">
      <c r="A536" s="6"/>
      <c r="B536" s="10" t="s">
        <v>824</v>
      </c>
      <c r="C536" s="20" t="s">
        <v>280</v>
      </c>
      <c r="D536" s="20" t="s">
        <v>644</v>
      </c>
      <c r="E536" s="20" t="s">
        <v>275</v>
      </c>
      <c r="F536" s="20" t="s">
        <v>652</v>
      </c>
      <c r="G536" s="20" t="s">
        <v>160</v>
      </c>
      <c r="H536" s="20">
        <f>(4127.91*(L8))</f>
        <v>22084.318499999998</v>
      </c>
      <c r="I536" s="20">
        <f>(4206.85*(L8))</f>
        <v>22506.647499999999</v>
      </c>
      <c r="J536" s="20">
        <f>(4254.22*(L8))</f>
        <v>22760.077000000001</v>
      </c>
      <c r="K536" s="20">
        <f>(4380.54*(L8))</f>
        <v>23435.888999999999</v>
      </c>
      <c r="L536" s="20">
        <f>(4459.49*(L8))</f>
        <v>23858.271499999999</v>
      </c>
      <c r="M536" s="20">
        <f>(4554.22*(L8))</f>
        <v>24365.077000000001</v>
      </c>
      <c r="N536" s="20">
        <f>(4664.75*(L8))</f>
        <v>24956.412499999999</v>
      </c>
      <c r="O536" s="20">
        <f>(4822.64*(L8))</f>
        <v>25801.124</v>
      </c>
      <c r="P536" s="20">
        <f>(4901.59*(L8))</f>
        <v>26223.5065</v>
      </c>
      <c r="Q536" s="20">
        <f>(5217.38*(L8))</f>
        <v>27912.983</v>
      </c>
    </row>
    <row r="537" spans="1:17" ht="12.75" customHeight="1" x14ac:dyDescent="0.2">
      <c r="A537" s="6"/>
      <c r="B537" s="10" t="s">
        <v>825</v>
      </c>
      <c r="C537" s="20" t="s">
        <v>236</v>
      </c>
      <c r="D537" s="20" t="s">
        <v>644</v>
      </c>
      <c r="E537" s="20" t="s">
        <v>275</v>
      </c>
      <c r="F537" s="20" t="s">
        <v>652</v>
      </c>
      <c r="G537" s="20" t="s">
        <v>163</v>
      </c>
      <c r="H537" s="20">
        <f>(4388.23*(L8))</f>
        <v>23477.030499999997</v>
      </c>
      <c r="I537" s="20">
        <f>(4489.11*(L8))</f>
        <v>24016.738499999996</v>
      </c>
      <c r="J537" s="20">
        <f>(4549.63*(L8))</f>
        <v>24340.520499999999</v>
      </c>
      <c r="K537" s="20">
        <f>(4711.04*(L8))</f>
        <v>25204.063999999998</v>
      </c>
      <c r="L537" s="20">
        <f>(4811.91*(L8))</f>
        <v>25743.718499999999</v>
      </c>
      <c r="M537" s="20">
        <f>(4932.97*(L8))</f>
        <v>26391.389500000001</v>
      </c>
      <c r="N537" s="20">
        <f>(5074.19*(L8))</f>
        <v>27146.916499999996</v>
      </c>
      <c r="O537" s="20">
        <f>(5275.95*(L8))</f>
        <v>28226.332499999997</v>
      </c>
      <c r="P537" s="20">
        <f>(5376.83*(L8))</f>
        <v>28766.040499999999</v>
      </c>
      <c r="Q537" s="20">
        <f>(5780.33*(L8))</f>
        <v>30924.765499999998</v>
      </c>
    </row>
    <row r="538" spans="1:17" ht="12.75" customHeight="1" x14ac:dyDescent="0.2">
      <c r="A538" s="6"/>
      <c r="B538" s="10" t="s">
        <v>826</v>
      </c>
      <c r="C538" s="20" t="s">
        <v>134</v>
      </c>
      <c r="D538" s="20" t="s">
        <v>712</v>
      </c>
      <c r="E538" s="20" t="s">
        <v>275</v>
      </c>
      <c r="F538" s="20" t="s">
        <v>652</v>
      </c>
      <c r="G538" s="20" t="s">
        <v>152</v>
      </c>
      <c r="H538" s="20">
        <f>(3074.32*(L8))</f>
        <v>16447.612000000001</v>
      </c>
      <c r="I538" s="20">
        <f>(3118.18*(L8))</f>
        <v>16682.262999999999</v>
      </c>
      <c r="J538" s="20">
        <f>(3144.49*(L8))</f>
        <v>16823.021499999999</v>
      </c>
      <c r="K538" s="20">
        <f>(3214.67*(L8))</f>
        <v>17198.484499999999</v>
      </c>
      <c r="L538" s="20">
        <f>(3258.53*(L8))</f>
        <v>17433.1355</v>
      </c>
      <c r="M538" s="20">
        <f>(3311.16*(L8))</f>
        <v>17714.705999999998</v>
      </c>
      <c r="N538" s="20">
        <f>(3372.56*(L8))</f>
        <v>18043.196</v>
      </c>
      <c r="O538" s="20">
        <f>(3460.28*(L8))</f>
        <v>18512.498</v>
      </c>
      <c r="P538" s="20">
        <f>(3504.14*(L8))</f>
        <v>18747.148999999998</v>
      </c>
      <c r="Q538" s="20">
        <f>(3679.58*(L8))</f>
        <v>19685.752999999997</v>
      </c>
    </row>
    <row r="539" spans="1:17" ht="12.75" customHeight="1" x14ac:dyDescent="0.2">
      <c r="A539" s="6"/>
      <c r="B539" s="10" t="s">
        <v>827</v>
      </c>
      <c r="C539" s="20" t="s">
        <v>330</v>
      </c>
      <c r="D539" s="20" t="s">
        <v>644</v>
      </c>
      <c r="E539" s="20" t="s">
        <v>828</v>
      </c>
      <c r="F539" s="20" t="s">
        <v>27</v>
      </c>
      <c r="G539" s="20" t="s">
        <v>524</v>
      </c>
      <c r="H539" s="20">
        <f>(1581.42*(L8))</f>
        <v>8460.5969999999998</v>
      </c>
      <c r="I539" s="20">
        <f>(1598.97*(L8))</f>
        <v>8554.4894999999997</v>
      </c>
      <c r="J539" s="20">
        <f>(1609.49*(L8))</f>
        <v>8610.7714999999989</v>
      </c>
      <c r="K539" s="20">
        <f>(1637.56*(L8))</f>
        <v>8760.9459999999999</v>
      </c>
      <c r="L539" s="20">
        <f>(1655.11*(L8))</f>
        <v>8854.838499999998</v>
      </c>
      <c r="M539" s="20">
        <f>(1676.16*(L8))</f>
        <v>8967.4560000000001</v>
      </c>
      <c r="N539" s="20">
        <f>(1700.72*(L8))</f>
        <v>9098.851999999999</v>
      </c>
      <c r="O539" s="20">
        <f>(1735.81*(L8))</f>
        <v>9286.5834999999988</v>
      </c>
      <c r="P539" s="20">
        <f>(1753.35*(L8))</f>
        <v>9380.4224999999988</v>
      </c>
      <c r="Q539" s="20">
        <f>(1823.53*(L8))</f>
        <v>9755.8854999999985</v>
      </c>
    </row>
    <row r="540" spans="1:17" ht="12.75" customHeight="1" x14ac:dyDescent="0.2">
      <c r="A540" s="6"/>
      <c r="B540" s="10" t="s">
        <v>829</v>
      </c>
      <c r="C540" s="20" t="s">
        <v>385</v>
      </c>
      <c r="D540" s="20" t="s">
        <v>644</v>
      </c>
      <c r="E540" s="20" t="s">
        <v>275</v>
      </c>
      <c r="F540" s="20" t="s">
        <v>27</v>
      </c>
      <c r="G540" s="20" t="s">
        <v>38</v>
      </c>
      <c r="H540" s="20">
        <f>(2973.19*(L8))</f>
        <v>15906.566499999999</v>
      </c>
      <c r="I540" s="20">
        <f>(3017.05*(L8))</f>
        <v>16141.217500000001</v>
      </c>
      <c r="J540" s="20">
        <f>(3043.37*(L8))</f>
        <v>16282.029499999999</v>
      </c>
      <c r="K540" s="20">
        <f>(3113.55*(L8))</f>
        <v>16657.4925</v>
      </c>
      <c r="L540" s="20">
        <f>(3157.4*(L8))</f>
        <v>16892.09</v>
      </c>
      <c r="M540" s="20">
        <f>(3210.04*(L8))</f>
        <v>17173.714</v>
      </c>
      <c r="N540" s="20">
        <f>(3271.44*(L8))</f>
        <v>17502.203999999998</v>
      </c>
      <c r="O540" s="20">
        <f>(3359.16*(L8))</f>
        <v>17971.505999999998</v>
      </c>
      <c r="P540" s="20">
        <f>(3403.02*(L8))</f>
        <v>18206.156999999999</v>
      </c>
      <c r="Q540" s="20">
        <f>(3578.46*(L8))</f>
        <v>19144.760999999999</v>
      </c>
    </row>
    <row r="541" spans="1:17" ht="12.75" customHeight="1" x14ac:dyDescent="0.2">
      <c r="A541" s="6"/>
      <c r="B541" s="10" t="s">
        <v>830</v>
      </c>
      <c r="C541" s="20" t="s">
        <v>135</v>
      </c>
      <c r="D541" s="20" t="s">
        <v>644</v>
      </c>
      <c r="E541" s="20" t="s">
        <v>275</v>
      </c>
      <c r="F541" s="20" t="s">
        <v>27</v>
      </c>
      <c r="G541" s="20" t="s">
        <v>60</v>
      </c>
      <c r="H541" s="20">
        <f>(3203.03*(L8))</f>
        <v>17136.210500000001</v>
      </c>
      <c r="I541" s="20">
        <f>(3268.82*(L8))</f>
        <v>17488.186999999998</v>
      </c>
      <c r="J541" s="20">
        <f>(3308.29*(L8))</f>
        <v>17699.351499999997</v>
      </c>
      <c r="K541" s="20">
        <f>(3413.56*(L8))</f>
        <v>18262.545999999998</v>
      </c>
      <c r="L541" s="20">
        <f>(3479.35*(L8))</f>
        <v>18614.522499999999</v>
      </c>
      <c r="M541" s="20">
        <f>(3558.29*(L8))</f>
        <v>19036.851499999997</v>
      </c>
      <c r="N541" s="20">
        <f>(3650.4*(L8))</f>
        <v>19529.64</v>
      </c>
      <c r="O541" s="20">
        <f>(3781.98*(L8))</f>
        <v>20233.592999999997</v>
      </c>
      <c r="P541" s="20">
        <f>(3847.77*(L8))</f>
        <v>20585.569499999998</v>
      </c>
      <c r="Q541" s="20">
        <f>(4110.92*(L8))</f>
        <v>21993.421999999999</v>
      </c>
    </row>
    <row r="542" spans="1:17" ht="12.75" customHeight="1" x14ac:dyDescent="0.2">
      <c r="A542" s="6"/>
      <c r="B542" s="10" t="s">
        <v>831</v>
      </c>
      <c r="C542" s="20" t="s">
        <v>136</v>
      </c>
      <c r="D542" s="20" t="s">
        <v>644</v>
      </c>
      <c r="E542" s="20" t="s">
        <v>275</v>
      </c>
      <c r="F542" s="20" t="s">
        <v>27</v>
      </c>
      <c r="G542" s="20" t="s">
        <v>42</v>
      </c>
      <c r="H542" s="20">
        <f>(3261.53*(L8))</f>
        <v>17449.1855</v>
      </c>
      <c r="I542" s="20">
        <f>(3314.16*(L8))</f>
        <v>17730.755999999998</v>
      </c>
      <c r="J542" s="20">
        <f>(3345.74*(L8))</f>
        <v>17899.708999999999</v>
      </c>
      <c r="K542" s="20">
        <f>(3429.95*(L8))</f>
        <v>18350.232499999998</v>
      </c>
      <c r="L542" s="20">
        <f>(3482.58*(L8))</f>
        <v>18631.803</v>
      </c>
      <c r="M542" s="20">
        <f>(3545.74*(L8))</f>
        <v>18969.708999999999</v>
      </c>
      <c r="N542" s="20">
        <f>(3619.42*(L8))</f>
        <v>19363.897000000001</v>
      </c>
      <c r="O542" s="20">
        <f>(3724.69*(L8))</f>
        <v>19927.091499999999</v>
      </c>
      <c r="P542" s="20">
        <f>(3777.32*(L8))</f>
        <v>20208.662</v>
      </c>
      <c r="Q542" s="20">
        <f>(3987.84*(L8))</f>
        <v>21334.944</v>
      </c>
    </row>
    <row r="543" spans="1:17" ht="12.75" customHeight="1" x14ac:dyDescent="0.2">
      <c r="A543" s="6"/>
      <c r="B543" s="10" t="s">
        <v>832</v>
      </c>
      <c r="C543" s="20" t="s">
        <v>137</v>
      </c>
      <c r="D543" s="20" t="s">
        <v>644</v>
      </c>
      <c r="E543" s="20" t="s">
        <v>275</v>
      </c>
      <c r="F543" s="20" t="s">
        <v>27</v>
      </c>
      <c r="G543" s="20" t="s">
        <v>262</v>
      </c>
      <c r="H543" s="20">
        <f>(3393.75*(L8))</f>
        <v>18156.5625</v>
      </c>
      <c r="I543" s="20">
        <f>(3450.77*(L8))</f>
        <v>18461.619499999997</v>
      </c>
      <c r="J543" s="20">
        <f>(3484.98*(L8))</f>
        <v>18644.643</v>
      </c>
      <c r="K543" s="20">
        <f>(3576.21*(L8))</f>
        <v>19132.7235</v>
      </c>
      <c r="L543" s="20">
        <f>(3633.23*(L8))</f>
        <v>19437.780499999997</v>
      </c>
      <c r="M543" s="20">
        <f>(3701.65*(L8))</f>
        <v>19803.827499999999</v>
      </c>
      <c r="N543" s="20">
        <f>(3781.47*(L8))</f>
        <v>20230.864499999996</v>
      </c>
      <c r="O543" s="20">
        <f>(3895.51*(L8))</f>
        <v>20840.978500000001</v>
      </c>
      <c r="P543" s="20">
        <f>(3952.53*(L8))</f>
        <v>21146.035499999998</v>
      </c>
      <c r="Q543" s="20">
        <f>(4180.6*(L8))</f>
        <v>22366.21</v>
      </c>
    </row>
    <row r="544" spans="1:17" ht="12.75" customHeight="1" x14ac:dyDescent="0.2">
      <c r="A544" s="6"/>
      <c r="B544" s="10" t="s">
        <v>833</v>
      </c>
      <c r="C544" s="20" t="s">
        <v>136</v>
      </c>
      <c r="D544" s="20" t="s">
        <v>644</v>
      </c>
      <c r="E544" s="20" t="s">
        <v>275</v>
      </c>
      <c r="F544" s="20" t="s">
        <v>27</v>
      </c>
      <c r="G544" s="20" t="s">
        <v>38</v>
      </c>
      <c r="H544" s="20">
        <f>(3623.54*(L8))</f>
        <v>19385.938999999998</v>
      </c>
      <c r="I544" s="20">
        <f>(3667.4*(L8))</f>
        <v>19620.59</v>
      </c>
      <c r="J544" s="20">
        <f>(3693.72*(L8))</f>
        <v>19761.401999999998</v>
      </c>
      <c r="K544" s="20">
        <f>(3763.89*(L8))</f>
        <v>20136.8115</v>
      </c>
      <c r="L544" s="20">
        <f>(3807.75*(L8))</f>
        <v>20371.462499999998</v>
      </c>
      <c r="M544" s="20">
        <f>(3860.38*(L8))</f>
        <v>20653.032999999999</v>
      </c>
      <c r="N544" s="20">
        <f>(3921.79*(L8))</f>
        <v>20981.576499999999</v>
      </c>
      <c r="O544" s="20">
        <f>(4009.51*(L8))</f>
        <v>21450.878499999999</v>
      </c>
      <c r="P544" s="20">
        <f>(4053.37*(L8))</f>
        <v>21685.529499999997</v>
      </c>
      <c r="Q544" s="20">
        <f>(4228.8*(L8))</f>
        <v>22624.079999999998</v>
      </c>
    </row>
    <row r="545" spans="1:17" ht="12.75" customHeight="1" x14ac:dyDescent="0.2">
      <c r="A545" s="6"/>
      <c r="B545" s="10" t="s">
        <v>834</v>
      </c>
      <c r="C545" s="20" t="s">
        <v>137</v>
      </c>
      <c r="D545" s="20" t="s">
        <v>644</v>
      </c>
      <c r="E545" s="20" t="s">
        <v>275</v>
      </c>
      <c r="F545" s="20" t="s">
        <v>27</v>
      </c>
      <c r="G545" s="20" t="s">
        <v>60</v>
      </c>
      <c r="H545" s="20">
        <f>(3763.1*(L8))</f>
        <v>20132.584999999999</v>
      </c>
      <c r="I545" s="20">
        <f>(3811.34*(L8))</f>
        <v>20390.668999999998</v>
      </c>
      <c r="J545" s="20">
        <f>(3840.29*(L8))</f>
        <v>20545.551499999998</v>
      </c>
      <c r="K545" s="20">
        <f>(3917.48*(L8))</f>
        <v>20958.518</v>
      </c>
      <c r="L545" s="20">
        <f>(3965.73*(L8))</f>
        <v>21216.655499999997</v>
      </c>
      <c r="M545" s="20">
        <f>(4023.62*(L8))</f>
        <v>21526.366999999998</v>
      </c>
      <c r="N545" s="20">
        <f>(4091.17*(L8))</f>
        <v>21887.7595</v>
      </c>
      <c r="O545" s="20">
        <f>(4187.66*(L8))</f>
        <v>22403.980999999996</v>
      </c>
      <c r="P545" s="20">
        <f>(4235.9*(L8))</f>
        <v>22662.064999999995</v>
      </c>
      <c r="Q545" s="20">
        <f>(4428.89*(L8))</f>
        <v>23694.5615</v>
      </c>
    </row>
    <row r="546" spans="1:17" ht="12.75" customHeight="1" x14ac:dyDescent="0.2">
      <c r="A546" s="6"/>
      <c r="B546" s="10" t="s">
        <v>835</v>
      </c>
      <c r="C546" s="20" t="s">
        <v>292</v>
      </c>
      <c r="D546" s="20" t="s">
        <v>644</v>
      </c>
      <c r="E546" s="20" t="s">
        <v>275</v>
      </c>
      <c r="F546" s="20" t="s">
        <v>27</v>
      </c>
      <c r="G546" s="20" t="s">
        <v>42</v>
      </c>
      <c r="H546" s="20">
        <f>(3966.44*(L8))</f>
        <v>21220.453999999998</v>
      </c>
      <c r="I546" s="20">
        <f>(4019.07*(L8))</f>
        <v>21502.0245</v>
      </c>
      <c r="J546" s="20">
        <f>(4050.65*(L8))</f>
        <v>21670.977499999997</v>
      </c>
      <c r="K546" s="20">
        <f>(4134.86*(L8))</f>
        <v>22121.500999999997</v>
      </c>
      <c r="L546" s="20">
        <f>(4187.49*(L8))</f>
        <v>22403.071499999998</v>
      </c>
      <c r="M546" s="20">
        <f>(4250.65*(L8))</f>
        <v>22740.977499999997</v>
      </c>
      <c r="N546" s="20">
        <f>(4324.33*(L8))</f>
        <v>23135.165499999999</v>
      </c>
      <c r="O546" s="20">
        <f>(4429.6*(L8))</f>
        <v>23698.36</v>
      </c>
      <c r="P546" s="20">
        <f>(4482.23*(L8))</f>
        <v>23979.930499999995</v>
      </c>
      <c r="Q546" s="20">
        <f>(4692.76*(L8))</f>
        <v>25106.266</v>
      </c>
    </row>
    <row r="547" spans="1:17" ht="12.75" customHeight="1" x14ac:dyDescent="0.2">
      <c r="A547" s="6"/>
      <c r="B547" s="10" t="s">
        <v>836</v>
      </c>
      <c r="C547" s="20" t="s">
        <v>273</v>
      </c>
      <c r="D547" s="20" t="s">
        <v>644</v>
      </c>
      <c r="E547" s="20" t="s">
        <v>275</v>
      </c>
      <c r="F547" s="20" t="s">
        <v>27</v>
      </c>
      <c r="G547" s="20" t="s">
        <v>262</v>
      </c>
      <c r="H547" s="20">
        <f>(4172.18*(L8))</f>
        <v>22321.163</v>
      </c>
      <c r="I547" s="20">
        <f>(4246.74*(L8))</f>
        <v>22720.058999999997</v>
      </c>
      <c r="J547" s="20">
        <f>(4291.47*(L8))</f>
        <v>22959.3645</v>
      </c>
      <c r="K547" s="20">
        <f>(4410.77*(L8))</f>
        <v>23597.619500000001</v>
      </c>
      <c r="L547" s="20">
        <f>(4485.33*(L8))</f>
        <v>23996.515499999998</v>
      </c>
      <c r="M547" s="20">
        <f>(4574.81*(L8))</f>
        <v>24475.233500000002</v>
      </c>
      <c r="N547" s="20">
        <f>(4679.19*(L8))</f>
        <v>25033.666499999996</v>
      </c>
      <c r="O547" s="20">
        <f>(4828.32*(L8))</f>
        <v>25831.511999999995</v>
      </c>
      <c r="P547" s="20">
        <f>(4902.88*(L8))</f>
        <v>26230.407999999999</v>
      </c>
      <c r="Q547" s="20">
        <f>(5201.12*(L8))</f>
        <v>27825.991999999998</v>
      </c>
    </row>
    <row r="548" spans="1:17" ht="30" customHeight="1" x14ac:dyDescent="0.35">
      <c r="A548" s="6"/>
      <c r="B548" s="23" t="s">
        <v>837</v>
      </c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5"/>
    </row>
    <row r="549" spans="1:17" ht="12.75" customHeight="1" x14ac:dyDescent="0.2">
      <c r="A549" s="7" t="s">
        <v>6</v>
      </c>
      <c r="B549" s="8" t="s">
        <v>7</v>
      </c>
      <c r="C549" s="8" t="s">
        <v>8</v>
      </c>
      <c r="D549" s="8" t="s">
        <v>9</v>
      </c>
      <c r="E549" s="8" t="s">
        <v>10</v>
      </c>
      <c r="F549" s="8" t="s">
        <v>11</v>
      </c>
      <c r="G549" s="8" t="s">
        <v>12</v>
      </c>
      <c r="H549" s="8" t="s">
        <v>13</v>
      </c>
      <c r="I549" s="8" t="s">
        <v>14</v>
      </c>
      <c r="J549" s="8" t="s">
        <v>15</v>
      </c>
      <c r="K549" s="8" t="s">
        <v>16</v>
      </c>
      <c r="L549" s="8" t="s">
        <v>17</v>
      </c>
      <c r="M549" s="8" t="s">
        <v>18</v>
      </c>
      <c r="N549" s="8" t="s">
        <v>19</v>
      </c>
      <c r="O549" s="8" t="s">
        <v>20</v>
      </c>
      <c r="P549" s="8" t="s">
        <v>21</v>
      </c>
      <c r="Q549" s="8" t="s">
        <v>22</v>
      </c>
    </row>
    <row r="550" spans="1:17" ht="12.75" customHeight="1" x14ac:dyDescent="0.2">
      <c r="A550" s="6"/>
      <c r="B550" s="10" t="s">
        <v>838</v>
      </c>
      <c r="C550" s="20" t="s">
        <v>265</v>
      </c>
      <c r="D550" s="96" t="s">
        <v>839</v>
      </c>
      <c r="E550" s="20" t="s">
        <v>226</v>
      </c>
      <c r="F550" s="20" t="s">
        <v>210</v>
      </c>
      <c r="G550" s="20" t="s">
        <v>152</v>
      </c>
      <c r="H550" s="20">
        <f>(3618.49*(L8))</f>
        <v>19358.921499999997</v>
      </c>
      <c r="I550" s="20">
        <f>(3701.83*(L8))</f>
        <v>19804.790499999999</v>
      </c>
      <c r="J550" s="20">
        <f>(3751.83*(L8))</f>
        <v>20072.290499999999</v>
      </c>
      <c r="K550" s="20">
        <f>(3885.16*(L8))</f>
        <v>20785.605999999996</v>
      </c>
      <c r="L550" s="20">
        <f>(3968.49*(L8))</f>
        <v>21231.421499999997</v>
      </c>
      <c r="M550" s="20">
        <f>(4068.49*(L8))</f>
        <v>21766.421499999997</v>
      </c>
      <c r="N550" s="20">
        <f>(4185.16*(L8))</f>
        <v>22390.605999999996</v>
      </c>
      <c r="O550" s="20">
        <f>(4351.83*(L8))</f>
        <v>23282.290499999999</v>
      </c>
      <c r="P550" s="20">
        <f>(4435.16*(L8))</f>
        <v>23728.105999999996</v>
      </c>
      <c r="Q550" s="20">
        <f>(4768.49*(L8))</f>
        <v>25511.421499999997</v>
      </c>
    </row>
    <row r="551" spans="1:17" ht="12.75" customHeight="1" x14ac:dyDescent="0.2">
      <c r="A551" s="6"/>
      <c r="B551" s="10" t="s">
        <v>840</v>
      </c>
      <c r="C551" s="20" t="s">
        <v>270</v>
      </c>
      <c r="D551" s="96" t="s">
        <v>839</v>
      </c>
      <c r="E551" s="20" t="s">
        <v>226</v>
      </c>
      <c r="F551" s="20" t="s">
        <v>210</v>
      </c>
      <c r="G551" s="20" t="s">
        <v>154</v>
      </c>
      <c r="H551" s="20">
        <f>(3790.32*(L8))</f>
        <v>20278.212</v>
      </c>
      <c r="I551" s="20">
        <f>(3882.42*(L8))</f>
        <v>20770.947</v>
      </c>
      <c r="J551" s="20">
        <f>(3937.69*(L8))</f>
        <v>21066.641499999998</v>
      </c>
      <c r="K551" s="20">
        <f>(4085.06*(L8))</f>
        <v>21855.071</v>
      </c>
      <c r="L551" s="20">
        <f>(4177.16*(L8))</f>
        <v>22347.805999999997</v>
      </c>
      <c r="M551" s="20">
        <f>(4287.69*(L8))</f>
        <v>22939.141499999998</v>
      </c>
      <c r="N551" s="20">
        <f>(4416.63*(L8))</f>
        <v>23628.970499999999</v>
      </c>
      <c r="O551" s="20">
        <f>(4600.84*(L8))</f>
        <v>24614.493999999999</v>
      </c>
      <c r="P551" s="20">
        <f>(4692.95*(L8))</f>
        <v>25107.282499999998</v>
      </c>
      <c r="Q551" s="20">
        <f>(5061.37*(L8))</f>
        <v>27078.329499999996</v>
      </c>
    </row>
    <row r="552" spans="1:17" ht="12.75" customHeight="1" x14ac:dyDescent="0.2">
      <c r="A552" s="6"/>
      <c r="B552" s="10" t="s">
        <v>841</v>
      </c>
      <c r="C552" s="20" t="s">
        <v>425</v>
      </c>
      <c r="D552" s="96" t="s">
        <v>839</v>
      </c>
      <c r="E552" s="20" t="s">
        <v>226</v>
      </c>
      <c r="F552" s="20" t="s">
        <v>210</v>
      </c>
      <c r="G552" s="20" t="s">
        <v>160</v>
      </c>
      <c r="H552" s="20">
        <f>(4204.81*(L8))</f>
        <v>22495.733500000002</v>
      </c>
      <c r="I552" s="20">
        <f>(4305.69*(L8))</f>
        <v>23035.441499999997</v>
      </c>
      <c r="J552" s="20">
        <f>(4366.21*(L8))</f>
        <v>23359.2235</v>
      </c>
      <c r="K552" s="20">
        <f>(4527.62*(L8))</f>
        <v>24222.766999999996</v>
      </c>
      <c r="L552" s="20">
        <f>(4628.49*(L8))</f>
        <v>24762.421499999997</v>
      </c>
      <c r="M552" s="20">
        <f>(4749.55*(L8))</f>
        <v>25410.092499999999</v>
      </c>
      <c r="N552" s="20">
        <f>(4890.77*(L8))</f>
        <v>26165.619500000001</v>
      </c>
      <c r="O552" s="20">
        <f>(5092.53*(L8))</f>
        <v>27245.035499999998</v>
      </c>
      <c r="P552" s="20">
        <f>(5193.41*(L8))</f>
        <v>27784.743499999997</v>
      </c>
      <c r="Q552" s="20">
        <f>(5596.92*(L8))</f>
        <v>29943.521999999997</v>
      </c>
    </row>
    <row r="553" spans="1:17" ht="12.75" customHeight="1" x14ac:dyDescent="0.2">
      <c r="A553" s="6"/>
      <c r="B553" s="10" t="s">
        <v>842</v>
      </c>
      <c r="C553" s="20" t="s">
        <v>843</v>
      </c>
      <c r="D553" s="96" t="s">
        <v>839</v>
      </c>
      <c r="E553" s="20" t="s">
        <v>226</v>
      </c>
      <c r="F553" s="20" t="s">
        <v>210</v>
      </c>
      <c r="G553" s="20" t="s">
        <v>182</v>
      </c>
      <c r="H553" s="20">
        <f>(4427.23*(L8))</f>
        <v>23685.680499999995</v>
      </c>
      <c r="I553" s="20">
        <f>(4536.88*(L8))</f>
        <v>24272.307999999997</v>
      </c>
      <c r="J553" s="20">
        <f>(4602.67*(L8))</f>
        <v>24624.284499999998</v>
      </c>
      <c r="K553" s="20">
        <f>(4778.11*(L8))</f>
        <v>25562.888499999997</v>
      </c>
      <c r="L553" s="20">
        <f>(4887.76*(L8))</f>
        <v>26149.516</v>
      </c>
      <c r="M553" s="20">
        <f>(5019.34*(L8))</f>
        <v>26853.468999999997</v>
      </c>
      <c r="N553" s="20">
        <f>(5172.85*(L8))</f>
        <v>27674.747500000001</v>
      </c>
      <c r="O553" s="20">
        <f>(5392.15*(L8))</f>
        <v>28848.002499999995</v>
      </c>
      <c r="P553" s="20">
        <f>(5501.8*(L8))</f>
        <v>29434.629999999997</v>
      </c>
      <c r="Q553" s="20">
        <f>(5940.39*(L8))</f>
        <v>31781.086500000001</v>
      </c>
    </row>
    <row r="554" spans="1:17" ht="12.75" customHeight="1" x14ac:dyDescent="0.2">
      <c r="A554" s="6"/>
      <c r="B554" s="10" t="s">
        <v>844</v>
      </c>
      <c r="C554" s="20" t="s">
        <v>333</v>
      </c>
      <c r="D554" s="96" t="s">
        <v>839</v>
      </c>
      <c r="E554" s="20" t="s">
        <v>226</v>
      </c>
      <c r="F554" s="20" t="s">
        <v>27</v>
      </c>
      <c r="G554" s="20" t="s">
        <v>42</v>
      </c>
      <c r="H554" s="20">
        <f>(3135.38*(L8))</f>
        <v>16774.282999999999</v>
      </c>
      <c r="I554" s="20">
        <f>(3205.56*(L8))</f>
        <v>17149.745999999999</v>
      </c>
      <c r="J554" s="20">
        <f>(3247.66*(L8))</f>
        <v>17374.981</v>
      </c>
      <c r="K554" s="20">
        <f>(3359.94*(L8))</f>
        <v>17975.679</v>
      </c>
      <c r="L554" s="20">
        <f>(3430.12*(L8))</f>
        <v>18351.142</v>
      </c>
      <c r="M554" s="20">
        <f>(3514.33*(L8))</f>
        <v>18801.665499999999</v>
      </c>
      <c r="N554" s="20">
        <f>(3612.58*(L8))</f>
        <v>19327.303</v>
      </c>
      <c r="O554" s="20">
        <f>(3752.93*(L8))</f>
        <v>20078.175499999998</v>
      </c>
      <c r="P554" s="20">
        <f>(3823.1*(L8))</f>
        <v>20453.584999999999</v>
      </c>
      <c r="Q554" s="20">
        <f>(4103.8*(L8))</f>
        <v>21955.329999999998</v>
      </c>
    </row>
    <row r="555" spans="1:17" ht="12.75" customHeight="1" x14ac:dyDescent="0.2">
      <c r="A555" s="6"/>
      <c r="B555" s="10" t="s">
        <v>845</v>
      </c>
      <c r="C555" s="20" t="s">
        <v>846</v>
      </c>
      <c r="D555" s="96" t="s">
        <v>847</v>
      </c>
      <c r="E555" s="20" t="s">
        <v>226</v>
      </c>
      <c r="F555" s="20" t="s">
        <v>27</v>
      </c>
      <c r="G555" s="20" t="s">
        <v>154</v>
      </c>
      <c r="H555" s="20">
        <f>(3506.15*(L8))</f>
        <v>18757.9025</v>
      </c>
      <c r="I555" s="20">
        <f>(3591.32*(L8))</f>
        <v>19213.561999999998</v>
      </c>
      <c r="J555" s="20">
        <f>(3642.43*(L8))</f>
        <v>19487.000499999998</v>
      </c>
      <c r="K555" s="20">
        <f>(3778.71*(L8))</f>
        <v>20216.0985</v>
      </c>
      <c r="L555" s="20">
        <f>(3863.88*(L8))</f>
        <v>20671.757999999998</v>
      </c>
      <c r="M555" s="20">
        <f>(3966.09*(L8))</f>
        <v>21218.5815</v>
      </c>
      <c r="N555" s="20">
        <f>(4085.34*(L8))</f>
        <v>21856.569</v>
      </c>
      <c r="O555" s="20">
        <f>(4255.69*(L8))</f>
        <v>22767.941499999997</v>
      </c>
      <c r="P555" s="20">
        <f>(4340.87*(L8))</f>
        <v>23223.654499999997</v>
      </c>
      <c r="Q555" s="20">
        <f>(4681.57*(L8))</f>
        <v>25046.399499999996</v>
      </c>
    </row>
    <row r="556" spans="1:17" ht="12.75" customHeight="1" x14ac:dyDescent="0.2">
      <c r="A556" s="6"/>
      <c r="B556" s="10" t="s">
        <v>848</v>
      </c>
      <c r="C556" s="20" t="s">
        <v>846</v>
      </c>
      <c r="D556" s="96" t="s">
        <v>847</v>
      </c>
      <c r="E556" s="20" t="s">
        <v>612</v>
      </c>
      <c r="F556" s="20" t="s">
        <v>27</v>
      </c>
      <c r="G556" s="20" t="s">
        <v>38</v>
      </c>
      <c r="H556" s="20">
        <f>(2952.1*(L8))</f>
        <v>15793.734999999999</v>
      </c>
      <c r="I556" s="20">
        <f>(3013.5*(L8))</f>
        <v>16122.224999999999</v>
      </c>
      <c r="J556" s="20">
        <f>(3050.35*(L8))</f>
        <v>16319.372499999998</v>
      </c>
      <c r="K556" s="20">
        <f>(3148.59*(L8))</f>
        <v>16844.9565</v>
      </c>
      <c r="L556" s="20">
        <f>(3210*(L8))</f>
        <v>17173.5</v>
      </c>
      <c r="M556" s="20">
        <f>(3283.68*(L8))</f>
        <v>17567.687999999998</v>
      </c>
      <c r="N556" s="20">
        <f>(3369.65*(L8))</f>
        <v>18027.627499999999</v>
      </c>
      <c r="O556" s="20">
        <f>(3492.45*(L8))</f>
        <v>18684.607499999998</v>
      </c>
      <c r="P556" s="20">
        <f>(3553.86*(L8))</f>
        <v>19013.150999999998</v>
      </c>
      <c r="Q556" s="20">
        <f>(3799.47*(L8))</f>
        <v>20327.164499999999</v>
      </c>
    </row>
    <row r="557" spans="1:17" ht="12.75" customHeight="1" x14ac:dyDescent="0.2">
      <c r="A557" s="6"/>
      <c r="B557" s="10" t="s">
        <v>849</v>
      </c>
      <c r="C557" s="20" t="s">
        <v>846</v>
      </c>
      <c r="D557" s="96" t="s">
        <v>850</v>
      </c>
      <c r="E557" s="20" t="s">
        <v>612</v>
      </c>
      <c r="F557" s="20" t="s">
        <v>27</v>
      </c>
      <c r="G557" s="20" t="s">
        <v>28</v>
      </c>
      <c r="H557" s="20">
        <f>(2002.64*(L8))</f>
        <v>10714.124</v>
      </c>
      <c r="I557" s="20">
        <f>(2042.11*(L8))</f>
        <v>10925.288499999999</v>
      </c>
      <c r="J557" s="20">
        <f>(2065.8*(L8))</f>
        <v>11052.03</v>
      </c>
      <c r="K557" s="20">
        <f>(2128.95*(L8))</f>
        <v>11389.882499999998</v>
      </c>
      <c r="L557" s="20">
        <f>(2168.43*(L8))</f>
        <v>11601.100499999999</v>
      </c>
      <c r="M557" s="20">
        <f>(2215.8*(L8))</f>
        <v>11854.53</v>
      </c>
      <c r="N557" s="20">
        <f>(2271.06*(L8))</f>
        <v>12150.170999999998</v>
      </c>
      <c r="O557" s="20">
        <f>(2350.01*(L8))</f>
        <v>12572.5535</v>
      </c>
      <c r="P557" s="20">
        <f>(2389.48*(L8))</f>
        <v>12783.717999999999</v>
      </c>
      <c r="Q557" s="20">
        <f>(2547.37*(L8))</f>
        <v>13628.429499999998</v>
      </c>
    </row>
    <row r="558" spans="1:17" ht="12.75" customHeight="1" x14ac:dyDescent="0.2">
      <c r="A558" s="6"/>
      <c r="B558" s="10" t="s">
        <v>851</v>
      </c>
      <c r="C558" s="20" t="s">
        <v>79</v>
      </c>
      <c r="D558" s="96" t="s">
        <v>839</v>
      </c>
      <c r="E558" s="20" t="s">
        <v>226</v>
      </c>
      <c r="F558" s="20" t="s">
        <v>27</v>
      </c>
      <c r="G558" s="20" t="s">
        <v>152</v>
      </c>
      <c r="H558" s="20">
        <f>(3404.7*(L8))</f>
        <v>18215.144999999997</v>
      </c>
      <c r="I558" s="20">
        <f>(3492.42*(L8))</f>
        <v>18684.447</v>
      </c>
      <c r="J558" s="20">
        <f>(3545.05*(L8))</f>
        <v>18966.017499999998</v>
      </c>
      <c r="K558" s="20">
        <f>(3685.4*(L8))</f>
        <v>19716.89</v>
      </c>
      <c r="L558" s="20">
        <f>(3773.12*(L8))</f>
        <v>20186.191999999999</v>
      </c>
      <c r="M558" s="20">
        <f>(3878.39*(L8))</f>
        <v>20749.386499999997</v>
      </c>
      <c r="N558" s="20">
        <f>(4001.19*(L8))</f>
        <v>21406.3665</v>
      </c>
      <c r="O558" s="20">
        <f>(4176.63*(L8))</f>
        <v>22344.970499999999</v>
      </c>
      <c r="P558" s="20">
        <f>(4264.35*(L8))</f>
        <v>22814.272499999999</v>
      </c>
      <c r="Q558" s="20">
        <f>(4615.23*(L8))</f>
        <v>24691.480499999994</v>
      </c>
    </row>
    <row r="559" spans="1:17" ht="12.75" customHeight="1" x14ac:dyDescent="0.2">
      <c r="A559" s="6"/>
      <c r="B559" s="10" t="s">
        <v>852</v>
      </c>
      <c r="C559" s="20" t="s">
        <v>333</v>
      </c>
      <c r="D559" s="96" t="s">
        <v>839</v>
      </c>
      <c r="E559" s="20" t="s">
        <v>226</v>
      </c>
      <c r="F559" s="20" t="s">
        <v>27</v>
      </c>
      <c r="G559" s="20" t="s">
        <v>154</v>
      </c>
      <c r="H559" s="20">
        <f>(3575.11*(L8))</f>
        <v>19126.838499999998</v>
      </c>
      <c r="I559" s="20">
        <f>(3667.21*(L8))</f>
        <v>19619.573499999999</v>
      </c>
      <c r="J559" s="20">
        <f>(3722.48*(L8))</f>
        <v>19915.268</v>
      </c>
      <c r="K559" s="20">
        <f>(3869.84*(L8))</f>
        <v>20703.644</v>
      </c>
      <c r="L559" s="20">
        <f>(3961.95*(L8))</f>
        <v>21196.432499999999</v>
      </c>
      <c r="M559" s="20">
        <f>(4072.48*(L8))</f>
        <v>21787.768</v>
      </c>
      <c r="N559" s="20">
        <f>(4201.42*(L8))</f>
        <v>22477.596999999998</v>
      </c>
      <c r="O559" s="20">
        <f>(4385.63*(L8))</f>
        <v>23463.120499999997</v>
      </c>
      <c r="P559" s="20">
        <f>(4477.74*(L8))</f>
        <v>23955.908999999996</v>
      </c>
      <c r="Q559" s="20">
        <f>(4846.16*(L8))</f>
        <v>25926.955999999998</v>
      </c>
    </row>
    <row r="560" spans="1:17" ht="12.75" customHeight="1" x14ac:dyDescent="0.2">
      <c r="A560" s="6"/>
      <c r="B560" s="10" t="s">
        <v>853</v>
      </c>
      <c r="C560" s="20" t="s">
        <v>385</v>
      </c>
      <c r="D560" s="96" t="s">
        <v>839</v>
      </c>
      <c r="E560" s="20" t="s">
        <v>226</v>
      </c>
      <c r="F560" s="20" t="s">
        <v>27</v>
      </c>
      <c r="G560" s="20" t="s">
        <v>160</v>
      </c>
      <c r="H560" s="20">
        <f>(4004.58*(L8))</f>
        <v>21424.502999999997</v>
      </c>
      <c r="I560" s="20">
        <f>(4105.46*(L8))</f>
        <v>21964.210999999999</v>
      </c>
      <c r="J560" s="20">
        <f>(4165.99*(L8))</f>
        <v>22288.046499999997</v>
      </c>
      <c r="K560" s="20">
        <f>(4327.39*(L8))</f>
        <v>23151.536500000002</v>
      </c>
      <c r="L560" s="20">
        <f>(4428.27*(L8))</f>
        <v>23691.244500000001</v>
      </c>
      <c r="M560" s="20">
        <f>(4549.32*(L8))</f>
        <v>24338.861999999997</v>
      </c>
      <c r="N560" s="20">
        <f>(4690.55*(L8))</f>
        <v>25094.442500000001</v>
      </c>
      <c r="O560" s="20">
        <f>(4892.3*(L8))</f>
        <v>26173.805</v>
      </c>
      <c r="P560" s="20">
        <f>(4993.18*(L8))</f>
        <v>26713.512999999999</v>
      </c>
      <c r="Q560" s="20">
        <f>(5396.69*(L8))</f>
        <v>28872.291499999996</v>
      </c>
    </row>
    <row r="561" spans="1:17" ht="12.75" customHeight="1" x14ac:dyDescent="0.2">
      <c r="A561" s="6"/>
      <c r="B561" s="10" t="s">
        <v>854</v>
      </c>
      <c r="C561" s="20" t="s">
        <v>135</v>
      </c>
      <c r="D561" s="96" t="s">
        <v>839</v>
      </c>
      <c r="E561" s="20" t="s">
        <v>226</v>
      </c>
      <c r="F561" s="20" t="s">
        <v>27</v>
      </c>
      <c r="G561" s="20" t="s">
        <v>160</v>
      </c>
      <c r="H561" s="20">
        <f>(4173.88*(L8))</f>
        <v>22330.257999999998</v>
      </c>
      <c r="I561" s="20">
        <f>(4274.76*(L8))</f>
        <v>22869.966</v>
      </c>
      <c r="J561" s="20">
        <f>(4335.29*(L8))</f>
        <v>23193.801499999998</v>
      </c>
      <c r="K561" s="20">
        <f>(4496.69*(L8))</f>
        <v>24057.291499999996</v>
      </c>
      <c r="L561" s="20">
        <f>(4597.57*(L8))</f>
        <v>24596.999499999998</v>
      </c>
      <c r="M561" s="20">
        <f>(4718.62*(L8))</f>
        <v>25244.616999999998</v>
      </c>
      <c r="N561" s="20">
        <f>(4859.85*(L8))</f>
        <v>26000.197500000002</v>
      </c>
      <c r="O561" s="20">
        <f>(5061.6*(L8))</f>
        <v>27079.56</v>
      </c>
      <c r="P561" s="20">
        <f>(5162.48*(L8))</f>
        <v>27619.267999999996</v>
      </c>
      <c r="Q561" s="20">
        <f>(5565.99*(L8))</f>
        <v>29778.046499999997</v>
      </c>
    </row>
    <row r="562" spans="1:17" s="105" customFormat="1" ht="12.75" customHeight="1" x14ac:dyDescent="0.2">
      <c r="A562" s="97"/>
      <c r="B562" s="98" t="s">
        <v>334</v>
      </c>
      <c r="C562" s="99"/>
      <c r="D562" s="100"/>
      <c r="E562" s="100"/>
      <c r="F562" s="100"/>
      <c r="G562" s="101"/>
      <c r="H562" s="102">
        <f>(1615*($L$8))</f>
        <v>8640.25</v>
      </c>
      <c r="I562" s="103"/>
      <c r="J562" s="103"/>
      <c r="K562" s="103"/>
      <c r="L562" s="103"/>
      <c r="M562" s="103"/>
      <c r="N562" s="103"/>
      <c r="O562" s="103"/>
      <c r="P562" s="103"/>
      <c r="Q562" s="104"/>
    </row>
    <row r="563" spans="1:17" s="105" customFormat="1" ht="12.75" customHeight="1" x14ac:dyDescent="0.2">
      <c r="A563" s="97"/>
      <c r="B563" s="98" t="s">
        <v>335</v>
      </c>
      <c r="C563" s="99"/>
      <c r="D563" s="100"/>
      <c r="E563" s="100"/>
      <c r="F563" s="100"/>
      <c r="G563" s="101"/>
      <c r="H563" s="102">
        <f>(2780*($L$8))</f>
        <v>14872.999999999998</v>
      </c>
      <c r="I563" s="103"/>
      <c r="J563" s="103"/>
      <c r="K563" s="103"/>
      <c r="L563" s="103"/>
      <c r="M563" s="103"/>
      <c r="N563" s="103"/>
      <c r="O563" s="103"/>
      <c r="P563" s="103"/>
      <c r="Q563" s="104"/>
    </row>
    <row r="564" spans="1:17" s="105" customFormat="1" ht="12.75" customHeight="1" x14ac:dyDescent="0.2">
      <c r="A564" s="97"/>
      <c r="B564" s="98" t="s">
        <v>336</v>
      </c>
      <c r="C564" s="99"/>
      <c r="D564" s="100"/>
      <c r="E564" s="100"/>
      <c r="F564" s="100"/>
      <c r="G564" s="101"/>
      <c r="H564" s="102">
        <f>(3970*($L$8))</f>
        <v>21239.5</v>
      </c>
      <c r="I564" s="103"/>
      <c r="J564" s="103"/>
      <c r="K564" s="103"/>
      <c r="L564" s="103"/>
      <c r="M564" s="103"/>
      <c r="N564" s="103"/>
      <c r="O564" s="103"/>
      <c r="P564" s="103"/>
      <c r="Q564" s="104"/>
    </row>
    <row r="565" spans="1:17" s="105" customFormat="1" ht="12.75" customHeight="1" x14ac:dyDescent="0.2">
      <c r="A565" s="97"/>
      <c r="B565" s="16" t="s">
        <v>337</v>
      </c>
      <c r="C565" s="106" t="s">
        <v>338</v>
      </c>
      <c r="D565" s="106"/>
      <c r="E565" s="106"/>
      <c r="F565" s="106"/>
      <c r="G565" s="106"/>
      <c r="H565" s="38">
        <f>(524.56*($L$8))</f>
        <v>2806.3959999999997</v>
      </c>
      <c r="I565" s="38"/>
      <c r="J565" s="38"/>
      <c r="K565" s="38"/>
      <c r="L565" s="38"/>
      <c r="M565" s="38"/>
      <c r="N565" s="38"/>
      <c r="O565" s="38"/>
      <c r="P565" s="38"/>
      <c r="Q565" s="38"/>
    </row>
    <row r="566" spans="1:17" s="105" customFormat="1" ht="12.75" customHeight="1" x14ac:dyDescent="0.2">
      <c r="A566" s="97"/>
      <c r="B566" s="16" t="s">
        <v>339</v>
      </c>
      <c r="C566" s="106" t="s">
        <v>338</v>
      </c>
      <c r="D566" s="106"/>
      <c r="E566" s="106"/>
      <c r="F566" s="106"/>
      <c r="G566" s="106"/>
      <c r="H566" s="38">
        <f>(592.11*($L$8))</f>
        <v>3167.7884999999997</v>
      </c>
      <c r="I566" s="38"/>
      <c r="J566" s="38"/>
      <c r="K566" s="38"/>
      <c r="L566" s="38"/>
      <c r="M566" s="38"/>
      <c r="N566" s="38"/>
      <c r="O566" s="38"/>
      <c r="P566" s="38"/>
      <c r="Q566" s="38"/>
    </row>
    <row r="567" spans="1:17" s="105" customFormat="1" ht="12.75" customHeight="1" x14ac:dyDescent="0.2">
      <c r="A567" s="97"/>
      <c r="B567" s="16" t="s">
        <v>340</v>
      </c>
      <c r="C567" s="106" t="s">
        <v>338</v>
      </c>
      <c r="D567" s="106"/>
      <c r="E567" s="106"/>
      <c r="F567" s="106"/>
      <c r="G567" s="106"/>
      <c r="H567" s="38">
        <f>(661.4*($L$8))</f>
        <v>3538.49</v>
      </c>
      <c r="I567" s="38"/>
      <c r="J567" s="38"/>
      <c r="K567" s="38"/>
      <c r="L567" s="38"/>
      <c r="M567" s="38"/>
      <c r="N567" s="38"/>
      <c r="O567" s="38"/>
      <c r="P567" s="38"/>
      <c r="Q567" s="38"/>
    </row>
    <row r="568" spans="1:17" s="105" customFormat="1" ht="12.75" customHeight="1" x14ac:dyDescent="0.2">
      <c r="A568" s="97"/>
      <c r="B568" s="16" t="s">
        <v>341</v>
      </c>
      <c r="C568" s="106" t="s">
        <v>338</v>
      </c>
      <c r="D568" s="106"/>
      <c r="E568" s="106"/>
      <c r="F568" s="106"/>
      <c r="G568" s="106"/>
      <c r="H568" s="38">
        <f>(728.47*($L$8))</f>
        <v>3897.3145</v>
      </c>
      <c r="I568" s="38"/>
      <c r="J568" s="38"/>
      <c r="K568" s="38"/>
      <c r="L568" s="38"/>
      <c r="M568" s="38"/>
      <c r="N568" s="38"/>
      <c r="O568" s="38"/>
      <c r="P568" s="38"/>
      <c r="Q568" s="38"/>
    </row>
    <row r="569" spans="1:17" ht="30" customHeight="1" x14ac:dyDescent="0.35">
      <c r="A569" s="6"/>
      <c r="B569" s="23" t="s">
        <v>855</v>
      </c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5"/>
    </row>
    <row r="570" spans="1:17" ht="12.75" customHeight="1" x14ac:dyDescent="0.2">
      <c r="A570" s="7" t="s">
        <v>6</v>
      </c>
      <c r="B570" s="8" t="s">
        <v>7</v>
      </c>
      <c r="C570" s="8" t="s">
        <v>8</v>
      </c>
      <c r="D570" s="8" t="s">
        <v>9</v>
      </c>
      <c r="E570" s="8" t="s">
        <v>10</v>
      </c>
      <c r="F570" s="8" t="s">
        <v>11</v>
      </c>
      <c r="G570" s="8" t="s">
        <v>12</v>
      </c>
      <c r="H570" s="8" t="s">
        <v>13</v>
      </c>
      <c r="I570" s="8" t="s">
        <v>14</v>
      </c>
      <c r="J570" s="8" t="s">
        <v>15</v>
      </c>
      <c r="K570" s="8" t="s">
        <v>16</v>
      </c>
      <c r="L570" s="8" t="s">
        <v>17</v>
      </c>
      <c r="M570" s="8" t="s">
        <v>18</v>
      </c>
      <c r="N570" s="8" t="s">
        <v>19</v>
      </c>
      <c r="O570" s="8" t="s">
        <v>20</v>
      </c>
      <c r="P570" s="8" t="s">
        <v>21</v>
      </c>
      <c r="Q570" s="8" t="s">
        <v>22</v>
      </c>
    </row>
    <row r="571" spans="1:17" ht="12.75" customHeight="1" x14ac:dyDescent="0.2">
      <c r="A571" s="6"/>
      <c r="B571" s="10" t="s">
        <v>856</v>
      </c>
      <c r="C571" s="20" t="s">
        <v>40</v>
      </c>
      <c r="D571" s="20" t="s">
        <v>857</v>
      </c>
      <c r="E571" s="20" t="s">
        <v>256</v>
      </c>
      <c r="F571" s="20" t="s">
        <v>858</v>
      </c>
      <c r="G571" s="20" t="s">
        <v>234</v>
      </c>
      <c r="H571" s="20">
        <f>(4795.27*(L8))</f>
        <v>25654.694500000001</v>
      </c>
      <c r="I571" s="20">
        <f>(4944.4*(L8))</f>
        <v>26452.539999999997</v>
      </c>
      <c r="J571" s="20">
        <f>(5033.87*(L8))</f>
        <v>26931.204499999996</v>
      </c>
      <c r="K571" s="20">
        <f>(5272.47*(L8))</f>
        <v>28207.714499999998</v>
      </c>
      <c r="L571" s="20">
        <f>(5421.59*(L8))</f>
        <v>29005.5065</v>
      </c>
      <c r="M571" s="20">
        <f>(5600.54*(L8))</f>
        <v>29962.888999999999</v>
      </c>
      <c r="N571" s="20">
        <f>(5809.31*(L8))</f>
        <v>31079.808499999999</v>
      </c>
      <c r="O571" s="20">
        <f>(6107.55*(L8))</f>
        <v>32675.392499999998</v>
      </c>
      <c r="P571" s="20">
        <f>(6256.68*(L8))</f>
        <v>33473.237999999998</v>
      </c>
      <c r="Q571" s="20">
        <f>(6853.17*(L8))</f>
        <v>36664.459499999997</v>
      </c>
    </row>
    <row r="572" spans="1:17" ht="12.75" customHeight="1" x14ac:dyDescent="0.2">
      <c r="A572" s="6"/>
      <c r="B572" s="10" t="s">
        <v>859</v>
      </c>
      <c r="C572" s="20" t="s">
        <v>259</v>
      </c>
      <c r="D572" s="20" t="s">
        <v>857</v>
      </c>
      <c r="E572" s="20" t="s">
        <v>256</v>
      </c>
      <c r="F572" s="20" t="s">
        <v>858</v>
      </c>
      <c r="G572" s="20" t="s">
        <v>243</v>
      </c>
      <c r="H572" s="20">
        <f>(5019.42*(L8))</f>
        <v>26853.896999999997</v>
      </c>
      <c r="I572" s="20">
        <f>(5177.31*(L8))</f>
        <v>27698.608500000002</v>
      </c>
      <c r="J572" s="20">
        <f>(5272.05*(L8))</f>
        <v>28205.467499999999</v>
      </c>
      <c r="K572" s="20">
        <f>(5524.68*(L8))</f>
        <v>29557.038</v>
      </c>
      <c r="L572" s="20">
        <f>(5682.58*(L8))</f>
        <v>30401.802999999996</v>
      </c>
      <c r="M572" s="20">
        <f>(5872.05*(L8))</f>
        <v>31415.467499999999</v>
      </c>
      <c r="N572" s="20">
        <f>(6093.1*(L8))</f>
        <v>32598.084999999999</v>
      </c>
      <c r="O572" s="20">
        <f>(6408.89*(L8))</f>
        <v>34287.561499999996</v>
      </c>
      <c r="P572" s="20">
        <f>(6566.79*(L8))</f>
        <v>35132.326499999996</v>
      </c>
      <c r="Q572" s="20">
        <f>(7198.37*(L8))</f>
        <v>38511.279499999997</v>
      </c>
    </row>
    <row r="573" spans="1:17" ht="12.75" customHeight="1" x14ac:dyDescent="0.2">
      <c r="A573" s="6"/>
      <c r="B573" s="10" t="s">
        <v>860</v>
      </c>
      <c r="C573" s="20" t="s">
        <v>165</v>
      </c>
      <c r="D573" s="20" t="s">
        <v>857</v>
      </c>
      <c r="E573" s="20" t="s">
        <v>256</v>
      </c>
      <c r="F573" s="20" t="s">
        <v>858</v>
      </c>
      <c r="G573" s="20" t="s">
        <v>283</v>
      </c>
      <c r="H573" s="20">
        <f>(5236.9*(L8))</f>
        <v>28017.414999999997</v>
      </c>
      <c r="I573" s="20">
        <f>(5403.57*(L8))</f>
        <v>28909.099499999997</v>
      </c>
      <c r="J573" s="20">
        <f>(5503.57*(L8))</f>
        <v>29444.099499999997</v>
      </c>
      <c r="K573" s="20">
        <f>(5770.23*(L8))</f>
        <v>30870.730499999994</v>
      </c>
      <c r="L573" s="20">
        <f>(5936.9*(L8))</f>
        <v>31762.414999999997</v>
      </c>
      <c r="M573" s="20">
        <f>(6136.9*(L8))</f>
        <v>32832.414999999994</v>
      </c>
      <c r="N573" s="20">
        <f>(6370.23*(L8))</f>
        <v>34080.730499999998</v>
      </c>
      <c r="O573" s="20">
        <f>(6703.57*(L8))</f>
        <v>35864.099499999997</v>
      </c>
      <c r="P573" s="20">
        <f>(6870.23*(L8))</f>
        <v>36755.730499999998</v>
      </c>
      <c r="Q573" s="20">
        <f>(7536.9*(L8))</f>
        <v>40322.414999999994</v>
      </c>
    </row>
    <row r="574" spans="1:17" ht="12.75" customHeight="1" x14ac:dyDescent="0.2">
      <c r="A574" s="6"/>
      <c r="B574" s="10" t="s">
        <v>861</v>
      </c>
      <c r="C574" s="20" t="s">
        <v>168</v>
      </c>
      <c r="D574" s="20" t="s">
        <v>857</v>
      </c>
      <c r="E574" s="20" t="s">
        <v>256</v>
      </c>
      <c r="F574" s="20" t="s">
        <v>858</v>
      </c>
      <c r="G574" s="20" t="s">
        <v>286</v>
      </c>
      <c r="H574" s="20">
        <f>(5420.34*(L8))</f>
        <v>28998.819</v>
      </c>
      <c r="I574" s="20">
        <f>(5595.78*(L8))</f>
        <v>29937.422999999995</v>
      </c>
      <c r="J574" s="20">
        <f>(5701.04*(L8))</f>
        <v>30500.563999999998</v>
      </c>
      <c r="K574" s="20">
        <f>(5981.74*(L8))</f>
        <v>32002.308999999997</v>
      </c>
      <c r="L574" s="20">
        <f>(6157.18*(L8))</f>
        <v>32940.913</v>
      </c>
      <c r="M574" s="20">
        <f>(6367.71*(L8))</f>
        <v>34067.248500000002</v>
      </c>
      <c r="N574" s="20">
        <f>(6613.32*(L8))</f>
        <v>35381.261999999995</v>
      </c>
      <c r="O574" s="20">
        <f>(6964.2*(L8))</f>
        <v>37258.469999999994</v>
      </c>
      <c r="P574" s="20">
        <f>(7139.64*(L8))</f>
        <v>38197.074000000001</v>
      </c>
      <c r="Q574" s="20">
        <f>(7841.39*(L8))</f>
        <v>41951.436499999996</v>
      </c>
    </row>
    <row r="575" spans="1:17" ht="12.75" customHeight="1" x14ac:dyDescent="0.2">
      <c r="A575" s="6"/>
      <c r="B575" s="10" t="s">
        <v>862</v>
      </c>
      <c r="C575" s="20" t="s">
        <v>170</v>
      </c>
      <c r="D575" s="20" t="s">
        <v>857</v>
      </c>
      <c r="E575" s="20" t="s">
        <v>256</v>
      </c>
      <c r="F575" s="20" t="s">
        <v>858</v>
      </c>
      <c r="G575" s="20" t="s">
        <v>289</v>
      </c>
      <c r="H575" s="20">
        <f>(5639.14*(L8))</f>
        <v>30169.399000000001</v>
      </c>
      <c r="I575" s="20">
        <f>(5823.35*(L8))</f>
        <v>31154.922500000001</v>
      </c>
      <c r="J575" s="20">
        <f>(5933.88*(L8))</f>
        <v>31746.257999999998</v>
      </c>
      <c r="K575" s="20">
        <f>(6228.61*(L8))</f>
        <v>33323.063499999997</v>
      </c>
      <c r="L575" s="20">
        <f>(6412.82*(L8))</f>
        <v>34308.587</v>
      </c>
      <c r="M575" s="20">
        <f>(6633.88*(L8))</f>
        <v>35491.258000000002</v>
      </c>
      <c r="N575" s="20">
        <f>(6891.77*(L8))</f>
        <v>36870.969499999999</v>
      </c>
      <c r="O575" s="20">
        <f>(7260.19*(L8))</f>
        <v>38842.016499999998</v>
      </c>
      <c r="P575" s="20">
        <f>(7444.4*(L8))</f>
        <v>39827.539999999994</v>
      </c>
      <c r="Q575" s="20">
        <f>(8181.25*(L8))</f>
        <v>43769.6875</v>
      </c>
    </row>
    <row r="576" spans="1:17" ht="30" customHeight="1" x14ac:dyDescent="0.35">
      <c r="A576" s="6"/>
      <c r="B576" s="23" t="s">
        <v>863</v>
      </c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5"/>
    </row>
    <row r="577" spans="1:17" ht="12.75" customHeight="1" x14ac:dyDescent="0.2">
      <c r="A577" s="7" t="s">
        <v>6</v>
      </c>
      <c r="B577" s="8" t="s">
        <v>7</v>
      </c>
      <c r="C577" s="8" t="s">
        <v>8</v>
      </c>
      <c r="D577" s="8" t="s">
        <v>9</v>
      </c>
      <c r="E577" s="8" t="s">
        <v>10</v>
      </c>
      <c r="F577" s="8" t="s">
        <v>11</v>
      </c>
      <c r="G577" s="8" t="s">
        <v>12</v>
      </c>
      <c r="H577" s="8" t="s">
        <v>13</v>
      </c>
      <c r="I577" s="8" t="s">
        <v>14</v>
      </c>
      <c r="J577" s="8" t="s">
        <v>15</v>
      </c>
      <c r="K577" s="8" t="s">
        <v>16</v>
      </c>
      <c r="L577" s="8" t="s">
        <v>17</v>
      </c>
      <c r="M577" s="8" t="s">
        <v>18</v>
      </c>
      <c r="N577" s="8" t="s">
        <v>19</v>
      </c>
      <c r="O577" s="8" t="s">
        <v>20</v>
      </c>
      <c r="P577" s="8" t="s">
        <v>21</v>
      </c>
      <c r="Q577" s="8" t="s">
        <v>22</v>
      </c>
    </row>
    <row r="578" spans="1:17" ht="12.75" customHeight="1" x14ac:dyDescent="0.2">
      <c r="A578" s="6"/>
      <c r="B578" s="10" t="s">
        <v>864</v>
      </c>
      <c r="C578" s="20" t="s">
        <v>385</v>
      </c>
      <c r="D578" s="20" t="s">
        <v>382</v>
      </c>
      <c r="E578" s="20" t="s">
        <v>256</v>
      </c>
      <c r="F578" s="20" t="s">
        <v>383</v>
      </c>
      <c r="G578" s="20" t="s">
        <v>229</v>
      </c>
      <c r="H578" s="20">
        <f>(3029.47*(L8))</f>
        <v>16207.664499999997</v>
      </c>
      <c r="I578" s="20">
        <f>(3152.28*(L8))</f>
        <v>16864.698</v>
      </c>
      <c r="J578" s="20">
        <f>(3225.96*(L8))</f>
        <v>17258.885999999999</v>
      </c>
      <c r="K578" s="20">
        <f>(3422.45*(L8))</f>
        <v>18310.107499999998</v>
      </c>
      <c r="L578" s="20">
        <f>(3545.26*(L8))</f>
        <v>18967.141</v>
      </c>
      <c r="M578" s="20">
        <f>(3692.63*(L8))</f>
        <v>19755.570499999998</v>
      </c>
      <c r="N578" s="20">
        <f>(3864.56*(L8))</f>
        <v>20675.395999999997</v>
      </c>
      <c r="O578" s="20">
        <f>(4110.17*(L8))</f>
        <v>21989.409499999998</v>
      </c>
      <c r="P578" s="20">
        <f>(4232.98*(L8))</f>
        <v>22646.442999999996</v>
      </c>
      <c r="Q578" s="20">
        <f>(4724.21*(L8))</f>
        <v>25274.523499999999</v>
      </c>
    </row>
    <row r="579" spans="1:17" ht="12.75" customHeight="1" x14ac:dyDescent="0.2">
      <c r="A579" s="6"/>
      <c r="B579" s="10" t="s">
        <v>865</v>
      </c>
      <c r="C579" s="20" t="s">
        <v>85</v>
      </c>
      <c r="D579" s="20" t="s">
        <v>382</v>
      </c>
      <c r="E579" s="20" t="s">
        <v>256</v>
      </c>
      <c r="F579" s="20" t="s">
        <v>383</v>
      </c>
      <c r="G579" s="20" t="s">
        <v>231</v>
      </c>
      <c r="H579" s="20">
        <f>(3267.31*(L8))</f>
        <v>17480.108499999998</v>
      </c>
      <c r="I579" s="20">
        <f>(3394.51*(L8))</f>
        <v>18160.628499999999</v>
      </c>
      <c r="J579" s="20">
        <f>(3470.82*(L8))</f>
        <v>18568.886999999999</v>
      </c>
      <c r="K579" s="20">
        <f>(3674.33*(L8))</f>
        <v>19657.665499999999</v>
      </c>
      <c r="L579" s="20">
        <f>(3801.52*(L8))</f>
        <v>20338.131999999998</v>
      </c>
      <c r="M579" s="20">
        <f>(3954.16*(L8))</f>
        <v>21154.755999999998</v>
      </c>
      <c r="N579" s="20">
        <f>(4132.23*(L8))</f>
        <v>22107.430499999995</v>
      </c>
      <c r="O579" s="20">
        <f>(4386.61*(L8))</f>
        <v>23468.363499999996</v>
      </c>
      <c r="P579" s="20">
        <f>(4513.8*(L8))</f>
        <v>24148.829999999998</v>
      </c>
      <c r="Q579" s="20">
        <f>(5022.58*(L8))</f>
        <v>26870.802999999996</v>
      </c>
    </row>
    <row r="580" spans="1:17" ht="12.75" customHeight="1" x14ac:dyDescent="0.2">
      <c r="A580" s="6"/>
      <c r="B580" s="10" t="s">
        <v>866</v>
      </c>
      <c r="C580" s="20" t="s">
        <v>292</v>
      </c>
      <c r="D580" s="20" t="s">
        <v>382</v>
      </c>
      <c r="E580" s="20" t="s">
        <v>256</v>
      </c>
      <c r="F580" s="20" t="s">
        <v>383</v>
      </c>
      <c r="G580" s="20" t="s">
        <v>216</v>
      </c>
      <c r="H580" s="20">
        <f>(4423.63*(L8))</f>
        <v>23666.4205</v>
      </c>
      <c r="I580" s="20">
        <f>(4616.61*(L8))</f>
        <v>24698.863499999996</v>
      </c>
      <c r="J580" s="20">
        <f>(4732.4*(L8))</f>
        <v>25318.339999999997</v>
      </c>
      <c r="K580" s="20">
        <f>(5041.17*(L8))</f>
        <v>26970.2595</v>
      </c>
      <c r="L580" s="20">
        <f>(5234.15*(L8))</f>
        <v>28002.702499999996</v>
      </c>
      <c r="M580" s="20">
        <f>(5465.73*(L8))</f>
        <v>29241.655499999997</v>
      </c>
      <c r="N580" s="20">
        <f>(5735.91*(L8))</f>
        <v>30687.118499999997</v>
      </c>
      <c r="O580" s="20">
        <f>(6121.87*(L8))</f>
        <v>32752.004499999995</v>
      </c>
      <c r="P580" s="20">
        <f>(6314.86*(L8))</f>
        <v>33784.500999999997</v>
      </c>
      <c r="Q580" s="20">
        <f>(7086.79*(L8))</f>
        <v>37914.326499999996</v>
      </c>
    </row>
    <row r="581" spans="1:17" ht="12.75" customHeight="1" x14ac:dyDescent="0.2">
      <c r="A581" s="6"/>
      <c r="B581" s="10" t="s">
        <v>867</v>
      </c>
      <c r="C581" s="20" t="s">
        <v>273</v>
      </c>
      <c r="D581" s="20" t="s">
        <v>382</v>
      </c>
      <c r="E581" s="20" t="s">
        <v>256</v>
      </c>
      <c r="F581" s="20" t="s">
        <v>383</v>
      </c>
      <c r="G581" s="20" t="s">
        <v>219</v>
      </c>
      <c r="H581" s="20">
        <f>(4604.76*(L8))</f>
        <v>24635.466</v>
      </c>
      <c r="I581" s="20">
        <f>(4802.13*(L8))</f>
        <v>25691.395499999999</v>
      </c>
      <c r="J581" s="20">
        <f>(4920.55*(L8))</f>
        <v>26324.942500000001</v>
      </c>
      <c r="K581" s="20">
        <f>(5236.34*(L8))</f>
        <v>28014.418999999998</v>
      </c>
      <c r="L581" s="20">
        <f>(5433.71*(L8))</f>
        <v>29070.3485</v>
      </c>
      <c r="M581" s="20">
        <f>(5670.55*(L8))</f>
        <v>30337.442499999997</v>
      </c>
      <c r="N581" s="20">
        <f>(5946.87*(L8))</f>
        <v>31815.754499999999</v>
      </c>
      <c r="O581" s="20">
        <f>(6341.61*(L8))</f>
        <v>33927.613499999999</v>
      </c>
      <c r="P581" s="20">
        <f>(6538.97*(L8))</f>
        <v>34983.489499999996</v>
      </c>
      <c r="Q581" s="20">
        <f>(7328.45*(L8))</f>
        <v>39207.207499999997</v>
      </c>
    </row>
    <row r="582" spans="1:17" ht="12.75" customHeight="1" x14ac:dyDescent="0.2">
      <c r="A582" s="6"/>
      <c r="B582" s="10" t="s">
        <v>868</v>
      </c>
      <c r="C582" s="20" t="s">
        <v>278</v>
      </c>
      <c r="D582" s="20" t="s">
        <v>382</v>
      </c>
      <c r="E582" s="20" t="s">
        <v>256</v>
      </c>
      <c r="F582" s="20" t="s">
        <v>383</v>
      </c>
      <c r="G582" s="20" t="s">
        <v>222</v>
      </c>
      <c r="H582" s="20">
        <f>(4903.92*(L8))</f>
        <v>26235.971999999998</v>
      </c>
      <c r="I582" s="20">
        <f>(5123.22*(L8))</f>
        <v>27409.226999999999</v>
      </c>
      <c r="J582" s="20">
        <f>(5254.79*(L8))</f>
        <v>28113.126499999998</v>
      </c>
      <c r="K582" s="20">
        <f>(5605.67*(L8))</f>
        <v>29990.334499999997</v>
      </c>
      <c r="L582" s="20">
        <f>(5824.97*(L8))</f>
        <v>31163.589499999998</v>
      </c>
      <c r="M582" s="20">
        <f>(6088.13*(L8))</f>
        <v>32571.495499999997</v>
      </c>
      <c r="N582" s="20">
        <f>(6395.15*(L8))</f>
        <v>34214.052499999998</v>
      </c>
      <c r="O582" s="20">
        <f>(6833.74*(L8))</f>
        <v>36560.508999999998</v>
      </c>
      <c r="P582" s="20">
        <f>(7053.04*(L8))</f>
        <v>37733.763999999996</v>
      </c>
      <c r="Q582" s="20">
        <f>(7930.23*(L8))</f>
        <v>42426.730499999998</v>
      </c>
    </row>
    <row r="583" spans="1:17" ht="12.75" customHeight="1" x14ac:dyDescent="0.2">
      <c r="A583" s="6"/>
      <c r="B583" s="10" t="s">
        <v>869</v>
      </c>
      <c r="C583" s="20" t="s">
        <v>280</v>
      </c>
      <c r="D583" s="20" t="s">
        <v>382</v>
      </c>
      <c r="E583" s="20" t="s">
        <v>256</v>
      </c>
      <c r="F583" s="20" t="s">
        <v>383</v>
      </c>
      <c r="G583" s="20" t="s">
        <v>390</v>
      </c>
      <c r="H583" s="20">
        <f>(5105.25*(L8))</f>
        <v>27313.087499999998</v>
      </c>
      <c r="I583" s="20">
        <f>(5333.32*(L8))</f>
        <v>28533.261999999995</v>
      </c>
      <c r="J583" s="20">
        <f>(5470.16*(L8))</f>
        <v>29265.355999999996</v>
      </c>
      <c r="K583" s="20">
        <f>(5835.07*(L8))</f>
        <v>31217.624499999998</v>
      </c>
      <c r="L583" s="20">
        <f>(6063.14*(L8))</f>
        <v>32437.798999999999</v>
      </c>
      <c r="M583" s="20">
        <f>(6336.83*(L8))</f>
        <v>33902.040499999996</v>
      </c>
      <c r="N583" s="20">
        <f>(6656.12*(L8))</f>
        <v>35610.241999999998</v>
      </c>
      <c r="O583" s="20">
        <f>(7112.26*(L8))</f>
        <v>38050.591</v>
      </c>
      <c r="P583" s="20">
        <f>(7340.33*(L8))</f>
        <v>39270.765499999994</v>
      </c>
      <c r="Q583" s="20">
        <f>(8252.62*(L8))</f>
        <v>44151.517</v>
      </c>
    </row>
    <row r="584" spans="1:17" ht="12.75" customHeight="1" x14ac:dyDescent="0.2">
      <c r="A584" s="6"/>
      <c r="B584" s="10" t="s">
        <v>870</v>
      </c>
      <c r="C584" s="20" t="s">
        <v>236</v>
      </c>
      <c r="D584" s="20" t="s">
        <v>382</v>
      </c>
      <c r="E584" s="20" t="s">
        <v>256</v>
      </c>
      <c r="F584" s="20" t="s">
        <v>383</v>
      </c>
      <c r="G584" s="20" t="s">
        <v>392</v>
      </c>
      <c r="H584" s="20">
        <f>(5268.3*(L8))</f>
        <v>28185.404999999999</v>
      </c>
      <c r="I584" s="20">
        <f>(5500.76*(L8))</f>
        <v>29429.065999999999</v>
      </c>
      <c r="J584" s="20">
        <f>(5640.23*(L8))</f>
        <v>30175.230499999994</v>
      </c>
      <c r="K584" s="20">
        <f>(6012.16*(L8))</f>
        <v>32165.055999999997</v>
      </c>
      <c r="L584" s="20">
        <f>(6244.62*(L8))</f>
        <v>33408.716999999997</v>
      </c>
      <c r="M584" s="20">
        <f>(6523.56*(L8))</f>
        <v>34901.046000000002</v>
      </c>
      <c r="N584" s="20">
        <f>(6849*(L8))</f>
        <v>36642.149999999994</v>
      </c>
      <c r="O584" s="20">
        <f>(7313.91*(L8))</f>
        <v>39129.4185</v>
      </c>
      <c r="P584" s="20">
        <f>(7546.37*(L8))</f>
        <v>40373.0795</v>
      </c>
      <c r="Q584" s="20">
        <f>(8476.19*(L8))</f>
        <v>45347.616499999996</v>
      </c>
    </row>
    <row r="585" spans="1:17" ht="12.75" customHeight="1" x14ac:dyDescent="0.2">
      <c r="A585" s="6"/>
      <c r="B585" s="10" t="s">
        <v>871</v>
      </c>
      <c r="C585" s="20" t="s">
        <v>26</v>
      </c>
      <c r="D585" s="20" t="s">
        <v>382</v>
      </c>
      <c r="E585" s="20" t="s">
        <v>256</v>
      </c>
      <c r="F585" s="20" t="s">
        <v>383</v>
      </c>
      <c r="G585" s="20" t="s">
        <v>182</v>
      </c>
      <c r="H585" s="20">
        <f>(2992.78*(L8))</f>
        <v>16011.373</v>
      </c>
      <c r="I585" s="20">
        <f>(3089.27*(L8))</f>
        <v>16527.594499999999</v>
      </c>
      <c r="J585" s="20">
        <f>(3147.17*(L8))</f>
        <v>16837.359499999999</v>
      </c>
      <c r="K585" s="20">
        <f>(3301.56*(L8))</f>
        <v>17663.345999999998</v>
      </c>
      <c r="L585" s="20">
        <f>(3398.05*(L8))</f>
        <v>18179.567500000001</v>
      </c>
      <c r="M585" s="20">
        <f>(3513.84*(L8))</f>
        <v>18799.043999999998</v>
      </c>
      <c r="N585" s="20">
        <f>(3648.92*(L8))</f>
        <v>19521.721999999998</v>
      </c>
      <c r="O585" s="20">
        <f>(3841.91*(L8))</f>
        <v>20554.218499999999</v>
      </c>
      <c r="P585" s="20">
        <f>(3938.4*(L8))</f>
        <v>21070.44</v>
      </c>
      <c r="Q585" s="20">
        <f>(4324.36*(L8))</f>
        <v>23135.325999999997</v>
      </c>
    </row>
    <row r="586" spans="1:17" ht="12.75" customHeight="1" x14ac:dyDescent="0.2">
      <c r="A586" s="6"/>
      <c r="B586" s="10" t="s">
        <v>872</v>
      </c>
      <c r="C586" s="20" t="s">
        <v>79</v>
      </c>
      <c r="D586" s="20" t="s">
        <v>395</v>
      </c>
      <c r="E586" s="20" t="s">
        <v>256</v>
      </c>
      <c r="F586" s="20" t="s">
        <v>383</v>
      </c>
      <c r="G586" s="20" t="s">
        <v>234</v>
      </c>
      <c r="H586" s="20">
        <f>(3322.84*(L8))</f>
        <v>17777.194</v>
      </c>
      <c r="I586" s="20">
        <f>(3436.88*(L8))</f>
        <v>18387.308000000001</v>
      </c>
      <c r="J586" s="20">
        <f>(3505.3*(L8))</f>
        <v>18753.355</v>
      </c>
      <c r="K586" s="20">
        <f>(3687.76*(L8))</f>
        <v>19729.516</v>
      </c>
      <c r="L586" s="20">
        <f>(3801.79*(L8))</f>
        <v>20339.576499999999</v>
      </c>
      <c r="M586" s="20">
        <f>(3938.63*(L8))</f>
        <v>21071.6705</v>
      </c>
      <c r="N586" s="20">
        <f>(4098.28*(L8))</f>
        <v>21925.797999999999</v>
      </c>
      <c r="O586" s="20">
        <f>(4326.35*(L8))</f>
        <v>23145.9725</v>
      </c>
      <c r="P586" s="20">
        <f>(4440.39*(L8))</f>
        <v>23756.086500000001</v>
      </c>
      <c r="Q586" s="20">
        <f>(4896.53*(L8))</f>
        <v>26196.435499999996</v>
      </c>
    </row>
    <row r="587" spans="1:17" ht="12.75" customHeight="1" x14ac:dyDescent="0.2">
      <c r="A587" s="6"/>
      <c r="B587" s="10" t="s">
        <v>873</v>
      </c>
      <c r="C587" s="20" t="s">
        <v>79</v>
      </c>
      <c r="D587" s="20" t="s">
        <v>397</v>
      </c>
      <c r="E587" s="20" t="s">
        <v>398</v>
      </c>
      <c r="F587" s="20" t="s">
        <v>27</v>
      </c>
      <c r="G587" s="20" t="s">
        <v>247</v>
      </c>
      <c r="H587" s="20">
        <f>(1349.17*(L8))</f>
        <v>7218.0595000000003</v>
      </c>
      <c r="I587" s="20">
        <f>(1375.49*(L8))</f>
        <v>7358.8714999999993</v>
      </c>
      <c r="J587" s="20">
        <f>(1391.27*(L8))</f>
        <v>7443.2944999999991</v>
      </c>
      <c r="K587" s="20">
        <f>(1433.38*(L8))</f>
        <v>7668.5829999999996</v>
      </c>
      <c r="L587" s="20">
        <f>(1459.7*(L8))</f>
        <v>7809.3949999999995</v>
      </c>
      <c r="M587" s="20">
        <f>(1491.27*(L8))</f>
        <v>7978.2944999999991</v>
      </c>
      <c r="N587" s="20">
        <f>(1528.12*(L8))</f>
        <v>8175.4419999999991</v>
      </c>
      <c r="O587" s="20">
        <f>(1580.75*(L8))</f>
        <v>8457.0124999999989</v>
      </c>
      <c r="P587" s="20">
        <f>(1607.06*(L8))</f>
        <v>8597.7709999999988</v>
      </c>
      <c r="Q587" s="20">
        <f>(1712.33*(L8))</f>
        <v>9160.9654999999984</v>
      </c>
    </row>
    <row r="588" spans="1:17" ht="30" customHeight="1" x14ac:dyDescent="0.35">
      <c r="A588" s="6"/>
      <c r="B588" s="23" t="s">
        <v>874</v>
      </c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5"/>
    </row>
    <row r="589" spans="1:17" ht="12.75" customHeight="1" x14ac:dyDescent="0.2">
      <c r="A589" s="7" t="s">
        <v>6</v>
      </c>
      <c r="B589" s="8" t="s">
        <v>7</v>
      </c>
      <c r="C589" s="8" t="s">
        <v>8</v>
      </c>
      <c r="D589" s="8" t="s">
        <v>9</v>
      </c>
      <c r="E589" s="8" t="s">
        <v>10</v>
      </c>
      <c r="F589" s="8" t="s">
        <v>11</v>
      </c>
      <c r="G589" s="8" t="s">
        <v>12</v>
      </c>
      <c r="H589" s="8" t="s">
        <v>13</v>
      </c>
      <c r="I589" s="8" t="s">
        <v>14</v>
      </c>
      <c r="J589" s="8" t="s">
        <v>15</v>
      </c>
      <c r="K589" s="8" t="s">
        <v>16</v>
      </c>
      <c r="L589" s="8" t="s">
        <v>17</v>
      </c>
      <c r="M589" s="8" t="s">
        <v>18</v>
      </c>
      <c r="N589" s="8" t="s">
        <v>19</v>
      </c>
      <c r="O589" s="8" t="s">
        <v>20</v>
      </c>
      <c r="P589" s="8" t="s">
        <v>21</v>
      </c>
      <c r="Q589" s="8" t="s">
        <v>22</v>
      </c>
    </row>
    <row r="590" spans="1:17" ht="12.75" customHeight="1" x14ac:dyDescent="0.2">
      <c r="A590" s="6"/>
      <c r="B590" s="10" t="s">
        <v>875</v>
      </c>
      <c r="C590" s="20" t="s">
        <v>259</v>
      </c>
      <c r="D590" s="96" t="s">
        <v>876</v>
      </c>
      <c r="E590" s="20" t="s">
        <v>275</v>
      </c>
      <c r="F590" s="20" t="s">
        <v>405</v>
      </c>
      <c r="G590" s="20" t="s">
        <v>152</v>
      </c>
      <c r="H590" s="20">
        <f>(3907.77*(L8))</f>
        <v>20906.569499999998</v>
      </c>
      <c r="I590" s="20">
        <f>(3991.1*(L8))</f>
        <v>21352.384999999998</v>
      </c>
      <c r="J590" s="20">
        <f>(4041.1*(L8))</f>
        <v>21619.884999999998</v>
      </c>
      <c r="K590" s="20">
        <f>(4174.43*(L8))</f>
        <v>22333.200499999999</v>
      </c>
      <c r="L590" s="20">
        <f>(4257.77*(L8))</f>
        <v>22779.069500000001</v>
      </c>
      <c r="M590" s="20">
        <f>(4357.77*(L8))</f>
        <v>23314.069500000001</v>
      </c>
      <c r="N590" s="20">
        <f>(4474.43*(L8))</f>
        <v>23938.200499999999</v>
      </c>
      <c r="O590" s="20">
        <f>(4641.1*(L8))</f>
        <v>24829.885000000002</v>
      </c>
      <c r="P590" s="20">
        <f>(4724.43*(L8))</f>
        <v>25275.700499999999</v>
      </c>
      <c r="Q590" s="20">
        <f>(5057.77*(L8))</f>
        <v>27059.069500000001</v>
      </c>
    </row>
    <row r="591" spans="1:17" ht="30" customHeight="1" x14ac:dyDescent="0.35">
      <c r="A591" s="6"/>
      <c r="B591" s="23" t="s">
        <v>877</v>
      </c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5"/>
    </row>
    <row r="592" spans="1:17" ht="12.75" customHeight="1" x14ac:dyDescent="0.2">
      <c r="A592" s="7" t="s">
        <v>6</v>
      </c>
      <c r="B592" s="8" t="s">
        <v>7</v>
      </c>
      <c r="C592" s="8" t="s">
        <v>8</v>
      </c>
      <c r="D592" s="8" t="s">
        <v>9</v>
      </c>
      <c r="E592" s="8" t="s">
        <v>10</v>
      </c>
      <c r="F592" s="8" t="s">
        <v>11</v>
      </c>
      <c r="G592" s="8" t="s">
        <v>12</v>
      </c>
      <c r="H592" s="8" t="s">
        <v>13</v>
      </c>
      <c r="I592" s="8" t="s">
        <v>14</v>
      </c>
      <c r="J592" s="8" t="s">
        <v>15</v>
      </c>
      <c r="K592" s="8" t="s">
        <v>16</v>
      </c>
      <c r="L592" s="8" t="s">
        <v>17</v>
      </c>
      <c r="M592" s="8" t="s">
        <v>18</v>
      </c>
      <c r="N592" s="8" t="s">
        <v>19</v>
      </c>
      <c r="O592" s="8" t="s">
        <v>20</v>
      </c>
      <c r="P592" s="8" t="s">
        <v>21</v>
      </c>
      <c r="Q592" s="8" t="s">
        <v>22</v>
      </c>
    </row>
    <row r="593" spans="1:17" ht="12.75" customHeight="1" x14ac:dyDescent="0.2">
      <c r="A593" s="6"/>
      <c r="B593" s="10" t="s">
        <v>878</v>
      </c>
      <c r="C593" s="20" t="s">
        <v>136</v>
      </c>
      <c r="D593" s="20" t="s">
        <v>696</v>
      </c>
      <c r="E593" s="20" t="s">
        <v>879</v>
      </c>
      <c r="F593" s="20" t="s">
        <v>652</v>
      </c>
      <c r="G593" s="20" t="s">
        <v>182</v>
      </c>
      <c r="H593" s="20">
        <f>(6124.09*(L8))</f>
        <v>32763.8815</v>
      </c>
      <c r="I593" s="20">
        <f>(6207.43*(L8))</f>
        <v>33209.750500000002</v>
      </c>
      <c r="J593" s="20">
        <f>(6257.43*(L8))</f>
        <v>33477.250500000002</v>
      </c>
      <c r="K593" s="20">
        <f>(6390.76*(L8))</f>
        <v>34190.565999999999</v>
      </c>
      <c r="L593" s="20">
        <f>(6474.09*(L8))</f>
        <v>34636.381499999996</v>
      </c>
      <c r="M593" s="20">
        <f>(6574.09*(L8))</f>
        <v>35171.381499999996</v>
      </c>
      <c r="N593" s="20">
        <f>(6690.76*(L8))</f>
        <v>35795.565999999999</v>
      </c>
      <c r="O593" s="20">
        <f>(6857.43*(L8))</f>
        <v>36687.250500000002</v>
      </c>
      <c r="P593" s="20">
        <f>(6940.76*(L8))</f>
        <v>37133.065999999999</v>
      </c>
      <c r="Q593" s="20">
        <f>(7274.09*(L8))</f>
        <v>38916.381499999996</v>
      </c>
    </row>
    <row r="594" spans="1:17" ht="12.75" customHeight="1" x14ac:dyDescent="0.2">
      <c r="A594" s="6"/>
      <c r="B594" s="10" t="s">
        <v>880</v>
      </c>
      <c r="C594" s="20" t="s">
        <v>137</v>
      </c>
      <c r="D594" s="20" t="s">
        <v>696</v>
      </c>
      <c r="E594" s="20" t="s">
        <v>879</v>
      </c>
      <c r="F594" s="20" t="s">
        <v>652</v>
      </c>
      <c r="G594" s="20" t="s">
        <v>185</v>
      </c>
      <c r="H594" s="20">
        <f>(6365.58*(L8))</f>
        <v>34055.852999999996</v>
      </c>
      <c r="I594" s="20">
        <f>(6457.69*(L8))</f>
        <v>34548.641499999998</v>
      </c>
      <c r="J594" s="20">
        <f>(6512.95*(L8))</f>
        <v>34844.282499999994</v>
      </c>
      <c r="K594" s="20">
        <f>(6660.32*(L8))</f>
        <v>35632.712</v>
      </c>
      <c r="L594" s="20">
        <f>(6752.43*(L8))</f>
        <v>36125.500500000002</v>
      </c>
      <c r="M594" s="20">
        <f>(6862.95*(L8))</f>
        <v>36716.782499999994</v>
      </c>
      <c r="N594" s="20">
        <f>(6991.9*(L8))</f>
        <v>37406.664999999994</v>
      </c>
      <c r="O594" s="20">
        <f>(7176.11*(L8))</f>
        <v>38392.188499999997</v>
      </c>
      <c r="P594" s="20">
        <f>(7268.22*(L8))</f>
        <v>38884.976999999999</v>
      </c>
      <c r="Q594" s="20">
        <f>(7636.64*(L8))</f>
        <v>40856.023999999998</v>
      </c>
    </row>
    <row r="595" spans="1:17" ht="12.75" customHeight="1" x14ac:dyDescent="0.2">
      <c r="A595" s="6"/>
      <c r="B595" s="10" t="s">
        <v>881</v>
      </c>
      <c r="C595" s="20" t="s">
        <v>292</v>
      </c>
      <c r="D595" s="20" t="s">
        <v>696</v>
      </c>
      <c r="E595" s="20" t="s">
        <v>879</v>
      </c>
      <c r="F595" s="20" t="s">
        <v>652</v>
      </c>
      <c r="G595" s="20" t="s">
        <v>229</v>
      </c>
      <c r="H595" s="20">
        <f>(6434.48*(L8))</f>
        <v>34424.467999999993</v>
      </c>
      <c r="I595" s="20">
        <f>(6530.97*(L8))</f>
        <v>34940.6895</v>
      </c>
      <c r="J595" s="20">
        <f>(6588.86*(L8))</f>
        <v>35250.400999999998</v>
      </c>
      <c r="K595" s="20">
        <f>(6743.25*(L8))</f>
        <v>36076.387499999997</v>
      </c>
      <c r="L595" s="20">
        <f>(6839.74*(L8))</f>
        <v>36592.608999999997</v>
      </c>
      <c r="M595" s="20">
        <f>(6955.53*(L8))</f>
        <v>37212.085499999994</v>
      </c>
      <c r="N595" s="20">
        <f>(7090.62*(L8))</f>
        <v>37934.816999999995</v>
      </c>
      <c r="O595" s="20">
        <f>(7283.6*(L8))</f>
        <v>38967.26</v>
      </c>
      <c r="P595" s="20">
        <f>(7380.09*(L8))</f>
        <v>39483.481500000002</v>
      </c>
      <c r="Q595" s="20">
        <f>(7766.06*(L8))</f>
        <v>41548.421000000002</v>
      </c>
    </row>
    <row r="596" spans="1:17" ht="12.75" customHeight="1" x14ac:dyDescent="0.2">
      <c r="A596" s="6"/>
      <c r="B596" s="10" t="s">
        <v>882</v>
      </c>
      <c r="C596" s="20" t="s">
        <v>273</v>
      </c>
      <c r="D596" s="20" t="s">
        <v>696</v>
      </c>
      <c r="E596" s="20" t="s">
        <v>879</v>
      </c>
      <c r="F596" s="20" t="s">
        <v>652</v>
      </c>
      <c r="G596" s="20" t="s">
        <v>421</v>
      </c>
      <c r="H596" s="20">
        <f>(6666.9*(L8))</f>
        <v>35667.914999999994</v>
      </c>
      <c r="I596" s="20">
        <f>(6772.16*(L8))</f>
        <v>36231.055999999997</v>
      </c>
      <c r="J596" s="20">
        <f>(6835.32*(L8))</f>
        <v>36568.962</v>
      </c>
      <c r="K596" s="20">
        <f>(7003.74*(L8))</f>
        <v>37470.008999999998</v>
      </c>
      <c r="L596" s="20">
        <f>(7109.01*(L8))</f>
        <v>38033.203499999996</v>
      </c>
      <c r="M596" s="20">
        <f>(7235.32*(L8))</f>
        <v>38708.961999999992</v>
      </c>
      <c r="N596" s="20">
        <f>(7382.69*(L8))</f>
        <v>39497.391499999998</v>
      </c>
      <c r="O596" s="20">
        <f>(7593.22*(L8))</f>
        <v>40623.726999999999</v>
      </c>
      <c r="P596" s="20">
        <f>(7698.48*(L8))</f>
        <v>41186.867999999995</v>
      </c>
      <c r="Q596" s="20">
        <f>(8119.53*(L8))</f>
        <v>43439.485499999995</v>
      </c>
    </row>
    <row r="597" spans="1:17" ht="12.75" customHeight="1" x14ac:dyDescent="0.2">
      <c r="A597" s="6"/>
      <c r="B597" s="10" t="s">
        <v>883</v>
      </c>
      <c r="C597" s="20" t="s">
        <v>278</v>
      </c>
      <c r="D597" s="20" t="s">
        <v>696</v>
      </c>
      <c r="E597" s="20" t="s">
        <v>879</v>
      </c>
      <c r="F597" s="20" t="s">
        <v>652</v>
      </c>
      <c r="G597" s="20" t="s">
        <v>231</v>
      </c>
      <c r="H597" s="20">
        <f>(6716.77*(L8))</f>
        <v>35934.719499999999</v>
      </c>
      <c r="I597" s="20">
        <f>(6826.42*(L8))</f>
        <v>36521.347000000002</v>
      </c>
      <c r="J597" s="20">
        <f>(6892.21*(L8))</f>
        <v>36873.323499999999</v>
      </c>
      <c r="K597" s="20">
        <f>(7067.64*(L8))</f>
        <v>37811.873999999996</v>
      </c>
      <c r="L597" s="20">
        <f>(7177.29*(L8))</f>
        <v>38398.501499999998</v>
      </c>
      <c r="M597" s="20">
        <f>(7308.87*(L8))</f>
        <v>39102.4545</v>
      </c>
      <c r="N597" s="20">
        <f>(7462.38*(L8))</f>
        <v>39923.733</v>
      </c>
      <c r="O597" s="20">
        <f>(7681.68*(L8))</f>
        <v>41096.987999999998</v>
      </c>
      <c r="P597" s="20">
        <f>(7791.33*(L8))</f>
        <v>41683.6155</v>
      </c>
      <c r="Q597" s="20">
        <f>(8229.92*(L8))</f>
        <v>44030.072</v>
      </c>
    </row>
    <row r="598" spans="1:17" ht="12.75" customHeight="1" x14ac:dyDescent="0.2">
      <c r="A598" s="6"/>
      <c r="B598" s="10" t="s">
        <v>884</v>
      </c>
      <c r="C598" s="20" t="s">
        <v>280</v>
      </c>
      <c r="D598" s="20" t="s">
        <v>696</v>
      </c>
      <c r="E598" s="20" t="s">
        <v>879</v>
      </c>
      <c r="F598" s="20" t="s">
        <v>652</v>
      </c>
      <c r="G598" s="20" t="s">
        <v>435</v>
      </c>
      <c r="H598" s="20">
        <f>(6879.65*(L8))</f>
        <v>36806.127499999995</v>
      </c>
      <c r="I598" s="20">
        <f>(6998.07*(L8))</f>
        <v>37439.674499999994</v>
      </c>
      <c r="J598" s="20">
        <f>(7069.12*(L8))</f>
        <v>37819.791999999994</v>
      </c>
      <c r="K598" s="20">
        <f>(7258.6*(L8))</f>
        <v>38833.51</v>
      </c>
      <c r="L598" s="20">
        <f>(7377.02*(L8))</f>
        <v>39467.057000000001</v>
      </c>
      <c r="M598" s="20">
        <f>(7519.12*(L8))</f>
        <v>40227.291999999994</v>
      </c>
      <c r="N598" s="20">
        <f>(7684.91*(L8))</f>
        <v>41114.268499999998</v>
      </c>
      <c r="O598" s="20">
        <f>(7921.76*(L8))</f>
        <v>42381.415999999997</v>
      </c>
      <c r="P598" s="20">
        <f>(8040.18*(L8))</f>
        <v>43014.962999999996</v>
      </c>
      <c r="Q598" s="20">
        <f>(8513.86*(L8))</f>
        <v>45549.150999999998</v>
      </c>
    </row>
    <row r="599" spans="1:17" ht="12.75" customHeight="1" x14ac:dyDescent="0.2">
      <c r="A599" s="6"/>
      <c r="B599" s="10" t="s">
        <v>885</v>
      </c>
      <c r="C599" s="20" t="s">
        <v>236</v>
      </c>
      <c r="D599" s="20" t="s">
        <v>696</v>
      </c>
      <c r="E599" s="20" t="s">
        <v>879</v>
      </c>
      <c r="F599" s="20" t="s">
        <v>652</v>
      </c>
      <c r="G599" s="20" t="s">
        <v>237</v>
      </c>
      <c r="H599" s="20">
        <f>(7036.64*(L8))</f>
        <v>37646.023999999998</v>
      </c>
      <c r="I599" s="20">
        <f>(7159.45*(L8))</f>
        <v>38303.057499999995</v>
      </c>
      <c r="J599" s="20">
        <f>(7233.13*(L8))</f>
        <v>38697.245499999997</v>
      </c>
      <c r="K599" s="20">
        <f>(7429.62*(L8))</f>
        <v>39748.466999999997</v>
      </c>
      <c r="L599" s="20">
        <f>(7552.43*(L8))</f>
        <v>40405.500500000002</v>
      </c>
      <c r="M599" s="20">
        <f>(7699.8*(L8))</f>
        <v>41193.93</v>
      </c>
      <c r="N599" s="20">
        <f>(7871.73*(L8))</f>
        <v>42113.755499999992</v>
      </c>
      <c r="O599" s="20">
        <f>(8117.34*(L8))</f>
        <v>43427.769</v>
      </c>
      <c r="P599" s="20">
        <f>(8240.15*(L8))</f>
        <v>44084.802499999998</v>
      </c>
      <c r="Q599" s="20">
        <f>(8731.38*(L8))</f>
        <v>46712.882999999994</v>
      </c>
    </row>
    <row r="600" spans="1:17" ht="30" customHeight="1" x14ac:dyDescent="0.35">
      <c r="A600" s="6"/>
      <c r="B600" s="23" t="s">
        <v>886</v>
      </c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5"/>
    </row>
    <row r="601" spans="1:17" ht="12.75" customHeight="1" x14ac:dyDescent="0.2">
      <c r="A601" s="7" t="s">
        <v>6</v>
      </c>
      <c r="B601" s="8" t="s">
        <v>7</v>
      </c>
      <c r="C601" s="8" t="s">
        <v>8</v>
      </c>
      <c r="D601" s="8" t="s">
        <v>9</v>
      </c>
      <c r="E601" s="8" t="s">
        <v>10</v>
      </c>
      <c r="F601" s="8" t="s">
        <v>11</v>
      </c>
      <c r="G601" s="8" t="s">
        <v>12</v>
      </c>
      <c r="H601" s="8" t="s">
        <v>13</v>
      </c>
      <c r="I601" s="8" t="s">
        <v>14</v>
      </c>
      <c r="J601" s="8" t="s">
        <v>15</v>
      </c>
      <c r="K601" s="8" t="s">
        <v>16</v>
      </c>
      <c r="L601" s="8" t="s">
        <v>17</v>
      </c>
      <c r="M601" s="8" t="s">
        <v>18</v>
      </c>
      <c r="N601" s="8" t="s">
        <v>19</v>
      </c>
      <c r="O601" s="8" t="s">
        <v>20</v>
      </c>
      <c r="P601" s="8" t="s">
        <v>21</v>
      </c>
      <c r="Q601" s="8" t="s">
        <v>22</v>
      </c>
    </row>
    <row r="602" spans="1:17" ht="12.75" customHeight="1" x14ac:dyDescent="0.2">
      <c r="A602" s="6"/>
      <c r="B602" s="10" t="s">
        <v>887</v>
      </c>
      <c r="C602" s="20" t="s">
        <v>888</v>
      </c>
      <c r="D602" s="20" t="s">
        <v>847</v>
      </c>
      <c r="E602" s="20" t="s">
        <v>330</v>
      </c>
      <c r="F602" s="20" t="s">
        <v>210</v>
      </c>
      <c r="G602" s="20" t="s">
        <v>38</v>
      </c>
      <c r="H602" s="20">
        <f>(5918.05*(L8))</f>
        <v>31661.567499999997</v>
      </c>
      <c r="I602" s="20">
        <f>(5979.46*(L8))</f>
        <v>31990.110999999997</v>
      </c>
      <c r="J602" s="20">
        <f>(6016.3*(L8))</f>
        <v>32187.204999999998</v>
      </c>
      <c r="K602" s="20">
        <f>(6114.54*(L8))</f>
        <v>32712.788999999997</v>
      </c>
      <c r="L602" s="20">
        <f>(6175.95*(L8))</f>
        <v>33041.332499999997</v>
      </c>
      <c r="M602" s="20">
        <f>(6249.63*(L8))</f>
        <v>33435.520499999999</v>
      </c>
      <c r="N602" s="20">
        <f>(6335.6*(L8))</f>
        <v>33895.46</v>
      </c>
      <c r="O602" s="20">
        <f>(6458.4*(L8))</f>
        <v>34552.439999999995</v>
      </c>
      <c r="P602" s="20">
        <f>(6519.81*(L8))</f>
        <v>34880.983500000002</v>
      </c>
      <c r="Q602" s="20">
        <f>(6765.42*(L8))</f>
        <v>36194.996999999996</v>
      </c>
    </row>
    <row r="603" spans="1:17" ht="12.75" customHeight="1" x14ac:dyDescent="0.2">
      <c r="A603" s="6"/>
      <c r="B603" s="10" t="s">
        <v>889</v>
      </c>
      <c r="C603" s="20" t="s">
        <v>259</v>
      </c>
      <c r="D603" s="20" t="s">
        <v>847</v>
      </c>
      <c r="E603" s="20" t="s">
        <v>330</v>
      </c>
      <c r="F603" s="20" t="s">
        <v>210</v>
      </c>
      <c r="G603" s="20" t="s">
        <v>38</v>
      </c>
      <c r="H603" s="20">
        <f>(6524.49*(L8))</f>
        <v>34906.021499999995</v>
      </c>
      <c r="I603" s="20">
        <f>(6585.89*(L8))</f>
        <v>35234.511500000001</v>
      </c>
      <c r="J603" s="20">
        <f>(6622.73*(L8))</f>
        <v>35431.605499999998</v>
      </c>
      <c r="K603" s="20">
        <f>(6720.98*(L8))</f>
        <v>35957.242999999995</v>
      </c>
      <c r="L603" s="20">
        <f>(6782.38*(L8))</f>
        <v>36285.733</v>
      </c>
      <c r="M603" s="20">
        <f>(6856.06*(L8))</f>
        <v>36679.921000000002</v>
      </c>
      <c r="N603" s="20">
        <f>(6942.03*(L8))</f>
        <v>37139.860499999995</v>
      </c>
      <c r="O603" s="20">
        <f>(7064.84*(L8))</f>
        <v>37796.894</v>
      </c>
      <c r="P603" s="20">
        <f>(7126.24*(L8))</f>
        <v>38125.383999999998</v>
      </c>
      <c r="Q603" s="20">
        <f>(7371.85*(L8))</f>
        <v>39439.397499999999</v>
      </c>
    </row>
    <row r="604" spans="1:17" ht="12.75" customHeight="1" x14ac:dyDescent="0.2">
      <c r="A604" s="6"/>
      <c r="B604" s="10" t="s">
        <v>890</v>
      </c>
      <c r="C604" s="20" t="s">
        <v>888</v>
      </c>
      <c r="D604" s="20" t="s">
        <v>847</v>
      </c>
      <c r="E604" s="20" t="s">
        <v>330</v>
      </c>
      <c r="F604" s="20" t="s">
        <v>210</v>
      </c>
      <c r="G604" s="20" t="s">
        <v>35</v>
      </c>
      <c r="H604" s="20">
        <f>(5065.39*(L8))</f>
        <v>27099.836500000001</v>
      </c>
      <c r="I604" s="20">
        <f>(5118.02*(L8))</f>
        <v>27381.406999999999</v>
      </c>
      <c r="J604" s="20">
        <f>(5149.6*(L8))</f>
        <v>27550.36</v>
      </c>
      <c r="K604" s="20">
        <f>(5233.81*(L8))</f>
        <v>28000.8835</v>
      </c>
      <c r="L604" s="20">
        <f>(5286.44*(L8))</f>
        <v>28282.453999999994</v>
      </c>
      <c r="M604" s="20">
        <f>(5349.6*(L8))</f>
        <v>28620.36</v>
      </c>
      <c r="N604" s="20">
        <f>(5423.28*(L8))</f>
        <v>29014.547999999995</v>
      </c>
      <c r="O604" s="20">
        <f>(5528.54*(L8))</f>
        <v>29577.688999999998</v>
      </c>
      <c r="P604" s="20">
        <f>(5581.18*(L8))</f>
        <v>29859.312999999998</v>
      </c>
      <c r="Q604" s="20">
        <f>(5791.7*(L8))</f>
        <v>30985.594999999998</v>
      </c>
    </row>
    <row r="605" spans="1:17" ht="12.75" customHeight="1" x14ac:dyDescent="0.2">
      <c r="A605" s="6"/>
      <c r="B605" s="10" t="s">
        <v>891</v>
      </c>
      <c r="C605" s="20" t="s">
        <v>259</v>
      </c>
      <c r="D605" s="20" t="s">
        <v>847</v>
      </c>
      <c r="E605" s="20" t="s">
        <v>330</v>
      </c>
      <c r="F605" s="20" t="s">
        <v>210</v>
      </c>
      <c r="G605" s="20" t="s">
        <v>35</v>
      </c>
      <c r="H605" s="20">
        <f>(5671.82*(L8))</f>
        <v>30344.236999999997</v>
      </c>
      <c r="I605" s="20">
        <f>(5724.45*(L8))</f>
        <v>30625.807499999995</v>
      </c>
      <c r="J605" s="20">
        <f>(5756.03*(L8))</f>
        <v>30794.760499999997</v>
      </c>
      <c r="K605" s="20">
        <f>(5840.24*(L8))</f>
        <v>31245.283999999996</v>
      </c>
      <c r="L605" s="20">
        <f>(5892.87*(L8))</f>
        <v>31526.854499999998</v>
      </c>
      <c r="M605" s="20">
        <f>(5956.03*(L8))</f>
        <v>31864.760499999997</v>
      </c>
      <c r="N605" s="20">
        <f>(6029.71*(L8))</f>
        <v>32258.948499999999</v>
      </c>
      <c r="O605" s="20">
        <f>(6134.98*(L8))</f>
        <v>32822.142999999996</v>
      </c>
      <c r="P605" s="20">
        <f>(6187.61*(L8))</f>
        <v>33103.713499999998</v>
      </c>
      <c r="Q605" s="20">
        <f>(6398.13*(L8))</f>
        <v>34229.995499999997</v>
      </c>
    </row>
    <row r="606" spans="1:17" ht="30" customHeight="1" x14ac:dyDescent="0.35">
      <c r="A606" s="6"/>
      <c r="B606" s="23" t="s">
        <v>892</v>
      </c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5"/>
    </row>
    <row r="607" spans="1:17" ht="12.75" customHeight="1" x14ac:dyDescent="0.2">
      <c r="A607" s="7" t="s">
        <v>6</v>
      </c>
      <c r="B607" s="8" t="s">
        <v>7</v>
      </c>
      <c r="C607" s="8" t="s">
        <v>8</v>
      </c>
      <c r="D607" s="8" t="s">
        <v>9</v>
      </c>
      <c r="E607" s="8" t="s">
        <v>10</v>
      </c>
      <c r="F607" s="8" t="s">
        <v>11</v>
      </c>
      <c r="G607" s="8" t="s">
        <v>12</v>
      </c>
      <c r="H607" s="8" t="s">
        <v>13</v>
      </c>
      <c r="I607" s="8" t="s">
        <v>14</v>
      </c>
      <c r="J607" s="8" t="s">
        <v>15</v>
      </c>
      <c r="K607" s="8" t="s">
        <v>16</v>
      </c>
      <c r="L607" s="8" t="s">
        <v>17</v>
      </c>
      <c r="M607" s="8" t="s">
        <v>18</v>
      </c>
      <c r="N607" s="8" t="s">
        <v>19</v>
      </c>
      <c r="O607" s="8" t="s">
        <v>20</v>
      </c>
      <c r="P607" s="8" t="s">
        <v>21</v>
      </c>
      <c r="Q607" s="8" t="s">
        <v>22</v>
      </c>
    </row>
    <row r="608" spans="1:17" ht="12.75" customHeight="1" x14ac:dyDescent="0.2">
      <c r="A608" s="6"/>
      <c r="B608" s="10" t="s">
        <v>893</v>
      </c>
      <c r="C608" s="20" t="s">
        <v>137</v>
      </c>
      <c r="D608" s="20" t="s">
        <v>464</v>
      </c>
      <c r="E608" s="20" t="s">
        <v>256</v>
      </c>
      <c r="F608" s="20" t="s">
        <v>646</v>
      </c>
      <c r="G608" s="20" t="s">
        <v>157</v>
      </c>
      <c r="H608" s="20">
        <f>(3893.18*(L8))</f>
        <v>20828.512999999999</v>
      </c>
      <c r="I608" s="20">
        <f>(3967.74*(L8))</f>
        <v>21227.408999999996</v>
      </c>
      <c r="J608" s="20">
        <f>(4012.48*(L8))</f>
        <v>21466.768</v>
      </c>
      <c r="K608" s="20">
        <f>(4131.78*(L8))</f>
        <v>22105.022999999997</v>
      </c>
      <c r="L608" s="20">
        <f>(4206.34*(L8))</f>
        <v>22503.918999999998</v>
      </c>
      <c r="M608" s="20">
        <f>(4295.81*(L8))</f>
        <v>22982.583500000001</v>
      </c>
      <c r="N608" s="20">
        <f>(4400.2*(L8))</f>
        <v>23541.069999999996</v>
      </c>
      <c r="O608" s="20">
        <f>(4549.32*(L8))</f>
        <v>24338.861999999997</v>
      </c>
      <c r="P608" s="20">
        <f>(4623.88*(L8))</f>
        <v>24737.757999999998</v>
      </c>
      <c r="Q608" s="20">
        <f>(4922.13*(L8))</f>
        <v>26333.395499999999</v>
      </c>
    </row>
    <row r="609" spans="1:17" ht="12.75" customHeight="1" x14ac:dyDescent="0.2">
      <c r="A609" s="6"/>
      <c r="B609" s="10" t="s">
        <v>894</v>
      </c>
      <c r="C609" s="20" t="s">
        <v>292</v>
      </c>
      <c r="D609" s="20" t="s">
        <v>464</v>
      </c>
      <c r="E609" s="20" t="s">
        <v>256</v>
      </c>
      <c r="F609" s="20" t="s">
        <v>646</v>
      </c>
      <c r="G609" s="20" t="s">
        <v>163</v>
      </c>
      <c r="H609" s="20">
        <f>(4052.29*(L8))</f>
        <v>21679.751499999998</v>
      </c>
      <c r="I609" s="20">
        <f>(4135.62*(L8))</f>
        <v>22125.566999999999</v>
      </c>
      <c r="J609" s="20">
        <f>(4185.62*(L8))</f>
        <v>22393.066999999999</v>
      </c>
      <c r="K609" s="20">
        <f>(4318.95*(L8))</f>
        <v>23106.382499999996</v>
      </c>
      <c r="L609" s="20">
        <f>(4402.29*(L8))</f>
        <v>23552.251499999998</v>
      </c>
      <c r="M609" s="20">
        <f>(4502.29*(L8))</f>
        <v>24087.251499999998</v>
      </c>
      <c r="N609" s="20">
        <f>(4618.95*(L8))</f>
        <v>24711.382499999996</v>
      </c>
      <c r="O609" s="20">
        <f>(4785.62*(L8))</f>
        <v>25603.066999999999</v>
      </c>
      <c r="P609" s="20">
        <f>(4868.95*(L8))</f>
        <v>26048.882499999996</v>
      </c>
      <c r="Q609" s="20">
        <f>(5202.29*(L8))</f>
        <v>27832.251499999998</v>
      </c>
    </row>
    <row r="610" spans="1:17" ht="12.75" customHeight="1" x14ac:dyDescent="0.2">
      <c r="A610" s="6"/>
      <c r="B610" s="10" t="s">
        <v>895</v>
      </c>
      <c r="C610" s="20" t="s">
        <v>273</v>
      </c>
      <c r="D610" s="20" t="s">
        <v>464</v>
      </c>
      <c r="E610" s="20" t="s">
        <v>256</v>
      </c>
      <c r="F610" s="20" t="s">
        <v>646</v>
      </c>
      <c r="G610" s="20" t="s">
        <v>163</v>
      </c>
      <c r="H610" s="20">
        <f>(4246.61*(L8))</f>
        <v>22719.363499999996</v>
      </c>
      <c r="I610" s="20">
        <f>(4338.72*(L8))</f>
        <v>23212.151999999998</v>
      </c>
      <c r="J610" s="20">
        <f>(4393.98*(L8))</f>
        <v>23507.792999999998</v>
      </c>
      <c r="K610" s="20">
        <f>(4541.35*(L8))</f>
        <v>24296.2225</v>
      </c>
      <c r="L610" s="20">
        <f>(4633.45*(L8))</f>
        <v>24788.957499999997</v>
      </c>
      <c r="M610" s="20">
        <f>(4743.98*(L8))</f>
        <v>25380.292999999994</v>
      </c>
      <c r="N610" s="20">
        <f>(4872.93*(L8))</f>
        <v>26070.175500000001</v>
      </c>
      <c r="O610" s="20">
        <f>(5057.14*(L8))</f>
        <v>27055.699000000001</v>
      </c>
      <c r="P610" s="20">
        <f>(5149.24*(L8))</f>
        <v>27548.433999999997</v>
      </c>
      <c r="Q610" s="20">
        <f>(5517.66*(L8))</f>
        <v>29519.480999999996</v>
      </c>
    </row>
    <row r="611" spans="1:17" ht="12.75" customHeight="1" x14ac:dyDescent="0.2">
      <c r="A611" s="6"/>
      <c r="B611" s="10" t="s">
        <v>896</v>
      </c>
      <c r="C611" s="20" t="s">
        <v>278</v>
      </c>
      <c r="D611" s="20" t="s">
        <v>464</v>
      </c>
      <c r="E611" s="20" t="s">
        <v>256</v>
      </c>
      <c r="F611" s="20" t="s">
        <v>646</v>
      </c>
      <c r="G611" s="20" t="s">
        <v>182</v>
      </c>
      <c r="H611" s="20">
        <f>(4405.11*(L8))</f>
        <v>23567.338499999998</v>
      </c>
      <c r="I611" s="20">
        <f>(4501.6*(L8))</f>
        <v>24083.56</v>
      </c>
      <c r="J611" s="20">
        <f>(4559.5*(L8))</f>
        <v>24393.324999999997</v>
      </c>
      <c r="K611" s="20">
        <f>(4713.88*(L8))</f>
        <v>25219.257999999998</v>
      </c>
      <c r="L611" s="20">
        <f>(4810.37*(L8))</f>
        <v>25735.479499999998</v>
      </c>
      <c r="M611" s="20">
        <f>(4926.16*(L8))</f>
        <v>26354.955999999998</v>
      </c>
      <c r="N611" s="20">
        <f>(5061.25*(L8))</f>
        <v>27077.6875</v>
      </c>
      <c r="O611" s="20">
        <f>(5254.23*(L8))</f>
        <v>28110.130499999996</v>
      </c>
      <c r="P611" s="20">
        <f>(5350.72*(L8))</f>
        <v>28626.351999999999</v>
      </c>
      <c r="Q611" s="20">
        <f>(5736.69*(L8))</f>
        <v>30691.291499999996</v>
      </c>
    </row>
    <row r="612" spans="1:17" ht="12.75" customHeight="1" x14ac:dyDescent="0.2">
      <c r="A612" s="6"/>
      <c r="B612" s="10" t="s">
        <v>897</v>
      </c>
      <c r="C612" s="20" t="s">
        <v>280</v>
      </c>
      <c r="D612" s="20" t="s">
        <v>464</v>
      </c>
      <c r="E612" s="20" t="s">
        <v>256</v>
      </c>
      <c r="F612" s="20" t="s">
        <v>646</v>
      </c>
      <c r="G612" s="20" t="s">
        <v>185</v>
      </c>
      <c r="H612" s="20">
        <f>(4547.47*(L8))</f>
        <v>24328.964499999998</v>
      </c>
      <c r="I612" s="20">
        <f>(4648.35*(L8))</f>
        <v>24868.672500000001</v>
      </c>
      <c r="J612" s="20">
        <f>(4708.87*(L8))</f>
        <v>25192.454499999996</v>
      </c>
      <c r="K612" s="20">
        <f>(4870.28*(L8))</f>
        <v>26055.997999999996</v>
      </c>
      <c r="L612" s="20">
        <f>(4971.15*(L8))</f>
        <v>26595.652499999997</v>
      </c>
      <c r="M612" s="20">
        <f>(5092.21*(L8))</f>
        <v>27243.323499999999</v>
      </c>
      <c r="N612" s="20">
        <f>(5233.43*(L8))</f>
        <v>27998.8505</v>
      </c>
      <c r="O612" s="20">
        <f>(5435.19*(L8))</f>
        <v>29078.266499999994</v>
      </c>
      <c r="P612" s="20">
        <f>(5536.07*(L8))</f>
        <v>29617.974499999997</v>
      </c>
      <c r="Q612" s="20">
        <f>(5939.57*(L8))</f>
        <v>31776.699499999995</v>
      </c>
    </row>
    <row r="613" spans="1:17" ht="12.75" customHeight="1" x14ac:dyDescent="0.2">
      <c r="A613" s="6"/>
      <c r="B613" s="10" t="s">
        <v>898</v>
      </c>
      <c r="C613" s="20" t="s">
        <v>236</v>
      </c>
      <c r="D613" s="20" t="s">
        <v>464</v>
      </c>
      <c r="E613" s="20" t="s">
        <v>256</v>
      </c>
      <c r="F613" s="20" t="s">
        <v>646</v>
      </c>
      <c r="G613" s="20" t="s">
        <v>229</v>
      </c>
      <c r="H613" s="20">
        <f>(4687.84*(L8))</f>
        <v>25079.944</v>
      </c>
      <c r="I613" s="20">
        <f>(4797.49*(L8))</f>
        <v>25666.571499999998</v>
      </c>
      <c r="J613" s="20">
        <f>(4863.28*(L8))</f>
        <v>26018.547999999995</v>
      </c>
      <c r="K613" s="20">
        <f>(5038.71*(L8))</f>
        <v>26957.0985</v>
      </c>
      <c r="L613" s="20">
        <f>(5148.36*(L8))</f>
        <v>27543.725999999995</v>
      </c>
      <c r="M613" s="20">
        <f>(5279.94*(L8))</f>
        <v>28247.678999999996</v>
      </c>
      <c r="N613" s="20">
        <f>(5433.45*(L8))</f>
        <v>29068.957499999997</v>
      </c>
      <c r="O613" s="20">
        <f>(5652.75*(L8))</f>
        <v>30242.212499999998</v>
      </c>
      <c r="P613" s="20">
        <f>(5762.4*(L8))</f>
        <v>30828.839999999997</v>
      </c>
      <c r="Q613" s="20">
        <f>(6200.99*(L8))</f>
        <v>33175.296499999997</v>
      </c>
    </row>
    <row r="614" spans="1:17" ht="30" customHeight="1" x14ac:dyDescent="0.35">
      <c r="A614" s="6"/>
      <c r="B614" s="23" t="s">
        <v>899</v>
      </c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5"/>
    </row>
    <row r="615" spans="1:17" ht="12.75" customHeight="1" x14ac:dyDescent="0.2">
      <c r="A615" s="7" t="s">
        <v>6</v>
      </c>
      <c r="B615" s="8" t="s">
        <v>7</v>
      </c>
      <c r="C615" s="8" t="s">
        <v>8</v>
      </c>
      <c r="D615" s="8" t="s">
        <v>9</v>
      </c>
      <c r="E615" s="8" t="s">
        <v>10</v>
      </c>
      <c r="F615" s="8" t="s">
        <v>11</v>
      </c>
      <c r="G615" s="8" t="s">
        <v>12</v>
      </c>
      <c r="H615" s="8" t="s">
        <v>13</v>
      </c>
      <c r="I615" s="8" t="s">
        <v>14</v>
      </c>
      <c r="J615" s="8" t="s">
        <v>15</v>
      </c>
      <c r="K615" s="8" t="s">
        <v>16</v>
      </c>
      <c r="L615" s="8" t="s">
        <v>17</v>
      </c>
      <c r="M615" s="8" t="s">
        <v>18</v>
      </c>
      <c r="N615" s="8" t="s">
        <v>19</v>
      </c>
      <c r="O615" s="8" t="s">
        <v>20</v>
      </c>
      <c r="P615" s="8" t="s">
        <v>21</v>
      </c>
      <c r="Q615" s="8" t="s">
        <v>22</v>
      </c>
    </row>
    <row r="616" spans="1:17" ht="12.75" customHeight="1" x14ac:dyDescent="0.2">
      <c r="A616" s="6"/>
      <c r="B616" s="16" t="s">
        <v>899</v>
      </c>
      <c r="C616" s="20" t="s">
        <v>259</v>
      </c>
      <c r="D616" s="96" t="s">
        <v>900</v>
      </c>
      <c r="E616" s="20" t="s">
        <v>275</v>
      </c>
      <c r="F616" s="20" t="s">
        <v>405</v>
      </c>
      <c r="G616" s="20" t="s">
        <v>154</v>
      </c>
      <c r="H616" s="20">
        <f>(3881.6*(L8))</f>
        <v>20766.559999999998</v>
      </c>
      <c r="I616" s="20">
        <f>(3969.32*(L8))</f>
        <v>21235.862000000001</v>
      </c>
      <c r="J616" s="20">
        <f>(4021.95*(L8))</f>
        <v>21517.432499999999</v>
      </c>
      <c r="K616" s="20">
        <f>(4162.3*(L8))</f>
        <v>22268.305</v>
      </c>
      <c r="L616" s="20">
        <f>(4250.02*(L8))</f>
        <v>22737.607</v>
      </c>
      <c r="M616" s="20">
        <f>(4355.28*(L8))</f>
        <v>23300.747999999996</v>
      </c>
      <c r="N616" s="20">
        <f>(4478.09*(L8))</f>
        <v>23957.781500000001</v>
      </c>
      <c r="O616" s="20">
        <f>(4653.53*(L8))</f>
        <v>24896.385499999997</v>
      </c>
      <c r="P616" s="20">
        <f>(4741.25*(L8))</f>
        <v>25365.6875</v>
      </c>
      <c r="Q616" s="20">
        <f>(5092.12*(L8))</f>
        <v>27242.841999999997</v>
      </c>
    </row>
    <row r="617" spans="1:17" ht="30" customHeight="1" x14ac:dyDescent="0.35">
      <c r="A617" s="6"/>
      <c r="B617" s="23" t="s">
        <v>901</v>
      </c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5"/>
    </row>
    <row r="618" spans="1:17" ht="12.75" customHeight="1" x14ac:dyDescent="0.2">
      <c r="A618" s="7" t="s">
        <v>6</v>
      </c>
      <c r="B618" s="8" t="s">
        <v>7</v>
      </c>
      <c r="C618" s="8" t="s">
        <v>8</v>
      </c>
      <c r="D618" s="8" t="s">
        <v>9</v>
      </c>
      <c r="E618" s="8" t="s">
        <v>10</v>
      </c>
      <c r="F618" s="8" t="s">
        <v>11</v>
      </c>
      <c r="G618" s="8" t="s">
        <v>12</v>
      </c>
      <c r="H618" s="8" t="s">
        <v>13</v>
      </c>
      <c r="I618" s="8" t="s">
        <v>14</v>
      </c>
      <c r="J618" s="8" t="s">
        <v>15</v>
      </c>
      <c r="K618" s="8" t="s">
        <v>16</v>
      </c>
      <c r="L618" s="8" t="s">
        <v>17</v>
      </c>
      <c r="M618" s="8" t="s">
        <v>18</v>
      </c>
      <c r="N618" s="8" t="s">
        <v>19</v>
      </c>
      <c r="O618" s="8" t="s">
        <v>20</v>
      </c>
      <c r="P618" s="8" t="s">
        <v>21</v>
      </c>
      <c r="Q618" s="8" t="s">
        <v>22</v>
      </c>
    </row>
    <row r="619" spans="1:17" ht="12.75" customHeight="1" x14ac:dyDescent="0.2">
      <c r="A619" s="6"/>
      <c r="B619" s="10" t="s">
        <v>902</v>
      </c>
      <c r="C619" s="20" t="s">
        <v>136</v>
      </c>
      <c r="D619" s="20" t="s">
        <v>149</v>
      </c>
      <c r="E619" s="20" t="s">
        <v>275</v>
      </c>
      <c r="F619" s="20" t="s">
        <v>383</v>
      </c>
      <c r="G619" s="20" t="s">
        <v>152</v>
      </c>
      <c r="H619" s="20">
        <f>(2855.56*(L8))</f>
        <v>15277.245999999999</v>
      </c>
      <c r="I619" s="20">
        <f>(2899.42*(L8))</f>
        <v>15511.896999999999</v>
      </c>
      <c r="J619" s="20">
        <f>(2925.73*(L8))</f>
        <v>15652.655499999999</v>
      </c>
      <c r="K619" s="20">
        <f>(2995.91*(L8))</f>
        <v>16028.118499999999</v>
      </c>
      <c r="L619" s="20">
        <f>(3039.77*(L8))</f>
        <v>16262.769499999999</v>
      </c>
      <c r="M619" s="20">
        <f>(3092.4*(L8))</f>
        <v>16544.34</v>
      </c>
      <c r="N619" s="20">
        <f>(3153.8*(L8))</f>
        <v>16872.829999999998</v>
      </c>
      <c r="O619" s="20">
        <f>(3241.52*(L8))</f>
        <v>17342.131999999998</v>
      </c>
      <c r="P619" s="20">
        <f>(3285.38*(L8))</f>
        <v>17576.782999999999</v>
      </c>
      <c r="Q619" s="20">
        <f>(3460.82*(L8))</f>
        <v>18515.386999999999</v>
      </c>
    </row>
    <row r="620" spans="1:17" ht="12.75" customHeight="1" x14ac:dyDescent="0.2">
      <c r="A620" s="6"/>
      <c r="B620" s="10" t="s">
        <v>903</v>
      </c>
      <c r="C620" s="20" t="s">
        <v>137</v>
      </c>
      <c r="D620" s="20" t="s">
        <v>149</v>
      </c>
      <c r="E620" s="20" t="s">
        <v>275</v>
      </c>
      <c r="F620" s="20" t="s">
        <v>383</v>
      </c>
      <c r="G620" s="20" t="s">
        <v>154</v>
      </c>
      <c r="H620" s="20">
        <f>(3159.21*(L8))</f>
        <v>16901.773499999999</v>
      </c>
      <c r="I620" s="20">
        <f>(3246.93*(L8))</f>
        <v>17371.075499999999</v>
      </c>
      <c r="J620" s="20">
        <f>(3299.56*(L8))</f>
        <v>17652.645999999997</v>
      </c>
      <c r="K620" s="20">
        <f>(3439.91*(L8))</f>
        <v>18403.518499999998</v>
      </c>
      <c r="L620" s="20">
        <f>(3527.63*(L8))</f>
        <v>18872.820499999998</v>
      </c>
      <c r="M620" s="20">
        <f>(3632.89*(L8))</f>
        <v>19435.961499999998</v>
      </c>
      <c r="N620" s="20">
        <f>(3755.7*(L8))</f>
        <v>20092.994999999999</v>
      </c>
      <c r="O620" s="20">
        <f>(3931.14*(L8))</f>
        <v>21031.598999999998</v>
      </c>
      <c r="P620" s="20">
        <f>(4018.86*(L8))</f>
        <v>21500.900999999998</v>
      </c>
      <c r="Q620" s="20">
        <f>(4369.73*(L8))</f>
        <v>23378.055499999995</v>
      </c>
    </row>
    <row r="621" spans="1:17" ht="12.75" customHeight="1" x14ac:dyDescent="0.2">
      <c r="A621" s="6"/>
      <c r="B621" s="10" t="s">
        <v>904</v>
      </c>
      <c r="C621" s="20" t="s">
        <v>292</v>
      </c>
      <c r="D621" s="20" t="s">
        <v>149</v>
      </c>
      <c r="E621" s="20" t="s">
        <v>275</v>
      </c>
      <c r="F621" s="20" t="s">
        <v>383</v>
      </c>
      <c r="G621" s="20" t="s">
        <v>160</v>
      </c>
      <c r="H621" s="20">
        <f>(3322.01*(L8))</f>
        <v>17772.753499999999</v>
      </c>
      <c r="I621" s="20">
        <f>(3418.5*(L8))</f>
        <v>18288.974999999999</v>
      </c>
      <c r="J621" s="20">
        <f>(3476.39*(L8))</f>
        <v>18598.6865</v>
      </c>
      <c r="K621" s="20">
        <f>(3630.78*(L8))</f>
        <v>19424.672999999999</v>
      </c>
      <c r="L621" s="20">
        <f>(3727.27*(L8))</f>
        <v>19940.894499999999</v>
      </c>
      <c r="M621" s="20">
        <f>(3843.06*(L8))</f>
        <v>20560.370999999999</v>
      </c>
      <c r="N621" s="20">
        <f>(3978.15*(L8))</f>
        <v>21283.102500000001</v>
      </c>
      <c r="O621" s="20">
        <f>(4171.13*(L8))</f>
        <v>22315.5455</v>
      </c>
      <c r="P621" s="20">
        <f>(4267.62*(L8))</f>
        <v>22831.766999999996</v>
      </c>
      <c r="Q621" s="20">
        <f>(4653.59*(L8))</f>
        <v>24896.7065</v>
      </c>
    </row>
    <row r="622" spans="1:17" ht="12.75" customHeight="1" x14ac:dyDescent="0.2">
      <c r="A622" s="6"/>
      <c r="B622" s="10" t="s">
        <v>905</v>
      </c>
      <c r="C622" s="20" t="s">
        <v>273</v>
      </c>
      <c r="D622" s="20" t="s">
        <v>149</v>
      </c>
      <c r="E622" s="20" t="s">
        <v>275</v>
      </c>
      <c r="F622" s="20" t="s">
        <v>383</v>
      </c>
      <c r="G622" s="20" t="s">
        <v>182</v>
      </c>
      <c r="H622" s="20">
        <f>(3450.97*(L8))</f>
        <v>18462.689499999997</v>
      </c>
      <c r="I622" s="20">
        <f>(3551.84*(L8))</f>
        <v>19002.344000000001</v>
      </c>
      <c r="J622" s="20">
        <f>(3612.37*(L8))</f>
        <v>19326.179499999998</v>
      </c>
      <c r="K622" s="20">
        <f>(3773.77*(L8))</f>
        <v>20189.6695</v>
      </c>
      <c r="L622" s="20">
        <f>(3874.65*(L8))</f>
        <v>20729.377499999999</v>
      </c>
      <c r="M622" s="20">
        <f>(3995.7*(L8))</f>
        <v>21376.994999999999</v>
      </c>
      <c r="N622" s="20">
        <f>(4136.93*(L8))</f>
        <v>22132.575499999999</v>
      </c>
      <c r="O622" s="20">
        <f>(4338.69*(L8))</f>
        <v>23211.991499999996</v>
      </c>
      <c r="P622" s="20">
        <f>(4439.56*(L8))</f>
        <v>23751.646000000001</v>
      </c>
      <c r="Q622" s="20">
        <f>(4843.07*(L8))</f>
        <v>25910.424499999997</v>
      </c>
    </row>
    <row r="623" spans="1:17" ht="12.75" customHeight="1" x14ac:dyDescent="0.2">
      <c r="A623" s="6"/>
      <c r="B623" s="10" t="s">
        <v>906</v>
      </c>
      <c r="C623" s="20" t="s">
        <v>278</v>
      </c>
      <c r="D623" s="20" t="s">
        <v>149</v>
      </c>
      <c r="E623" s="20" t="s">
        <v>275</v>
      </c>
      <c r="F623" s="20" t="s">
        <v>383</v>
      </c>
      <c r="G623" s="20" t="s">
        <v>229</v>
      </c>
      <c r="H623" s="20">
        <f>(3611.92*(L8))</f>
        <v>19323.772000000001</v>
      </c>
      <c r="I623" s="20">
        <f>(3721.57*(L8))</f>
        <v>19910.3995</v>
      </c>
      <c r="J623" s="20">
        <f>(3787.36*(L8))</f>
        <v>20262.376</v>
      </c>
      <c r="K623" s="20">
        <f>(3962.79*(L8))</f>
        <v>21200.926499999998</v>
      </c>
      <c r="L623" s="20">
        <f>(4072.44*(L8))</f>
        <v>21787.554</v>
      </c>
      <c r="M623" s="20">
        <f>(4204.02*(L8))</f>
        <v>22491.507000000001</v>
      </c>
      <c r="N623" s="20">
        <f>(4357.53*(L8))</f>
        <v>23312.785499999998</v>
      </c>
      <c r="O623" s="20">
        <f>(4576.83*(L8))</f>
        <v>24486.040499999999</v>
      </c>
      <c r="P623" s="20">
        <f>(4686.48*(L8))</f>
        <v>25072.667999999994</v>
      </c>
      <c r="Q623" s="20">
        <f>(5125.07*(L8))</f>
        <v>27419.124499999998</v>
      </c>
    </row>
    <row r="624" spans="1:17" ht="12.75" customHeight="1" x14ac:dyDescent="0.2">
      <c r="A624" s="6"/>
      <c r="B624" s="10" t="s">
        <v>907</v>
      </c>
      <c r="C624" s="20" t="s">
        <v>280</v>
      </c>
      <c r="D624" s="20" t="s">
        <v>149</v>
      </c>
      <c r="E624" s="20" t="s">
        <v>275</v>
      </c>
      <c r="F624" s="20" t="s">
        <v>383</v>
      </c>
      <c r="G624" s="20" t="s">
        <v>231</v>
      </c>
      <c r="H624" s="20">
        <f>(3747.58*(L8))</f>
        <v>20049.553</v>
      </c>
      <c r="I624" s="20">
        <f>(3861.61*(L8))</f>
        <v>20659.613499999999</v>
      </c>
      <c r="J624" s="20">
        <f>(3930.03*(L8))</f>
        <v>21025.660499999998</v>
      </c>
      <c r="K624" s="20">
        <f>(4112.49*(L8))</f>
        <v>22001.821499999998</v>
      </c>
      <c r="L624" s="20">
        <f>(4226.52*(L8))</f>
        <v>22611.882000000001</v>
      </c>
      <c r="M624" s="20">
        <f>(4363.37*(L8))</f>
        <v>23344.029499999997</v>
      </c>
      <c r="N624" s="20">
        <f>(4523.02*(L8))</f>
        <v>24198.156999999999</v>
      </c>
      <c r="O624" s="20">
        <f>(4751.09*(L8))</f>
        <v>25418.3315</v>
      </c>
      <c r="P624" s="20">
        <f>(4865.12*(L8))</f>
        <v>26028.391999999996</v>
      </c>
      <c r="Q624" s="20">
        <f>(5321.26*(L8))</f>
        <v>28468.740999999998</v>
      </c>
    </row>
    <row r="625" spans="1:17" ht="30" customHeight="1" x14ac:dyDescent="0.35">
      <c r="A625" s="6"/>
      <c r="B625" s="23" t="s">
        <v>908</v>
      </c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5"/>
    </row>
    <row r="626" spans="1:17" ht="12.75" customHeight="1" x14ac:dyDescent="0.2">
      <c r="A626" s="7" t="s">
        <v>6</v>
      </c>
      <c r="B626" s="8" t="s">
        <v>7</v>
      </c>
      <c r="C626" s="8" t="s">
        <v>8</v>
      </c>
      <c r="D626" s="8" t="s">
        <v>9</v>
      </c>
      <c r="E626" s="8" t="s">
        <v>10</v>
      </c>
      <c r="F626" s="8" t="s">
        <v>11</v>
      </c>
      <c r="G626" s="8" t="s">
        <v>12</v>
      </c>
      <c r="H626" s="8" t="s">
        <v>13</v>
      </c>
      <c r="I626" s="8" t="s">
        <v>14</v>
      </c>
      <c r="J626" s="8" t="s">
        <v>15</v>
      </c>
      <c r="K626" s="8" t="s">
        <v>16</v>
      </c>
      <c r="L626" s="8" t="s">
        <v>17</v>
      </c>
      <c r="M626" s="8" t="s">
        <v>18</v>
      </c>
      <c r="N626" s="8" t="s">
        <v>19</v>
      </c>
      <c r="O626" s="8" t="s">
        <v>20</v>
      </c>
      <c r="P626" s="8" t="s">
        <v>21</v>
      </c>
      <c r="Q626" s="8" t="s">
        <v>22</v>
      </c>
    </row>
    <row r="627" spans="1:17" ht="12.75" customHeight="1" x14ac:dyDescent="0.2">
      <c r="A627" s="6"/>
      <c r="B627" s="10" t="s">
        <v>909</v>
      </c>
      <c r="C627" s="20" t="s">
        <v>135</v>
      </c>
      <c r="D627" s="20" t="s">
        <v>149</v>
      </c>
      <c r="E627" s="20" t="s">
        <v>697</v>
      </c>
      <c r="F627" s="20" t="s">
        <v>276</v>
      </c>
      <c r="G627" s="20" t="s">
        <v>262</v>
      </c>
      <c r="H627" s="20">
        <f>(3763.91*(L8))</f>
        <v>20136.918499999996</v>
      </c>
      <c r="I627" s="20">
        <f>(3829.7*(L8))</f>
        <v>20488.894999999997</v>
      </c>
      <c r="J627" s="20">
        <f>(3869.17*(L8))</f>
        <v>20700.059499999999</v>
      </c>
      <c r="K627" s="20">
        <f>(3974.44*(L8))</f>
        <v>21263.253999999997</v>
      </c>
      <c r="L627" s="20">
        <f>(4040.23*(L8))</f>
        <v>21615.230499999998</v>
      </c>
      <c r="M627" s="20">
        <f>(4119.17*(L8))</f>
        <v>22037.559499999999</v>
      </c>
      <c r="N627" s="20">
        <f>(4211.28*(L8))</f>
        <v>22530.347999999998</v>
      </c>
      <c r="O627" s="20">
        <f>(4342.86*(L8))</f>
        <v>23234.300999999996</v>
      </c>
      <c r="P627" s="20">
        <f>(4408.65*(L8))</f>
        <v>23586.277499999997</v>
      </c>
      <c r="Q627" s="20">
        <f>(4671.81*(L8))</f>
        <v>24994.183499999999</v>
      </c>
    </row>
    <row r="628" spans="1:17" ht="12.75" customHeight="1" x14ac:dyDescent="0.2">
      <c r="A628" s="6"/>
      <c r="B628" s="10" t="s">
        <v>910</v>
      </c>
      <c r="C628" s="20" t="s">
        <v>136</v>
      </c>
      <c r="D628" s="20" t="s">
        <v>149</v>
      </c>
      <c r="E628" s="20" t="s">
        <v>697</v>
      </c>
      <c r="F628" s="20" t="s">
        <v>276</v>
      </c>
      <c r="G628" s="20" t="s">
        <v>152</v>
      </c>
      <c r="H628" s="20">
        <f>(3960.32*(L8))</f>
        <v>21187.712</v>
      </c>
      <c r="I628" s="20">
        <f>(4030.5*(L8))</f>
        <v>21563.174999999999</v>
      </c>
      <c r="J628" s="20">
        <f>(4072.6*(L8))</f>
        <v>21788.41</v>
      </c>
      <c r="K628" s="20">
        <f>(4184.88*(L8))</f>
        <v>22389.108</v>
      </c>
      <c r="L628" s="20">
        <f>(4255.06*(L8))</f>
        <v>22764.571</v>
      </c>
      <c r="M628" s="20">
        <f>(4339.27*(L8))</f>
        <v>23215.094499999999</v>
      </c>
      <c r="N628" s="20">
        <f>(4437.51*(L8))</f>
        <v>23740.678499999998</v>
      </c>
      <c r="O628" s="20">
        <f>(4577.86*(L8))</f>
        <v>24491.550999999996</v>
      </c>
      <c r="P628" s="20">
        <f>(4648.04*(L8))</f>
        <v>24867.013999999999</v>
      </c>
      <c r="Q628" s="20">
        <f>(4928.74*(L8))</f>
        <v>26368.758999999998</v>
      </c>
    </row>
    <row r="629" spans="1:17" ht="12.75" customHeight="1" x14ac:dyDescent="0.2">
      <c r="A629" s="6"/>
      <c r="B629" s="10" t="s">
        <v>911</v>
      </c>
      <c r="C629" s="20" t="s">
        <v>137</v>
      </c>
      <c r="D629" s="20" t="s">
        <v>149</v>
      </c>
      <c r="E629" s="20" t="s">
        <v>697</v>
      </c>
      <c r="F629" s="20" t="s">
        <v>276</v>
      </c>
      <c r="G629" s="20" t="s">
        <v>166</v>
      </c>
      <c r="H629" s="20">
        <f>(4127.99*(L8))</f>
        <v>22084.746499999997</v>
      </c>
      <c r="I629" s="20">
        <f>(4202.56*(L8))</f>
        <v>22483.696</v>
      </c>
      <c r="J629" s="20">
        <f>(4247.29*(L8))</f>
        <v>22723.001499999998</v>
      </c>
      <c r="K629" s="20">
        <f>(4366.59*(L8))</f>
        <v>23361.2565</v>
      </c>
      <c r="L629" s="20">
        <f>(4441.15*(L8))</f>
        <v>23760.152499999997</v>
      </c>
      <c r="M629" s="20">
        <f>(4530.63*(L8))</f>
        <v>24238.870499999997</v>
      </c>
      <c r="N629" s="20">
        <f>(4635.01*(L8))</f>
        <v>24797.303499999998</v>
      </c>
      <c r="O629" s="20">
        <f>(4784.14*(L8))</f>
        <v>25595.149000000001</v>
      </c>
      <c r="P629" s="20">
        <f>(4858.7*(L8))</f>
        <v>25994.044999999998</v>
      </c>
      <c r="Q629" s="20">
        <f>(5156.94*(L8))</f>
        <v>27589.628999999997</v>
      </c>
    </row>
    <row r="630" spans="1:17" ht="12.75" customHeight="1" x14ac:dyDescent="0.2">
      <c r="A630" s="6"/>
      <c r="B630" s="10" t="s">
        <v>912</v>
      </c>
      <c r="C630" s="20" t="s">
        <v>292</v>
      </c>
      <c r="D630" s="20" t="s">
        <v>149</v>
      </c>
      <c r="E630" s="20" t="s">
        <v>697</v>
      </c>
      <c r="F630" s="20" t="s">
        <v>276</v>
      </c>
      <c r="G630" s="20" t="s">
        <v>154</v>
      </c>
      <c r="H630" s="20">
        <f>(4344.51*(L8))</f>
        <v>23243.128499999999</v>
      </c>
      <c r="I630" s="20">
        <f>(4423.46*(L8))</f>
        <v>23665.510999999999</v>
      </c>
      <c r="J630" s="20">
        <f>(4470.83*(L8))</f>
        <v>23918.940499999997</v>
      </c>
      <c r="K630" s="20">
        <f>(4597.14*(L8))</f>
        <v>24594.699000000001</v>
      </c>
      <c r="L630" s="20">
        <f>(4676.09*(L8))</f>
        <v>25017.0815</v>
      </c>
      <c r="M630" s="20">
        <f>(4770.83*(L8))</f>
        <v>25523.940499999997</v>
      </c>
      <c r="N630" s="20">
        <f>(4881.35*(L8))</f>
        <v>26115.2225</v>
      </c>
      <c r="O630" s="20">
        <f>(5039.25*(L8))</f>
        <v>26959.987499999999</v>
      </c>
      <c r="P630" s="20">
        <f>(5118.19*(L8))</f>
        <v>27382.316499999997</v>
      </c>
      <c r="Q630" s="20">
        <f>(5433.98*(L8))</f>
        <v>29071.792999999994</v>
      </c>
    </row>
    <row r="631" spans="1:17" ht="12.75" customHeight="1" x14ac:dyDescent="0.2">
      <c r="A631" s="6"/>
      <c r="B631" s="10" t="s">
        <v>913</v>
      </c>
      <c r="C631" s="20" t="s">
        <v>273</v>
      </c>
      <c r="D631" s="20" t="s">
        <v>149</v>
      </c>
      <c r="E631" s="20" t="s">
        <v>697</v>
      </c>
      <c r="F631" s="20" t="s">
        <v>276</v>
      </c>
      <c r="G631" s="20" t="s">
        <v>157</v>
      </c>
      <c r="H631" s="20">
        <f>(4521.62*(L8))</f>
        <v>24190.666999999998</v>
      </c>
      <c r="I631" s="20">
        <f>(4609.34*(L8))</f>
        <v>24659.968999999997</v>
      </c>
      <c r="J631" s="20">
        <f>(4661.97*(L8))</f>
        <v>24941.539499999999</v>
      </c>
      <c r="K631" s="20">
        <f>(4802.32*(L8))</f>
        <v>25692.411999999997</v>
      </c>
      <c r="L631" s="20">
        <f>(4890.04*(L8))</f>
        <v>26161.713999999996</v>
      </c>
      <c r="M631" s="20">
        <f>(4995.3*(L8))</f>
        <v>26724.855</v>
      </c>
      <c r="N631" s="20">
        <f>(5118.11*(L8))</f>
        <v>27381.888499999997</v>
      </c>
      <c r="O631" s="20">
        <f>(5293.55*(L8))</f>
        <v>28320.4925</v>
      </c>
      <c r="P631" s="20">
        <f>(5381.27*(L8))</f>
        <v>28789.7945</v>
      </c>
      <c r="Q631" s="20">
        <f>(5732.14*(L8))</f>
        <v>30666.949000000001</v>
      </c>
    </row>
    <row r="632" spans="1:17" ht="12.75" customHeight="1" x14ac:dyDescent="0.2">
      <c r="A632" s="6"/>
      <c r="B632" s="10" t="s">
        <v>914</v>
      </c>
      <c r="C632" s="20" t="s">
        <v>278</v>
      </c>
      <c r="D632" s="20" t="s">
        <v>149</v>
      </c>
      <c r="E632" s="20" t="s">
        <v>697</v>
      </c>
      <c r="F632" s="20" t="s">
        <v>276</v>
      </c>
      <c r="G632" s="20" t="s">
        <v>160</v>
      </c>
      <c r="H632" s="20">
        <f>(4732.22*(L8))</f>
        <v>25317.377</v>
      </c>
      <c r="I632" s="20">
        <f>(4828.71*(L8))</f>
        <v>25833.5985</v>
      </c>
      <c r="J632" s="20">
        <f>(4886.61*(L8))</f>
        <v>26143.363499999996</v>
      </c>
      <c r="K632" s="20">
        <f>(5040.99*(L8))</f>
        <v>26969.296499999997</v>
      </c>
      <c r="L632" s="20">
        <f>(5137.48*(L8))</f>
        <v>27485.517999999996</v>
      </c>
      <c r="M632" s="20">
        <f>(5253.27*(L8))</f>
        <v>28104.994500000001</v>
      </c>
      <c r="N632" s="20">
        <f>(5388.36*(L8))</f>
        <v>28827.725999999995</v>
      </c>
      <c r="O632" s="20">
        <f>(5581.34*(L8))</f>
        <v>29860.168999999998</v>
      </c>
      <c r="P632" s="20">
        <f>(5677.83*(L8))</f>
        <v>30376.390499999998</v>
      </c>
      <c r="Q632" s="20">
        <f>(6063.8*(L8))</f>
        <v>32441.329999999998</v>
      </c>
    </row>
    <row r="633" spans="1:17" ht="12.75" customHeight="1" x14ac:dyDescent="0.2">
      <c r="A633" s="6"/>
      <c r="B633" s="10" t="s">
        <v>915</v>
      </c>
      <c r="C633" s="20" t="s">
        <v>137</v>
      </c>
      <c r="D633" s="20" t="s">
        <v>149</v>
      </c>
      <c r="E633" s="20" t="s">
        <v>697</v>
      </c>
      <c r="F633" s="20" t="s">
        <v>276</v>
      </c>
      <c r="G633" s="20" t="s">
        <v>60</v>
      </c>
      <c r="H633" s="20">
        <f>(4252.31*(L8))</f>
        <v>22749.858500000002</v>
      </c>
      <c r="I633" s="20">
        <f>(4318.1*(L8))</f>
        <v>23101.834999999999</v>
      </c>
      <c r="J633" s="20">
        <f>(4357.58*(L8))</f>
        <v>23313.052999999996</v>
      </c>
      <c r="K633" s="20">
        <f>(4462.84*(L8))</f>
        <v>23876.194</v>
      </c>
      <c r="L633" s="20">
        <f>(4528.63*(L8))</f>
        <v>24228.1705</v>
      </c>
      <c r="M633" s="20">
        <f>(4607.58*(L8))</f>
        <v>24650.552999999996</v>
      </c>
      <c r="N633" s="20">
        <f>(4699.68*(L8))</f>
        <v>25143.288</v>
      </c>
      <c r="O633" s="20">
        <f>(4831.26*(L8))</f>
        <v>25847.240999999998</v>
      </c>
      <c r="P633" s="20">
        <f>(4897.05*(L8))</f>
        <v>26199.217499999999</v>
      </c>
      <c r="Q633" s="20">
        <f>(5160.21*(L8))</f>
        <v>27607.123499999998</v>
      </c>
    </row>
    <row r="634" spans="1:17" ht="12.75" customHeight="1" x14ac:dyDescent="0.2">
      <c r="A634" s="6"/>
      <c r="B634" s="10" t="s">
        <v>916</v>
      </c>
      <c r="C634" s="20" t="s">
        <v>292</v>
      </c>
      <c r="D634" s="20" t="s">
        <v>149</v>
      </c>
      <c r="E634" s="20" t="s">
        <v>697</v>
      </c>
      <c r="F634" s="20" t="s">
        <v>276</v>
      </c>
      <c r="G634" s="20" t="s">
        <v>42</v>
      </c>
      <c r="H634" s="20">
        <f>(4448.72*(L8))</f>
        <v>23800.651999999998</v>
      </c>
      <c r="I634" s="20">
        <f>(4518.9*(L8))</f>
        <v>24176.114999999998</v>
      </c>
      <c r="J634" s="20">
        <f>(4561.01*(L8))</f>
        <v>24401.4035</v>
      </c>
      <c r="K634" s="20">
        <f>(4673.29*(L8))</f>
        <v>25002.101499999997</v>
      </c>
      <c r="L634" s="20">
        <f>(4743.46*(L8))</f>
        <v>25377.510999999999</v>
      </c>
      <c r="M634" s="20">
        <f>(4827.67*(L8))</f>
        <v>25828.034499999998</v>
      </c>
      <c r="N634" s="20">
        <f>(4925.92*(L8))</f>
        <v>26353.671999999999</v>
      </c>
      <c r="O634" s="20">
        <f>(5066.27*(L8))</f>
        <v>27104.5445</v>
      </c>
      <c r="P634" s="20">
        <f>(5136.44*(L8))</f>
        <v>27479.953999999994</v>
      </c>
      <c r="Q634" s="20">
        <f>(5417.15*(L8))</f>
        <v>28981.752499999995</v>
      </c>
    </row>
    <row r="635" spans="1:17" ht="12.75" customHeight="1" x14ac:dyDescent="0.2">
      <c r="A635" s="6"/>
      <c r="B635" s="10" t="s">
        <v>917</v>
      </c>
      <c r="C635" s="20" t="s">
        <v>273</v>
      </c>
      <c r="D635" s="20" t="s">
        <v>149</v>
      </c>
      <c r="E635" s="20" t="s">
        <v>697</v>
      </c>
      <c r="F635" s="20" t="s">
        <v>276</v>
      </c>
      <c r="G635" s="20" t="s">
        <v>262</v>
      </c>
      <c r="H635" s="20">
        <f>(4639.98*(L8))</f>
        <v>24823.892999999996</v>
      </c>
      <c r="I635" s="20">
        <f>(4714.54*(L8))</f>
        <v>25222.788999999997</v>
      </c>
      <c r="J635" s="20">
        <f>(4759.28*(L8))</f>
        <v>25462.147999999997</v>
      </c>
      <c r="K635" s="20">
        <f>(4878.57*(L8))</f>
        <v>26100.349499999997</v>
      </c>
      <c r="L635" s="20">
        <f>(4953.14*(L8))</f>
        <v>26499.298999999999</v>
      </c>
      <c r="M635" s="20">
        <f>(5042.61*(L8))</f>
        <v>26977.963499999998</v>
      </c>
      <c r="N635" s="20">
        <f>(5146.99*(L8))</f>
        <v>27536.396499999995</v>
      </c>
      <c r="O635" s="20">
        <f>(5296.12*(L8))</f>
        <v>28334.241999999998</v>
      </c>
      <c r="P635" s="20">
        <f>(5370.68*(L8))</f>
        <v>28733.137999999999</v>
      </c>
      <c r="Q635" s="20">
        <f>(5668.92*(L8))</f>
        <v>30328.721999999998</v>
      </c>
    </row>
    <row r="636" spans="1:17" ht="12.75" customHeight="1" x14ac:dyDescent="0.2">
      <c r="A636" s="6"/>
      <c r="B636" s="10" t="s">
        <v>918</v>
      </c>
      <c r="C636" s="20" t="s">
        <v>278</v>
      </c>
      <c r="D636" s="20" t="s">
        <v>149</v>
      </c>
      <c r="E636" s="20" t="s">
        <v>697</v>
      </c>
      <c r="F636" s="20" t="s">
        <v>276</v>
      </c>
      <c r="G636" s="20" t="s">
        <v>152</v>
      </c>
      <c r="H636" s="20">
        <f>(4832.91*(L8))</f>
        <v>25856.068499999998</v>
      </c>
      <c r="I636" s="20">
        <f>(4911.86*(L8))</f>
        <v>26278.450999999997</v>
      </c>
      <c r="J636" s="20">
        <f>(4959.23*(L8))</f>
        <v>26531.880499999996</v>
      </c>
      <c r="K636" s="20">
        <f>(5085.55*(L8))</f>
        <v>27207.692499999997</v>
      </c>
      <c r="L636" s="20">
        <f>(5164.49*(L8))</f>
        <v>27630.021499999995</v>
      </c>
      <c r="M636" s="20">
        <f>(5259.23*(L8))</f>
        <v>28136.880499999996</v>
      </c>
      <c r="N636" s="20">
        <f>(5369.76*(L8))</f>
        <v>28728.216</v>
      </c>
      <c r="O636" s="20">
        <f>(5527.65*(L8))</f>
        <v>29572.927499999994</v>
      </c>
      <c r="P636" s="20">
        <f>(5606.6*(L8))</f>
        <v>29995.31</v>
      </c>
      <c r="Q636" s="20">
        <f>(5922.39*(L8))</f>
        <v>31684.786499999998</v>
      </c>
    </row>
    <row r="637" spans="1:17" ht="12.75" customHeight="1" x14ac:dyDescent="0.2">
      <c r="A637" s="6"/>
      <c r="B637" s="10" t="s">
        <v>919</v>
      </c>
      <c r="C637" s="20" t="s">
        <v>280</v>
      </c>
      <c r="D637" s="20" t="s">
        <v>149</v>
      </c>
      <c r="E637" s="20" t="s">
        <v>697</v>
      </c>
      <c r="F637" s="20" t="s">
        <v>276</v>
      </c>
      <c r="G637" s="20" t="s">
        <v>166</v>
      </c>
      <c r="H637" s="20">
        <f>(5054.18*(L8))</f>
        <v>27039.863000000001</v>
      </c>
      <c r="I637" s="20">
        <f>(5146.28*(L8))</f>
        <v>27532.597999999998</v>
      </c>
      <c r="J637" s="20">
        <f>(5201.55*(L8))</f>
        <v>27828.2925</v>
      </c>
      <c r="K637" s="20">
        <f>(5348.91*(L8))</f>
        <v>28616.668499999996</v>
      </c>
      <c r="L637" s="20">
        <f>(5441.02*(L8))</f>
        <v>29109.457000000002</v>
      </c>
      <c r="M637" s="20">
        <f>(5551.55*(L8))</f>
        <v>29700.7925</v>
      </c>
      <c r="N637" s="20">
        <f>(5680.49*(L8))</f>
        <v>30390.621499999997</v>
      </c>
      <c r="O637" s="20">
        <f>(5864.7*(L8))</f>
        <v>31376.144999999997</v>
      </c>
      <c r="P637" s="20">
        <f>(5956.81*(L8))</f>
        <v>31868.933499999999</v>
      </c>
      <c r="Q637" s="20">
        <f>(6325.23*(L8))</f>
        <v>33839.980499999998</v>
      </c>
    </row>
    <row r="638" spans="1:17" ht="12.75" customHeight="1" x14ac:dyDescent="0.2">
      <c r="A638" s="6"/>
      <c r="B638" s="10" t="s">
        <v>920</v>
      </c>
      <c r="C638" s="20" t="s">
        <v>236</v>
      </c>
      <c r="D638" s="20" t="s">
        <v>149</v>
      </c>
      <c r="E638" s="20" t="s">
        <v>697</v>
      </c>
      <c r="F638" s="20" t="s">
        <v>276</v>
      </c>
      <c r="G638" s="20" t="s">
        <v>154</v>
      </c>
      <c r="H638" s="20">
        <f>(5225.19*(L8))</f>
        <v>27954.766499999994</v>
      </c>
      <c r="I638" s="20">
        <f>(5308.52*(L8))</f>
        <v>28400.582000000002</v>
      </c>
      <c r="J638" s="20">
        <f>(5358.52*(L8))</f>
        <v>28668.082000000002</v>
      </c>
      <c r="K638" s="20">
        <f>(5491.85*(L8))</f>
        <v>29381.397499999999</v>
      </c>
      <c r="L638" s="20">
        <f>(5575.19*(L8))</f>
        <v>29827.266499999994</v>
      </c>
      <c r="M638" s="20">
        <f>(5675.19*(L8))</f>
        <v>30362.266499999994</v>
      </c>
      <c r="N638" s="20">
        <f>(5791.85*(L8))</f>
        <v>30986.397499999999</v>
      </c>
      <c r="O638" s="20">
        <f>(5958.52*(L8))</f>
        <v>31878.081999999999</v>
      </c>
      <c r="P638" s="20">
        <f>(6041.85*(L8))</f>
        <v>32323.897499999999</v>
      </c>
      <c r="Q638" s="20">
        <f>(6375.19*(L8))</f>
        <v>34107.266499999998</v>
      </c>
    </row>
    <row r="639" spans="1:17" ht="12.75" customHeight="1" x14ac:dyDescent="0.2">
      <c r="A639" s="6"/>
      <c r="B639" s="10" t="s">
        <v>921</v>
      </c>
      <c r="C639" s="20" t="s">
        <v>278</v>
      </c>
      <c r="D639" s="20" t="s">
        <v>149</v>
      </c>
      <c r="E639" s="20" t="s">
        <v>697</v>
      </c>
      <c r="F639" s="20" t="s">
        <v>276</v>
      </c>
      <c r="G639" s="20" t="s">
        <v>152</v>
      </c>
      <c r="H639" s="20">
        <f>(4997.36*(L8))</f>
        <v>26735.875999999997</v>
      </c>
      <c r="I639" s="20">
        <f>(5067.53*(L8))</f>
        <v>27111.285499999998</v>
      </c>
      <c r="J639" s="20">
        <f>(5109.64*(L8))</f>
        <v>27336.574000000001</v>
      </c>
      <c r="K639" s="20">
        <f>(5221.92*(L8))</f>
        <v>27937.271999999997</v>
      </c>
      <c r="L639" s="20">
        <f>(5292.09*(L8))</f>
        <v>28312.681499999999</v>
      </c>
      <c r="M639" s="20">
        <f>(5376.3*(L8))</f>
        <v>28763.204999999998</v>
      </c>
      <c r="N639" s="20">
        <f>(5474.55*(L8))</f>
        <v>29288.842499999999</v>
      </c>
      <c r="O639" s="20">
        <f>(5614.9*(L8))</f>
        <v>30039.714999999997</v>
      </c>
      <c r="P639" s="20">
        <f>(5685.08*(L8))</f>
        <v>30415.177999999996</v>
      </c>
      <c r="Q639" s="20">
        <f>(5965.78*(L8))</f>
        <v>31916.922999999995</v>
      </c>
    </row>
    <row r="640" spans="1:17" ht="12.75" customHeight="1" x14ac:dyDescent="0.2">
      <c r="A640" s="6"/>
      <c r="B640" s="10" t="s">
        <v>922</v>
      </c>
      <c r="C640" s="20" t="s">
        <v>280</v>
      </c>
      <c r="D640" s="20" t="s">
        <v>149</v>
      </c>
      <c r="E640" s="20" t="s">
        <v>697</v>
      </c>
      <c r="F640" s="20" t="s">
        <v>276</v>
      </c>
      <c r="G640" s="20" t="s">
        <v>166</v>
      </c>
      <c r="H640" s="20">
        <f>(5275.38*(L8))</f>
        <v>28223.282999999999</v>
      </c>
      <c r="I640" s="20">
        <f>(5358.71*(L8))</f>
        <v>28669.0985</v>
      </c>
      <c r="J640" s="20">
        <f>(5408.71*(L8))</f>
        <v>28936.5985</v>
      </c>
      <c r="K640" s="20">
        <f>(5542.05*(L8))</f>
        <v>29649.967499999999</v>
      </c>
      <c r="L640" s="20">
        <f>(5625.38*(L8))</f>
        <v>30095.782999999999</v>
      </c>
      <c r="M640" s="20">
        <f>(5725.38*(L8))</f>
        <v>30630.782999999999</v>
      </c>
      <c r="N640" s="20">
        <f>(5842.05*(L8))</f>
        <v>31254.967499999999</v>
      </c>
      <c r="O640" s="20">
        <f>(6008.71*(L8))</f>
        <v>32146.598499999996</v>
      </c>
      <c r="P640" s="20">
        <f>(6092.05*(L8))</f>
        <v>32592.467499999999</v>
      </c>
      <c r="Q640" s="20">
        <f>(6425.38*(L8))</f>
        <v>34375.782999999996</v>
      </c>
    </row>
    <row r="641" spans="1:17" ht="12.75" customHeight="1" x14ac:dyDescent="0.2">
      <c r="A641" s="6"/>
      <c r="B641" s="10" t="s">
        <v>923</v>
      </c>
      <c r="C641" s="20" t="s">
        <v>236</v>
      </c>
      <c r="D641" s="20" t="s">
        <v>149</v>
      </c>
      <c r="E641" s="20" t="s">
        <v>697</v>
      </c>
      <c r="F641" s="20" t="s">
        <v>276</v>
      </c>
      <c r="G641" s="20" t="s">
        <v>154</v>
      </c>
      <c r="H641" s="20">
        <f>(5511.72*(L8))</f>
        <v>29487.702000000001</v>
      </c>
      <c r="I641" s="20">
        <f>(5599.44*(L8))</f>
        <v>29957.003999999997</v>
      </c>
      <c r="J641" s="20">
        <f>(5652.07*(L8))</f>
        <v>30238.574499999995</v>
      </c>
      <c r="K641" s="20">
        <f>(5792.42*(L8))</f>
        <v>30989.447</v>
      </c>
      <c r="L641" s="20">
        <f>(5880.14*(L8))</f>
        <v>31458.749</v>
      </c>
      <c r="M641" s="20">
        <f>(5985.41*(L8))</f>
        <v>32021.943499999998</v>
      </c>
      <c r="N641" s="20">
        <f>(6108.21*(L8))</f>
        <v>32678.923499999997</v>
      </c>
      <c r="O641" s="20">
        <f>(6283.65*(L8))</f>
        <v>33617.527499999997</v>
      </c>
      <c r="P641" s="20">
        <f>(6371.37*(L8))</f>
        <v>34086.8295</v>
      </c>
      <c r="Q641" s="20">
        <f>(6722.25*(L8))</f>
        <v>35964.037499999999</v>
      </c>
    </row>
    <row r="642" spans="1:17" ht="12.75" customHeight="1" x14ac:dyDescent="0.2">
      <c r="A642" s="6"/>
      <c r="B642" s="10" t="s">
        <v>924</v>
      </c>
      <c r="C642" s="20" t="s">
        <v>282</v>
      </c>
      <c r="D642" s="20" t="s">
        <v>149</v>
      </c>
      <c r="E642" s="20" t="s">
        <v>697</v>
      </c>
      <c r="F642" s="20" t="s">
        <v>276</v>
      </c>
      <c r="G642" s="20" t="s">
        <v>157</v>
      </c>
      <c r="H642" s="20">
        <f>(5746.28*(L8))</f>
        <v>30742.597999999998</v>
      </c>
      <c r="I642" s="20">
        <f>(5838.39*(L8))</f>
        <v>31235.386500000001</v>
      </c>
      <c r="J642" s="20">
        <f>(5893.65*(L8))</f>
        <v>31531.027499999997</v>
      </c>
      <c r="K642" s="20">
        <f>(6041.02*(L8))</f>
        <v>32319.456999999999</v>
      </c>
      <c r="L642" s="20">
        <f>(6133.12*(L8))</f>
        <v>32812.191999999995</v>
      </c>
      <c r="M642" s="20">
        <f>(6243.65*(L8))</f>
        <v>33403.527499999997</v>
      </c>
      <c r="N642" s="20">
        <f>(6372.6*(L8))</f>
        <v>34093.409999999996</v>
      </c>
      <c r="O642" s="20">
        <f>(6556.81*(L8))</f>
        <v>35078.933499999999</v>
      </c>
      <c r="P642" s="20">
        <f>(6648.91*(L8))</f>
        <v>35571.6685</v>
      </c>
      <c r="Q642" s="20">
        <f>(7017.34*(L8))</f>
        <v>37542.769</v>
      </c>
    </row>
    <row r="643" spans="1:17" ht="12.75" customHeight="1" x14ac:dyDescent="0.2">
      <c r="A643" s="6"/>
      <c r="B643" s="10" t="s">
        <v>925</v>
      </c>
      <c r="C643" s="20" t="s">
        <v>285</v>
      </c>
      <c r="D643" s="20" t="s">
        <v>149</v>
      </c>
      <c r="E643" s="20" t="s">
        <v>697</v>
      </c>
      <c r="F643" s="20" t="s">
        <v>276</v>
      </c>
      <c r="G643" s="20" t="s">
        <v>160</v>
      </c>
      <c r="H643" s="20">
        <f>(5972.76*(L8))</f>
        <v>31954.266</v>
      </c>
      <c r="I643" s="20">
        <f>(6069.26*(L8))</f>
        <v>32470.540999999997</v>
      </c>
      <c r="J643" s="20">
        <f>(6127.15*(L8))</f>
        <v>32780.252499999995</v>
      </c>
      <c r="K643" s="20">
        <f>(6281.54*(L8))</f>
        <v>33606.238999999994</v>
      </c>
      <c r="L643" s="20">
        <f>(6378.03*(L8))</f>
        <v>34122.460499999994</v>
      </c>
      <c r="M643" s="20">
        <f>(6493.82*(L8))</f>
        <v>34741.936999999998</v>
      </c>
      <c r="N643" s="20">
        <f>(6628.91*(L8))</f>
        <v>35464.6685</v>
      </c>
      <c r="O643" s="20">
        <f>(6821.89*(L8))</f>
        <v>36497.111499999999</v>
      </c>
      <c r="P643" s="20">
        <f>(6918.38*(L8))</f>
        <v>37013.332999999999</v>
      </c>
      <c r="Q643" s="20">
        <f>(7304.34*(L8))</f>
        <v>39078.218999999997</v>
      </c>
    </row>
    <row r="644" spans="1:17" ht="12.75" customHeight="1" x14ac:dyDescent="0.2">
      <c r="A644" s="6"/>
      <c r="B644" s="10" t="s">
        <v>926</v>
      </c>
      <c r="C644" s="20" t="s">
        <v>292</v>
      </c>
      <c r="D644" s="20" t="s">
        <v>149</v>
      </c>
      <c r="E644" s="20" t="s">
        <v>697</v>
      </c>
      <c r="F644" s="20" t="s">
        <v>276</v>
      </c>
      <c r="G644" s="20" t="s">
        <v>152</v>
      </c>
      <c r="H644" s="20">
        <f>(4508.95*(L8))</f>
        <v>24122.882499999996</v>
      </c>
      <c r="I644" s="20">
        <f>(4579.13*(L8))</f>
        <v>24498.345499999999</v>
      </c>
      <c r="J644" s="20">
        <f>(4621.23*(L8))</f>
        <v>24723.580499999996</v>
      </c>
      <c r="K644" s="20">
        <f>(4733.51*(L8))</f>
        <v>25324.2785</v>
      </c>
      <c r="L644" s="20">
        <f>(4803.69*(L8))</f>
        <v>25699.741499999996</v>
      </c>
      <c r="M644" s="20">
        <f>(4887.9*(L8))</f>
        <v>26150.264999999996</v>
      </c>
      <c r="N644" s="20">
        <f>(4986.15*(L8))</f>
        <v>26675.902499999997</v>
      </c>
      <c r="O644" s="20">
        <f>(5126.5*(L8))</f>
        <v>27426.774999999998</v>
      </c>
      <c r="P644" s="20">
        <f>(5196.67*(L8))</f>
        <v>27802.184499999999</v>
      </c>
      <c r="Q644" s="20">
        <f>(5477.37*(L8))</f>
        <v>29303.929499999998</v>
      </c>
    </row>
    <row r="645" spans="1:17" ht="12.75" customHeight="1" x14ac:dyDescent="0.2">
      <c r="A645" s="6"/>
      <c r="B645" s="10" t="s">
        <v>927</v>
      </c>
      <c r="C645" s="20" t="s">
        <v>273</v>
      </c>
      <c r="D645" s="20" t="s">
        <v>149</v>
      </c>
      <c r="E645" s="20" t="s">
        <v>697</v>
      </c>
      <c r="F645" s="20" t="s">
        <v>276</v>
      </c>
      <c r="G645" s="20" t="s">
        <v>166</v>
      </c>
      <c r="H645" s="20">
        <f>(4761.64*(L8))</f>
        <v>25474.774000000001</v>
      </c>
      <c r="I645" s="20">
        <f>(4844.98*(L8))</f>
        <v>25920.642999999996</v>
      </c>
      <c r="J645" s="20">
        <f>(4894.98*(L8))</f>
        <v>26188.142999999996</v>
      </c>
      <c r="K645" s="20">
        <f>(5028.31*(L8))</f>
        <v>26901.458500000001</v>
      </c>
      <c r="L645" s="20">
        <f>(5111.64*(L8))</f>
        <v>27347.274000000001</v>
      </c>
      <c r="M645" s="20">
        <f>(5211.64*(L8))</f>
        <v>27882.274000000001</v>
      </c>
      <c r="N645" s="20">
        <f>(5328.31*(L8))</f>
        <v>28506.458500000001</v>
      </c>
      <c r="O645" s="20">
        <f>(5494.98*(L8))</f>
        <v>29398.142999999996</v>
      </c>
      <c r="P645" s="20">
        <f>(5578.31*(L8))</f>
        <v>29843.958500000001</v>
      </c>
      <c r="Q645" s="20">
        <f>(5911.64*(L8))</f>
        <v>31627.274000000001</v>
      </c>
    </row>
    <row r="646" spans="1:17" ht="12.75" customHeight="1" x14ac:dyDescent="0.2">
      <c r="A646" s="6"/>
      <c r="B646" s="10" t="s">
        <v>928</v>
      </c>
      <c r="C646" s="20" t="s">
        <v>278</v>
      </c>
      <c r="D646" s="20" t="s">
        <v>149</v>
      </c>
      <c r="E646" s="20" t="s">
        <v>697</v>
      </c>
      <c r="F646" s="20" t="s">
        <v>276</v>
      </c>
      <c r="G646" s="20" t="s">
        <v>154</v>
      </c>
      <c r="H646" s="20">
        <f>(5029.63*(L8))</f>
        <v>26908.520499999999</v>
      </c>
      <c r="I646" s="20">
        <f>(5117.35*(L8))</f>
        <v>27377.822499999998</v>
      </c>
      <c r="J646" s="20">
        <f>(5169.98*(L8))</f>
        <v>27659.392999999996</v>
      </c>
      <c r="K646" s="20">
        <f>(5310.33*(L8))</f>
        <v>28410.265499999998</v>
      </c>
      <c r="L646" s="20">
        <f>(5398.05*(L8))</f>
        <v>28879.567499999997</v>
      </c>
      <c r="M646" s="20">
        <f>(5503.32*(L8))</f>
        <v>29442.761999999995</v>
      </c>
      <c r="N646" s="20">
        <f>(5626.12*(L8))</f>
        <v>30099.741999999998</v>
      </c>
      <c r="O646" s="20">
        <f>(5801.56*(L8))</f>
        <v>31038.346000000001</v>
      </c>
      <c r="P646" s="20">
        <f>(5889.28*(L8))</f>
        <v>31507.647999999997</v>
      </c>
      <c r="Q646" s="20">
        <f>(6240.16*(L8))</f>
        <v>33384.856</v>
      </c>
    </row>
    <row r="647" spans="1:17" ht="12.75" customHeight="1" x14ac:dyDescent="0.2">
      <c r="A647" s="6"/>
      <c r="B647" s="10" t="s">
        <v>929</v>
      </c>
      <c r="C647" s="20" t="s">
        <v>280</v>
      </c>
      <c r="D647" s="20" t="s">
        <v>149</v>
      </c>
      <c r="E647" s="20" t="s">
        <v>697</v>
      </c>
      <c r="F647" s="20" t="s">
        <v>276</v>
      </c>
      <c r="G647" s="20" t="s">
        <v>157</v>
      </c>
      <c r="H647" s="20">
        <f>(5257.88*(L8))</f>
        <v>28129.657999999999</v>
      </c>
      <c r="I647" s="20">
        <f>(5349.98*(L8))</f>
        <v>28622.392999999996</v>
      </c>
      <c r="J647" s="20">
        <f>(5405.25*(L8))</f>
        <v>28918.087499999998</v>
      </c>
      <c r="K647" s="20">
        <f>(5552.62*(L8))</f>
        <v>29706.516999999996</v>
      </c>
      <c r="L647" s="20">
        <f>(5644.72*(L8))</f>
        <v>30199.252</v>
      </c>
      <c r="M647" s="20">
        <f>(5755.25*(L8))</f>
        <v>30790.587499999998</v>
      </c>
      <c r="N647" s="20">
        <f>(5884.2*(L8))</f>
        <v>31480.469999999998</v>
      </c>
      <c r="O647" s="20">
        <f>(6068.41*(L8))</f>
        <v>32465.993499999997</v>
      </c>
      <c r="P647" s="20">
        <f>(6160.51*(L8))</f>
        <v>32958.728499999997</v>
      </c>
      <c r="Q647" s="20">
        <f>(6528.93*(L8))</f>
        <v>34929.775499999996</v>
      </c>
    </row>
    <row r="648" spans="1:17" ht="12.75" customHeight="1" x14ac:dyDescent="0.2">
      <c r="A648" s="6"/>
      <c r="B648" s="10" t="s">
        <v>930</v>
      </c>
      <c r="C648" s="20" t="s">
        <v>236</v>
      </c>
      <c r="D648" s="20" t="s">
        <v>149</v>
      </c>
      <c r="E648" s="20" t="s">
        <v>697</v>
      </c>
      <c r="F648" s="20" t="s">
        <v>276</v>
      </c>
      <c r="G648" s="20" t="s">
        <v>160</v>
      </c>
      <c r="H648" s="20">
        <f>(5484.36*(L8))</f>
        <v>29341.325999999997</v>
      </c>
      <c r="I648" s="20">
        <f>(5580.85*(L8))</f>
        <v>29857.547500000001</v>
      </c>
      <c r="J648" s="20">
        <f>(5638.75*(L8))</f>
        <v>30167.312499999996</v>
      </c>
      <c r="K648" s="20">
        <f>(5793.13*(L8))</f>
        <v>30993.245499999997</v>
      </c>
      <c r="L648" s="20">
        <f>(5889.62*(L8))</f>
        <v>31509.466999999997</v>
      </c>
      <c r="M648" s="20">
        <f>(6005.41*(L8))</f>
        <v>32128.943499999998</v>
      </c>
      <c r="N648" s="20">
        <f>(6140.5*(L8))</f>
        <v>32851.674999999996</v>
      </c>
      <c r="O648" s="20">
        <f>(6333.48*(L8))</f>
        <v>33884.117999999995</v>
      </c>
      <c r="P648" s="20">
        <f>(6429.98*(L8))</f>
        <v>34400.392999999996</v>
      </c>
      <c r="Q648" s="20">
        <f>(6815.94*(L8))</f>
        <v>36465.278999999995</v>
      </c>
    </row>
    <row r="649" spans="1:17" ht="12.75" customHeight="1" x14ac:dyDescent="0.2">
      <c r="A649" s="6"/>
      <c r="B649" s="10" t="s">
        <v>931</v>
      </c>
      <c r="C649" s="20" t="s">
        <v>932</v>
      </c>
      <c r="D649" s="20" t="s">
        <v>149</v>
      </c>
      <c r="E649" s="20" t="s">
        <v>697</v>
      </c>
      <c r="F649" s="20" t="s">
        <v>276</v>
      </c>
      <c r="G649" s="20" t="s">
        <v>166</v>
      </c>
      <c r="H649" s="20">
        <f>(4029.12*(L8))</f>
        <v>21555.791999999998</v>
      </c>
      <c r="I649" s="20">
        <f>(4112.45*(L8))</f>
        <v>22001.607499999998</v>
      </c>
      <c r="J649" s="20">
        <f>(4162.45*(L8))</f>
        <v>22269.107499999998</v>
      </c>
      <c r="K649" s="20">
        <f>(4295.79*(L8))</f>
        <v>22982.476499999997</v>
      </c>
      <c r="L649" s="20">
        <f>(4379.12*(L8))</f>
        <v>23428.291999999998</v>
      </c>
      <c r="M649" s="20">
        <f>(4479.12*(L8))</f>
        <v>23963.291999999998</v>
      </c>
      <c r="N649" s="20">
        <f>(4595.79*(L8))</f>
        <v>24587.476499999997</v>
      </c>
      <c r="O649" s="20">
        <f>(4762.45*(L8))</f>
        <v>25479.107499999998</v>
      </c>
      <c r="P649" s="20">
        <f>(4845.79*(L8))</f>
        <v>25924.976499999997</v>
      </c>
      <c r="Q649" s="20">
        <f>(5179.12*(L8))</f>
        <v>27708.291999999998</v>
      </c>
    </row>
    <row r="650" spans="1:17" ht="12.75" customHeight="1" x14ac:dyDescent="0.2">
      <c r="A650" s="6"/>
      <c r="B650" s="10" t="s">
        <v>933</v>
      </c>
      <c r="C650" s="20" t="s">
        <v>934</v>
      </c>
      <c r="D650" s="20" t="s">
        <v>149</v>
      </c>
      <c r="E650" s="20" t="s">
        <v>697</v>
      </c>
      <c r="F650" s="20" t="s">
        <v>276</v>
      </c>
      <c r="G650" s="20" t="s">
        <v>154</v>
      </c>
      <c r="H650" s="20">
        <f>(4206.16*(L8))</f>
        <v>22502.955999999998</v>
      </c>
      <c r="I650" s="20">
        <f>(4293.88*(L8))</f>
        <v>22972.257999999998</v>
      </c>
      <c r="J650" s="20">
        <f>(4346.51*(L8))</f>
        <v>23253.8285</v>
      </c>
      <c r="K650" s="20">
        <f>(4486.86*(L8))</f>
        <v>24004.700999999997</v>
      </c>
      <c r="L650" s="20">
        <f>(4574.58*(L8))</f>
        <v>24474.002999999997</v>
      </c>
      <c r="M650" s="20">
        <f>(4679.85*(L8))</f>
        <v>25037.197500000002</v>
      </c>
      <c r="N650" s="20">
        <f>(4802.65*(L8))</f>
        <v>25694.177499999998</v>
      </c>
      <c r="O650" s="20">
        <f>(4978.09*(L8))</f>
        <v>26632.781499999997</v>
      </c>
      <c r="P650" s="20">
        <f>(5065.81*(L8))</f>
        <v>27102.083500000001</v>
      </c>
      <c r="Q650" s="20">
        <f>(5416.69*(L8))</f>
        <v>28979.291499999996</v>
      </c>
    </row>
    <row r="651" spans="1:17" ht="12.75" customHeight="1" x14ac:dyDescent="0.2">
      <c r="A651" s="6"/>
      <c r="B651" s="10" t="s">
        <v>935</v>
      </c>
      <c r="C651" s="20" t="s">
        <v>307</v>
      </c>
      <c r="D651" s="20" t="s">
        <v>149</v>
      </c>
      <c r="E651" s="20" t="s">
        <v>697</v>
      </c>
      <c r="F651" s="20" t="s">
        <v>276</v>
      </c>
      <c r="G651" s="20" t="s">
        <v>157</v>
      </c>
      <c r="H651" s="20">
        <f>(4403.43*(L8))</f>
        <v>23558.3505</v>
      </c>
      <c r="I651" s="20">
        <f>(4495.54*(L8))</f>
        <v>24051.138999999999</v>
      </c>
      <c r="J651" s="20">
        <f>(4550.8*(L8))</f>
        <v>24346.78</v>
      </c>
      <c r="K651" s="20">
        <f>(4698.17*(L8))</f>
        <v>25135.209499999997</v>
      </c>
      <c r="L651" s="20">
        <f>(4790.28*(L8))</f>
        <v>25627.997999999996</v>
      </c>
      <c r="M651" s="20">
        <f>(4900.8*(L8))</f>
        <v>26219.279999999999</v>
      </c>
      <c r="N651" s="20">
        <f>(5029.75*(L8))</f>
        <v>26909.162499999999</v>
      </c>
      <c r="O651" s="20">
        <f>(5213.96*(L8))</f>
        <v>27894.685999999998</v>
      </c>
      <c r="P651" s="20">
        <f>(5306.07*(L8))</f>
        <v>28387.474499999997</v>
      </c>
      <c r="Q651" s="20">
        <f>(5674.49*(L8))</f>
        <v>30358.521499999995</v>
      </c>
    </row>
    <row r="652" spans="1:17" ht="12.75" customHeight="1" x14ac:dyDescent="0.2">
      <c r="A652" s="6"/>
      <c r="B652" s="10" t="s">
        <v>936</v>
      </c>
      <c r="C652" s="20" t="s">
        <v>937</v>
      </c>
      <c r="D652" s="20" t="s">
        <v>149</v>
      </c>
      <c r="E652" s="20" t="s">
        <v>697</v>
      </c>
      <c r="F652" s="20" t="s">
        <v>276</v>
      </c>
      <c r="G652" s="20" t="s">
        <v>160</v>
      </c>
      <c r="H652" s="20">
        <f>(4575.33*(L8))</f>
        <v>24478.015499999998</v>
      </c>
      <c r="I652" s="20">
        <f>(4671.83*(L8))</f>
        <v>24994.290499999999</v>
      </c>
      <c r="J652" s="20">
        <f>(4729.72*(L8))</f>
        <v>25304.002</v>
      </c>
      <c r="K652" s="20">
        <f>(4884.11*(L8))</f>
        <v>26129.988499999996</v>
      </c>
      <c r="L652" s="20">
        <f>(4980.6*(L8))</f>
        <v>26646.21</v>
      </c>
      <c r="M652" s="20">
        <f>(5096.39*(L8))</f>
        <v>27265.6865</v>
      </c>
      <c r="N652" s="20">
        <f>(5231.48*(L8))</f>
        <v>27988.417999999994</v>
      </c>
      <c r="O652" s="20">
        <f>(5424.46*(L8))</f>
        <v>29020.860999999997</v>
      </c>
      <c r="P652" s="20">
        <f>(5520.95*(L8))</f>
        <v>29537.082499999997</v>
      </c>
      <c r="Q652" s="20">
        <f>(5906.91*(L8))</f>
        <v>31601.968499999995</v>
      </c>
    </row>
    <row r="653" spans="1:17" ht="12.75" customHeight="1" x14ac:dyDescent="0.2">
      <c r="A653" s="6"/>
      <c r="B653" s="10" t="s">
        <v>938</v>
      </c>
      <c r="C653" s="20" t="s">
        <v>939</v>
      </c>
      <c r="D653" s="20" t="s">
        <v>149</v>
      </c>
      <c r="E653" s="20" t="s">
        <v>697</v>
      </c>
      <c r="F653" s="20" t="s">
        <v>276</v>
      </c>
      <c r="G653" s="20" t="s">
        <v>163</v>
      </c>
      <c r="H653" s="20">
        <f>(4786.11*(L8))</f>
        <v>25605.688499999997</v>
      </c>
      <c r="I653" s="20">
        <f>(4886.98*(L8))</f>
        <v>26145.342999999997</v>
      </c>
      <c r="J653" s="20">
        <f>(4947.51*(L8))</f>
        <v>26469.178499999998</v>
      </c>
      <c r="K653" s="20">
        <f>(5108.91*(L8))</f>
        <v>27332.668499999996</v>
      </c>
      <c r="L653" s="20">
        <f>(5209.79*(L8))</f>
        <v>27872.376499999998</v>
      </c>
      <c r="M653" s="20">
        <f>(5330.84*(L8))</f>
        <v>28519.993999999999</v>
      </c>
      <c r="N653" s="20">
        <f>(5472.07*(L8))</f>
        <v>29275.574499999995</v>
      </c>
      <c r="O653" s="20">
        <f>(5673.83*(L8))</f>
        <v>30354.990499999996</v>
      </c>
      <c r="P653" s="20">
        <f>(5774.7*(L8))</f>
        <v>30894.644999999997</v>
      </c>
      <c r="Q653" s="20">
        <f>(6178.21*(L8))</f>
        <v>33053.423499999997</v>
      </c>
    </row>
    <row r="654" spans="1:17" ht="12.75" customHeight="1" x14ac:dyDescent="0.2">
      <c r="A654" s="6"/>
      <c r="B654" s="10" t="s">
        <v>940</v>
      </c>
      <c r="C654" s="20" t="s">
        <v>941</v>
      </c>
      <c r="D654" s="20" t="s">
        <v>149</v>
      </c>
      <c r="E654" s="20" t="s">
        <v>697</v>
      </c>
      <c r="F654" s="20" t="s">
        <v>276</v>
      </c>
      <c r="G654" s="20" t="s">
        <v>182</v>
      </c>
      <c r="H654" s="20">
        <f>(4966.38*(L8))</f>
        <v>26570.132999999998</v>
      </c>
      <c r="I654" s="20">
        <f>(5071.64*(L8))</f>
        <v>27133.274000000001</v>
      </c>
      <c r="J654" s="20">
        <f>(5134.8*(L8))</f>
        <v>27471.18</v>
      </c>
      <c r="K654" s="20">
        <f>(5303.22*(L8))</f>
        <v>28372.226999999999</v>
      </c>
      <c r="L654" s="20">
        <f>(5408.48*(L8))</f>
        <v>28935.367999999995</v>
      </c>
      <c r="M654" s="20">
        <f>(5534.8*(L8))</f>
        <v>29611.18</v>
      </c>
      <c r="N654" s="20">
        <f>(5682.17*(L8))</f>
        <v>30399.609499999999</v>
      </c>
      <c r="O654" s="20">
        <f>(5892.69*(L8))</f>
        <v>31525.891499999994</v>
      </c>
      <c r="P654" s="20">
        <f>(5997.96*(L8))</f>
        <v>32089.085999999999</v>
      </c>
      <c r="Q654" s="20">
        <f>(6419.01*(L8))</f>
        <v>34341.703499999996</v>
      </c>
    </row>
    <row r="655" spans="1:17" ht="12.75" customHeight="1" x14ac:dyDescent="0.2">
      <c r="A655" s="6"/>
      <c r="B655" s="10" t="s">
        <v>942</v>
      </c>
      <c r="C655" s="20" t="s">
        <v>307</v>
      </c>
      <c r="D655" s="20" t="s">
        <v>149</v>
      </c>
      <c r="E655" s="20" t="s">
        <v>697</v>
      </c>
      <c r="F655" s="20" t="s">
        <v>276</v>
      </c>
      <c r="G655" s="20" t="s">
        <v>166</v>
      </c>
      <c r="H655" s="20">
        <f>(4495.23*(L8))</f>
        <v>24049.480499999998</v>
      </c>
      <c r="I655" s="20">
        <f>(4578.56*(L8))</f>
        <v>24495.296000000002</v>
      </c>
      <c r="J655" s="20">
        <f>(4628.56*(L8))</f>
        <v>24762.796000000002</v>
      </c>
      <c r="K655" s="20">
        <f>(4761.89*(L8))</f>
        <v>25476.111499999999</v>
      </c>
      <c r="L655" s="20">
        <f>(4845.23*(L8))</f>
        <v>25921.980499999994</v>
      </c>
      <c r="M655" s="20">
        <f>(4945.23*(L8))</f>
        <v>26456.980499999994</v>
      </c>
      <c r="N655" s="20">
        <f>(5061.89*(L8))</f>
        <v>27081.111499999999</v>
      </c>
      <c r="O655" s="20">
        <f>(5228.56*(L8))</f>
        <v>27972.796000000002</v>
      </c>
      <c r="P655" s="20">
        <f>(5311.89*(L8))</f>
        <v>28418.611499999999</v>
      </c>
      <c r="Q655" s="20">
        <f>(5645.23*(L8))</f>
        <v>30201.980499999994</v>
      </c>
    </row>
    <row r="656" spans="1:17" ht="12.75" customHeight="1" x14ac:dyDescent="0.2">
      <c r="A656" s="6"/>
      <c r="B656" s="10" t="s">
        <v>943</v>
      </c>
      <c r="C656" s="20" t="s">
        <v>937</v>
      </c>
      <c r="D656" s="20" t="s">
        <v>149</v>
      </c>
      <c r="E656" s="20" t="s">
        <v>697</v>
      </c>
      <c r="F656" s="20" t="s">
        <v>276</v>
      </c>
      <c r="G656" s="20" t="s">
        <v>154</v>
      </c>
      <c r="H656" s="20">
        <f>(4691.64*(L8))</f>
        <v>25100.274000000001</v>
      </c>
      <c r="I656" s="20">
        <f>(4779.36*(L8))</f>
        <v>25569.575999999997</v>
      </c>
      <c r="J656" s="20">
        <f>(4831.99*(L8))</f>
        <v>25851.146499999999</v>
      </c>
      <c r="K656" s="20">
        <f>(4972.34*(L8))</f>
        <v>26602.019</v>
      </c>
      <c r="L656" s="20">
        <f>(5060.06*(L8))</f>
        <v>27071.321</v>
      </c>
      <c r="M656" s="20">
        <f>(5165.32*(L8))</f>
        <v>27634.461999999996</v>
      </c>
      <c r="N656" s="20">
        <f>(5288.13*(L8))</f>
        <v>28291.495499999997</v>
      </c>
      <c r="O656" s="20">
        <f>(5463.57*(L8))</f>
        <v>29230.099499999997</v>
      </c>
      <c r="P656" s="20">
        <f>(5551.29*(L8))</f>
        <v>29699.401499999996</v>
      </c>
      <c r="Q656" s="20">
        <f>(5902.16*(L8))</f>
        <v>31576.555999999997</v>
      </c>
    </row>
    <row r="657" spans="1:17" ht="12.75" customHeight="1" x14ac:dyDescent="0.2">
      <c r="A657" s="6"/>
      <c r="B657" s="10" t="s">
        <v>944</v>
      </c>
      <c r="C657" s="20" t="s">
        <v>939</v>
      </c>
      <c r="D657" s="20" t="s">
        <v>149</v>
      </c>
      <c r="E657" s="20" t="s">
        <v>697</v>
      </c>
      <c r="F657" s="20" t="s">
        <v>276</v>
      </c>
      <c r="G657" s="20" t="s">
        <v>157</v>
      </c>
      <c r="H657" s="20">
        <f>(4888.89*(L8))</f>
        <v>26155.5615</v>
      </c>
      <c r="I657" s="20">
        <f>(4980.99*(L8))</f>
        <v>26648.296499999997</v>
      </c>
      <c r="J657" s="20">
        <f>(5036.26*(L8))</f>
        <v>26943.990999999998</v>
      </c>
      <c r="K657" s="20">
        <f>(5183.63*(L8))</f>
        <v>27732.4205</v>
      </c>
      <c r="L657" s="20">
        <f>(5275.73*(L8))</f>
        <v>28225.155499999997</v>
      </c>
      <c r="M657" s="20">
        <f>(5386.26*(L8))</f>
        <v>28816.490999999998</v>
      </c>
      <c r="N657" s="20">
        <f>(5515.21*(L8))</f>
        <v>29506.373499999998</v>
      </c>
      <c r="O657" s="20">
        <f>(5699.42*(L8))</f>
        <v>30491.896999999997</v>
      </c>
      <c r="P657" s="20">
        <f>(5791.52*(L8))</f>
        <v>30984.632000000001</v>
      </c>
      <c r="Q657" s="20">
        <f>(6159.94*(L8))</f>
        <v>32955.678999999996</v>
      </c>
    </row>
    <row r="658" spans="1:17" ht="12.75" customHeight="1" x14ac:dyDescent="0.2">
      <c r="A658" s="6"/>
      <c r="B658" s="10" t="s">
        <v>945</v>
      </c>
      <c r="C658" s="20" t="s">
        <v>941</v>
      </c>
      <c r="D658" s="20" t="s">
        <v>149</v>
      </c>
      <c r="E658" s="20" t="s">
        <v>697</v>
      </c>
      <c r="F658" s="20" t="s">
        <v>276</v>
      </c>
      <c r="G658" s="20" t="s">
        <v>160</v>
      </c>
      <c r="H658" s="20">
        <f>(5087.16*(L8))</f>
        <v>27216.305999999997</v>
      </c>
      <c r="I658" s="20">
        <f>(5183.65*(L8))</f>
        <v>27732.527499999997</v>
      </c>
      <c r="J658" s="20">
        <f>(5241.55*(L8))</f>
        <v>28042.2925</v>
      </c>
      <c r="K658" s="20">
        <f>(5395.93*(L8))</f>
        <v>28868.2255</v>
      </c>
      <c r="L658" s="20">
        <f>(5492.42*(L8))</f>
        <v>29384.447</v>
      </c>
      <c r="M658" s="20">
        <f>(5608.21*(L8))</f>
        <v>30003.923499999997</v>
      </c>
      <c r="N658" s="20">
        <f>(5743.3*(L8))</f>
        <v>30726.654999999999</v>
      </c>
      <c r="O658" s="20">
        <f>(5936.28*(L8))</f>
        <v>31759.097999999998</v>
      </c>
      <c r="P658" s="20">
        <f>(6032.77*(L8))</f>
        <v>32275.319500000001</v>
      </c>
      <c r="Q658" s="20">
        <f>(6418.74*(L8))</f>
        <v>34340.258999999998</v>
      </c>
    </row>
    <row r="659" spans="1:17" ht="12.75" customHeight="1" x14ac:dyDescent="0.2">
      <c r="A659" s="6"/>
      <c r="B659" s="10" t="s">
        <v>946</v>
      </c>
      <c r="C659" s="20" t="s">
        <v>947</v>
      </c>
      <c r="D659" s="20" t="s">
        <v>149</v>
      </c>
      <c r="E659" s="20" t="s">
        <v>697</v>
      </c>
      <c r="F659" s="20" t="s">
        <v>276</v>
      </c>
      <c r="G659" s="20" t="s">
        <v>163</v>
      </c>
      <c r="H659" s="20">
        <f>(5271.58*(L8))</f>
        <v>28202.952999999998</v>
      </c>
      <c r="I659" s="20">
        <f>(5372.46*(L8))</f>
        <v>28742.661</v>
      </c>
      <c r="J659" s="20">
        <f>(5432.98*(L8))</f>
        <v>29066.442999999996</v>
      </c>
      <c r="K659" s="20">
        <f>(5594.39*(L8))</f>
        <v>29929.986499999999</v>
      </c>
      <c r="L659" s="20">
        <f>(5695.27*(L8))</f>
        <v>30469.694500000001</v>
      </c>
      <c r="M659" s="20">
        <f>(5816.32*(L8))</f>
        <v>31117.311999999998</v>
      </c>
      <c r="N659" s="20">
        <f>(5957.55*(L8))</f>
        <v>31872.892499999998</v>
      </c>
      <c r="O659" s="20">
        <f>(6159.3*(L8))</f>
        <v>32952.254999999997</v>
      </c>
      <c r="P659" s="20">
        <f>(6260.18*(L8))</f>
        <v>33491.962999999996</v>
      </c>
      <c r="Q659" s="20">
        <f>(6663.69*(L8))</f>
        <v>35650.741499999996</v>
      </c>
    </row>
    <row r="660" spans="1:17" ht="12.75" customHeight="1" x14ac:dyDescent="0.2">
      <c r="A660" s="6"/>
      <c r="B660" s="10" t="s">
        <v>948</v>
      </c>
      <c r="C660" s="20" t="s">
        <v>949</v>
      </c>
      <c r="D660" s="20" t="s">
        <v>149</v>
      </c>
      <c r="E660" s="20" t="s">
        <v>697</v>
      </c>
      <c r="F660" s="20" t="s">
        <v>276</v>
      </c>
      <c r="G660" s="20" t="s">
        <v>182</v>
      </c>
      <c r="H660" s="20">
        <f>(5451.83*(L8))</f>
        <v>29167.290499999999</v>
      </c>
      <c r="I660" s="20">
        <f>(5557.1*(L8))</f>
        <v>29730.485000000001</v>
      </c>
      <c r="J660" s="20">
        <f>(5620.26*(L8))</f>
        <v>30068.391</v>
      </c>
      <c r="K660" s="20">
        <f>(5788.68*(L8))</f>
        <v>30969.437999999998</v>
      </c>
      <c r="L660" s="20">
        <f>(5893.94*(L8))</f>
        <v>31532.578999999994</v>
      </c>
      <c r="M660" s="20">
        <f>(6020.26*(L8))</f>
        <v>32208.391</v>
      </c>
      <c r="N660" s="20">
        <f>(6167.62*(L8))</f>
        <v>32996.767</v>
      </c>
      <c r="O660" s="20">
        <f>(6378.15*(L8))</f>
        <v>34123.102499999994</v>
      </c>
      <c r="P660" s="20">
        <f>(6483.41*(L8))</f>
        <v>34686.243499999997</v>
      </c>
      <c r="Q660" s="20">
        <f>(6904.47*(L8))</f>
        <v>36938.914499999999</v>
      </c>
    </row>
    <row r="661" spans="1:17" ht="12.75" customHeight="1" x14ac:dyDescent="0.2">
      <c r="A661" s="6"/>
      <c r="B661" s="10" t="s">
        <v>950</v>
      </c>
      <c r="C661" s="20" t="s">
        <v>79</v>
      </c>
      <c r="D661" s="20" t="s">
        <v>149</v>
      </c>
      <c r="E661" s="20" t="s">
        <v>518</v>
      </c>
      <c r="F661" s="20" t="s">
        <v>27</v>
      </c>
      <c r="G661" s="20" t="s">
        <v>247</v>
      </c>
      <c r="H661" s="20">
        <f>(1871.75*(L8))</f>
        <v>10013.862499999999</v>
      </c>
      <c r="I661" s="20">
        <f>(1898.06*(L8))</f>
        <v>10154.620999999999</v>
      </c>
      <c r="J661" s="20">
        <f>(1913.85*(L8))</f>
        <v>10239.097499999998</v>
      </c>
      <c r="K661" s="20">
        <f>(1955.96*(L8))</f>
        <v>10464.385999999999</v>
      </c>
      <c r="L661" s="20">
        <f>(1982.27*(L8))</f>
        <v>10605.144499999999</v>
      </c>
      <c r="M661" s="20">
        <f>(2013.85*(L8))</f>
        <v>10774.097499999998</v>
      </c>
      <c r="N661" s="20">
        <f>(2050.69*(L8))</f>
        <v>10971.191499999999</v>
      </c>
      <c r="O661" s="20">
        <f>(2103.33*(L8))</f>
        <v>11252.815499999999</v>
      </c>
      <c r="P661" s="20">
        <f>(2129.64*(L8))</f>
        <v>11393.573999999999</v>
      </c>
      <c r="Q661" s="20">
        <f>(2234.9*(L8))</f>
        <v>11956.715</v>
      </c>
    </row>
    <row r="662" spans="1:17" ht="30" customHeight="1" x14ac:dyDescent="0.35">
      <c r="A662" s="6"/>
      <c r="B662" s="23" t="s">
        <v>951</v>
      </c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5"/>
    </row>
    <row r="663" spans="1:17" ht="12.75" customHeight="1" x14ac:dyDescent="0.2">
      <c r="A663" s="7" t="s">
        <v>6</v>
      </c>
      <c r="B663" s="8" t="s">
        <v>7</v>
      </c>
      <c r="C663" s="8" t="s">
        <v>8</v>
      </c>
      <c r="D663" s="8" t="s">
        <v>9</v>
      </c>
      <c r="E663" s="8" t="s">
        <v>10</v>
      </c>
      <c r="F663" s="8" t="s">
        <v>11</v>
      </c>
      <c r="G663" s="8" t="s">
        <v>12</v>
      </c>
      <c r="H663" s="8" t="s">
        <v>13</v>
      </c>
      <c r="I663" s="8" t="s">
        <v>14</v>
      </c>
      <c r="J663" s="8" t="s">
        <v>15</v>
      </c>
      <c r="K663" s="8" t="s">
        <v>16</v>
      </c>
      <c r="L663" s="8" t="s">
        <v>17</v>
      </c>
      <c r="M663" s="8" t="s">
        <v>18</v>
      </c>
      <c r="N663" s="8" t="s">
        <v>19</v>
      </c>
      <c r="O663" s="8" t="s">
        <v>20</v>
      </c>
      <c r="P663" s="8" t="s">
        <v>21</v>
      </c>
      <c r="Q663" s="8" t="s">
        <v>22</v>
      </c>
    </row>
    <row r="664" spans="1:17" ht="12.75" customHeight="1" x14ac:dyDescent="0.2">
      <c r="A664" s="6"/>
      <c r="B664" s="10" t="s">
        <v>952</v>
      </c>
      <c r="C664" s="20" t="s">
        <v>265</v>
      </c>
      <c r="D664" s="96" t="s">
        <v>953</v>
      </c>
      <c r="E664" s="20" t="s">
        <v>312</v>
      </c>
      <c r="F664" s="20" t="s">
        <v>276</v>
      </c>
      <c r="G664" s="20" t="s">
        <v>160</v>
      </c>
      <c r="H664" s="20">
        <f>(3535.95*(L8))</f>
        <v>18917.332499999997</v>
      </c>
      <c r="I664" s="20">
        <f>(3619.28*(L8))</f>
        <v>19363.148000000001</v>
      </c>
      <c r="J664" s="20">
        <f>(3669.28*(L8))</f>
        <v>19630.648000000001</v>
      </c>
      <c r="K664" s="20">
        <f>(3802.61*(L8))</f>
        <v>20343.963499999998</v>
      </c>
      <c r="L664" s="20">
        <f>(3885.95*(L8))</f>
        <v>20789.832499999997</v>
      </c>
      <c r="M664" s="20">
        <f>(3985.95*(L8))</f>
        <v>21324.832499999997</v>
      </c>
      <c r="N664" s="20">
        <f>(4102.61*(L8))</f>
        <v>21948.963499999998</v>
      </c>
      <c r="O664" s="20">
        <f>(4269.28*(L8))</f>
        <v>22840.647999999997</v>
      </c>
      <c r="P664" s="20">
        <f>(4352.61*(L8))</f>
        <v>23286.463499999998</v>
      </c>
      <c r="Q664" s="20">
        <f>(4685.95*(L8))</f>
        <v>25069.832499999997</v>
      </c>
    </row>
    <row r="665" spans="1:17" ht="12.75" customHeight="1" x14ac:dyDescent="0.2">
      <c r="A665" s="6"/>
      <c r="B665" s="10" t="s">
        <v>954</v>
      </c>
      <c r="C665" s="20" t="s">
        <v>270</v>
      </c>
      <c r="D665" s="96" t="s">
        <v>953</v>
      </c>
      <c r="E665" s="20" t="s">
        <v>312</v>
      </c>
      <c r="F665" s="20" t="s">
        <v>276</v>
      </c>
      <c r="G665" s="20" t="s">
        <v>182</v>
      </c>
      <c r="H665" s="20">
        <f>(3847.49*(L8))</f>
        <v>20584.071499999998</v>
      </c>
      <c r="I665" s="20">
        <f>(3935.21*(L8))</f>
        <v>21053.373499999998</v>
      </c>
      <c r="J665" s="20">
        <f>(3987.84*(L8))</f>
        <v>21334.944</v>
      </c>
      <c r="K665" s="20">
        <f>(4128.19*(L8))</f>
        <v>22085.816499999997</v>
      </c>
      <c r="L665" s="20">
        <f>(4215.91*(L8))</f>
        <v>22555.118499999997</v>
      </c>
      <c r="M665" s="20">
        <f>(4321.17*(L8))</f>
        <v>23118.2595</v>
      </c>
      <c r="N665" s="20">
        <f>(4443.98*(L8))</f>
        <v>23775.292999999998</v>
      </c>
      <c r="O665" s="20">
        <f>(4619.42*(L8))</f>
        <v>24713.896999999997</v>
      </c>
      <c r="P665" s="20">
        <f>(4707.14*(L8))</f>
        <v>25183.199000000001</v>
      </c>
      <c r="Q665" s="20">
        <f>(5058.02*(L8))</f>
        <v>27060.406999999999</v>
      </c>
    </row>
    <row r="666" spans="1:17" ht="12.75" customHeight="1" x14ac:dyDescent="0.2">
      <c r="A666" s="6"/>
      <c r="B666" s="10" t="s">
        <v>955</v>
      </c>
      <c r="C666" s="20" t="s">
        <v>425</v>
      </c>
      <c r="D666" s="96" t="s">
        <v>953</v>
      </c>
      <c r="E666" s="20" t="s">
        <v>312</v>
      </c>
      <c r="F666" s="20" t="s">
        <v>276</v>
      </c>
      <c r="G666" s="20" t="s">
        <v>229</v>
      </c>
      <c r="H666" s="20">
        <f>(4376.37*(L8))</f>
        <v>23413.579499999996</v>
      </c>
      <c r="I666" s="20">
        <f>(4481.63*(L8))</f>
        <v>23976.720499999999</v>
      </c>
      <c r="J666" s="20">
        <f>(4544.79*(L8))</f>
        <v>24314.626499999998</v>
      </c>
      <c r="K666" s="20">
        <f>(4713.21*(L8))</f>
        <v>25215.673499999997</v>
      </c>
      <c r="L666" s="20">
        <f>(4818.47*(L8))</f>
        <v>25778.8145</v>
      </c>
      <c r="M666" s="20">
        <f>(4944.79*(L8))</f>
        <v>26454.626499999998</v>
      </c>
      <c r="N666" s="20">
        <f>(5092.16*(L8))</f>
        <v>27243.055999999997</v>
      </c>
      <c r="O666" s="20">
        <f>(5302.68*(L8))</f>
        <v>28369.338</v>
      </c>
      <c r="P666" s="20">
        <f>(5407.95*(L8))</f>
        <v>28932.532499999998</v>
      </c>
      <c r="Q666" s="20">
        <f>(5829*(L8))</f>
        <v>31185.149999999998</v>
      </c>
    </row>
    <row r="667" spans="1:17" ht="12.75" customHeight="1" x14ac:dyDescent="0.2">
      <c r="A667" s="6"/>
      <c r="B667" s="10" t="s">
        <v>956</v>
      </c>
      <c r="C667" s="20" t="s">
        <v>843</v>
      </c>
      <c r="D667" s="96" t="s">
        <v>953</v>
      </c>
      <c r="E667" s="20" t="s">
        <v>312</v>
      </c>
      <c r="F667" s="20" t="s">
        <v>276</v>
      </c>
      <c r="G667" s="20" t="s">
        <v>231</v>
      </c>
      <c r="H667" s="20">
        <f>(4569.27*(L8))</f>
        <v>24445.594499999999</v>
      </c>
      <c r="I667" s="20">
        <f>(4683.3*(L8))</f>
        <v>25055.654999999999</v>
      </c>
      <c r="J667" s="20">
        <f>(4751.72*(L8))</f>
        <v>25421.702000000001</v>
      </c>
      <c r="K667" s="20">
        <f>(4934.18*(L8))</f>
        <v>26397.863000000001</v>
      </c>
      <c r="L667" s="20">
        <f>(5048.22*(L8))</f>
        <v>27007.976999999999</v>
      </c>
      <c r="M667" s="20">
        <f>(5185.06*(L8))</f>
        <v>27740.071</v>
      </c>
      <c r="N667" s="20">
        <f>(5344.71*(L8))</f>
        <v>28594.198499999999</v>
      </c>
      <c r="O667" s="20">
        <f>(5572.78*(L8))</f>
        <v>29814.372999999996</v>
      </c>
      <c r="P667" s="20">
        <f>(5686.81*(L8))</f>
        <v>30424.433499999999</v>
      </c>
      <c r="Q667" s="20">
        <f>(6142.95*(L8))</f>
        <v>32864.782499999994</v>
      </c>
    </row>
    <row r="668" spans="1:17" ht="12.75" customHeight="1" x14ac:dyDescent="0.2">
      <c r="A668" s="6"/>
      <c r="B668" s="10" t="s">
        <v>957</v>
      </c>
      <c r="C668" s="20" t="s">
        <v>45</v>
      </c>
      <c r="D668" s="96" t="s">
        <v>953</v>
      </c>
      <c r="E668" s="20" t="s">
        <v>312</v>
      </c>
      <c r="F668" s="20" t="s">
        <v>27</v>
      </c>
      <c r="G668" s="20" t="s">
        <v>154</v>
      </c>
      <c r="H668" s="20">
        <f>(3480.88*(L8))</f>
        <v>18622.707999999999</v>
      </c>
      <c r="I668" s="20">
        <f>(3555.44*(L8))</f>
        <v>19021.603999999999</v>
      </c>
      <c r="J668" s="20">
        <f>(3600.18*(L8))</f>
        <v>19260.962999999996</v>
      </c>
      <c r="K668" s="20">
        <f>(3719.47*(L8))</f>
        <v>19899.164499999999</v>
      </c>
      <c r="L668" s="20">
        <f>(3794.04*(L8))</f>
        <v>20298.113999999998</v>
      </c>
      <c r="M668" s="20">
        <f>(3883.51*(L8))</f>
        <v>20776.7785</v>
      </c>
      <c r="N668" s="20">
        <f>(3987.9*(L8))</f>
        <v>21335.264999999999</v>
      </c>
      <c r="O668" s="20">
        <f>(4137.02*(L8))</f>
        <v>22133.057000000001</v>
      </c>
      <c r="P668" s="20">
        <f>(4211.58*(L8))</f>
        <v>22531.952999999998</v>
      </c>
      <c r="Q668" s="20">
        <f>(4509.83*(L8))</f>
        <v>24127.590499999998</v>
      </c>
    </row>
    <row r="669" spans="1:17" ht="12.75" customHeight="1" x14ac:dyDescent="0.2">
      <c r="A669" s="6"/>
      <c r="B669" s="10" t="s">
        <v>958</v>
      </c>
      <c r="C669" s="20" t="s">
        <v>200</v>
      </c>
      <c r="D669" s="96" t="s">
        <v>953</v>
      </c>
      <c r="E669" s="20" t="s">
        <v>312</v>
      </c>
      <c r="F669" s="20" t="s">
        <v>27</v>
      </c>
      <c r="G669" s="20" t="s">
        <v>160</v>
      </c>
      <c r="H669" s="20">
        <f>(3657.92*(L8))</f>
        <v>19569.871999999999</v>
      </c>
      <c r="I669" s="20">
        <f>(3736.86*(L8))</f>
        <v>19992.201000000001</v>
      </c>
      <c r="J669" s="20">
        <f>(3784.23*(L8))</f>
        <v>20245.630499999999</v>
      </c>
      <c r="K669" s="20">
        <f>(3910.55*(L8))</f>
        <v>20921.442500000001</v>
      </c>
      <c r="L669" s="20">
        <f>(3989.49*(L8))</f>
        <v>21343.771499999999</v>
      </c>
      <c r="M669" s="20">
        <f>(4084.23*(L8))</f>
        <v>21850.630499999999</v>
      </c>
      <c r="N669" s="20">
        <f>(4194.76*(L8))</f>
        <v>22441.966</v>
      </c>
      <c r="O669" s="20">
        <f>(4352.65*(L8))</f>
        <v>23286.677499999998</v>
      </c>
      <c r="P669" s="20">
        <f>(4431.6*(L8))</f>
        <v>23709.06</v>
      </c>
      <c r="Q669" s="20">
        <f>(4747.39*(L8))</f>
        <v>25398.536499999998</v>
      </c>
    </row>
    <row r="670" spans="1:17" ht="12.75" customHeight="1" x14ac:dyDescent="0.2">
      <c r="A670" s="6"/>
      <c r="B670" s="10" t="s">
        <v>959</v>
      </c>
      <c r="C670" s="20" t="s">
        <v>93</v>
      </c>
      <c r="D670" s="96" t="s">
        <v>953</v>
      </c>
      <c r="E670" s="20" t="s">
        <v>312</v>
      </c>
      <c r="F670" s="20" t="s">
        <v>27</v>
      </c>
      <c r="G670" s="20" t="s">
        <v>229</v>
      </c>
      <c r="H670" s="20">
        <f>(4325.37*(L8))</f>
        <v>23140.729499999998</v>
      </c>
      <c r="I670" s="20">
        <f>(4430.64*(L8))</f>
        <v>23703.923999999999</v>
      </c>
      <c r="J670" s="20">
        <f>(4493.79*(L8))</f>
        <v>24041.7765</v>
      </c>
      <c r="K670" s="20">
        <f>(4662.21*(L8))</f>
        <v>24942.823499999999</v>
      </c>
      <c r="L670" s="20">
        <f>(4767.48*(L8))</f>
        <v>25506.017999999996</v>
      </c>
      <c r="M670" s="20">
        <f>(4893.79*(L8))</f>
        <v>26181.776499999996</v>
      </c>
      <c r="N670" s="20">
        <f>(5041.16*(L8))</f>
        <v>26970.205999999998</v>
      </c>
      <c r="O670" s="20">
        <f>(5251.69*(L8))</f>
        <v>28096.541499999996</v>
      </c>
      <c r="P670" s="20">
        <f>(5356.95*(L8))</f>
        <v>28659.682499999995</v>
      </c>
      <c r="Q670" s="20">
        <f>(5778*(L8))</f>
        <v>30912.3</v>
      </c>
    </row>
    <row r="671" spans="1:17" s="105" customFormat="1" ht="12.75" customHeight="1" x14ac:dyDescent="0.2">
      <c r="A671" s="97"/>
      <c r="B671" s="98" t="s">
        <v>334</v>
      </c>
      <c r="C671" s="99"/>
      <c r="D671" s="100"/>
      <c r="E671" s="100"/>
      <c r="F671" s="100"/>
      <c r="G671" s="101"/>
      <c r="H671" s="102">
        <f>(1615*($L$8))</f>
        <v>8640.25</v>
      </c>
      <c r="I671" s="103"/>
      <c r="J671" s="103"/>
      <c r="K671" s="103"/>
      <c r="L671" s="103"/>
      <c r="M671" s="103"/>
      <c r="N671" s="103"/>
      <c r="O671" s="103"/>
      <c r="P671" s="103"/>
      <c r="Q671" s="104"/>
    </row>
    <row r="672" spans="1:17" s="105" customFormat="1" ht="12.75" customHeight="1" x14ac:dyDescent="0.2">
      <c r="A672" s="97"/>
      <c r="B672" s="98" t="s">
        <v>335</v>
      </c>
      <c r="C672" s="99"/>
      <c r="D672" s="100"/>
      <c r="E672" s="100"/>
      <c r="F672" s="100"/>
      <c r="G672" s="101"/>
      <c r="H672" s="102">
        <f>(2780*($L$8))</f>
        <v>14872.999999999998</v>
      </c>
      <c r="I672" s="103"/>
      <c r="J672" s="103"/>
      <c r="K672" s="103"/>
      <c r="L672" s="103"/>
      <c r="M672" s="103"/>
      <c r="N672" s="103"/>
      <c r="O672" s="103"/>
      <c r="P672" s="103"/>
      <c r="Q672" s="104"/>
    </row>
    <row r="673" spans="1:17" s="105" customFormat="1" ht="12.75" customHeight="1" x14ac:dyDescent="0.2">
      <c r="A673" s="97"/>
      <c r="B673" s="98" t="s">
        <v>336</v>
      </c>
      <c r="C673" s="99"/>
      <c r="D673" s="100"/>
      <c r="E673" s="100"/>
      <c r="F673" s="100"/>
      <c r="G673" s="101"/>
      <c r="H673" s="102">
        <f>(3970*($L$8))</f>
        <v>21239.5</v>
      </c>
      <c r="I673" s="103"/>
      <c r="J673" s="103"/>
      <c r="K673" s="103"/>
      <c r="L673" s="103"/>
      <c r="M673" s="103"/>
      <c r="N673" s="103"/>
      <c r="O673" s="103"/>
      <c r="P673" s="103"/>
      <c r="Q673" s="104"/>
    </row>
    <row r="674" spans="1:17" s="105" customFormat="1" ht="12.75" customHeight="1" x14ac:dyDescent="0.2">
      <c r="A674" s="97"/>
      <c r="B674" s="16" t="s">
        <v>337</v>
      </c>
      <c r="C674" s="106" t="s">
        <v>338</v>
      </c>
      <c r="D674" s="106"/>
      <c r="E674" s="106"/>
      <c r="F674" s="106"/>
      <c r="G674" s="106"/>
      <c r="H674" s="38">
        <f>(524.56*($L$8))</f>
        <v>2806.3959999999997</v>
      </c>
      <c r="I674" s="38"/>
      <c r="J674" s="38"/>
      <c r="K674" s="38"/>
      <c r="L674" s="38"/>
      <c r="M674" s="38"/>
      <c r="N674" s="38"/>
      <c r="O674" s="38"/>
      <c r="P674" s="38"/>
      <c r="Q674" s="38"/>
    </row>
    <row r="675" spans="1:17" s="105" customFormat="1" ht="12.75" customHeight="1" x14ac:dyDescent="0.2">
      <c r="A675" s="97"/>
      <c r="B675" s="16" t="s">
        <v>339</v>
      </c>
      <c r="C675" s="106" t="s">
        <v>338</v>
      </c>
      <c r="D675" s="106"/>
      <c r="E675" s="106"/>
      <c r="F675" s="106"/>
      <c r="G675" s="106"/>
      <c r="H675" s="38">
        <f>(592.11*($L$8))</f>
        <v>3167.7884999999997</v>
      </c>
      <c r="I675" s="38"/>
      <c r="J675" s="38"/>
      <c r="K675" s="38"/>
      <c r="L675" s="38"/>
      <c r="M675" s="38"/>
      <c r="N675" s="38"/>
      <c r="O675" s="38"/>
      <c r="P675" s="38"/>
      <c r="Q675" s="38"/>
    </row>
    <row r="676" spans="1:17" s="105" customFormat="1" ht="12.75" customHeight="1" x14ac:dyDescent="0.2">
      <c r="A676" s="97"/>
      <c r="B676" s="16" t="s">
        <v>340</v>
      </c>
      <c r="C676" s="106" t="s">
        <v>338</v>
      </c>
      <c r="D676" s="106"/>
      <c r="E676" s="106"/>
      <c r="F676" s="106"/>
      <c r="G676" s="106"/>
      <c r="H676" s="38">
        <f>(661.4*($L$8))</f>
        <v>3538.49</v>
      </c>
      <c r="I676" s="38"/>
      <c r="J676" s="38"/>
      <c r="K676" s="38"/>
      <c r="L676" s="38"/>
      <c r="M676" s="38"/>
      <c r="N676" s="38"/>
      <c r="O676" s="38"/>
      <c r="P676" s="38"/>
      <c r="Q676" s="38"/>
    </row>
    <row r="677" spans="1:17" s="105" customFormat="1" ht="12.75" customHeight="1" x14ac:dyDescent="0.2">
      <c r="A677" s="97"/>
      <c r="B677" s="16" t="s">
        <v>341</v>
      </c>
      <c r="C677" s="106" t="s">
        <v>338</v>
      </c>
      <c r="D677" s="106"/>
      <c r="E677" s="106"/>
      <c r="F677" s="106"/>
      <c r="G677" s="106"/>
      <c r="H677" s="38">
        <f>(728.47*($L$8))</f>
        <v>3897.3145</v>
      </c>
      <c r="I677" s="38"/>
      <c r="J677" s="38"/>
      <c r="K677" s="38"/>
      <c r="L677" s="38"/>
      <c r="M677" s="38"/>
      <c r="N677" s="38"/>
      <c r="O677" s="38"/>
      <c r="P677" s="38"/>
      <c r="Q677" s="38"/>
    </row>
    <row r="678" spans="1:17" ht="30" customHeight="1" x14ac:dyDescent="0.35">
      <c r="A678" s="6"/>
      <c r="B678" s="23" t="s">
        <v>960</v>
      </c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5"/>
    </row>
    <row r="679" spans="1:17" ht="12.75" customHeight="1" x14ac:dyDescent="0.2">
      <c r="A679" s="7" t="s">
        <v>6</v>
      </c>
      <c r="B679" s="8" t="s">
        <v>7</v>
      </c>
      <c r="C679" s="8" t="s">
        <v>8</v>
      </c>
      <c r="D679" s="8" t="s">
        <v>9</v>
      </c>
      <c r="E679" s="8" t="s">
        <v>10</v>
      </c>
      <c r="F679" s="8" t="s">
        <v>11</v>
      </c>
      <c r="G679" s="8" t="s">
        <v>12</v>
      </c>
      <c r="H679" s="8" t="s">
        <v>13</v>
      </c>
      <c r="I679" s="8" t="s">
        <v>14</v>
      </c>
      <c r="J679" s="8" t="s">
        <v>15</v>
      </c>
      <c r="K679" s="8" t="s">
        <v>16</v>
      </c>
      <c r="L679" s="8" t="s">
        <v>17</v>
      </c>
      <c r="M679" s="8" t="s">
        <v>18</v>
      </c>
      <c r="N679" s="8" t="s">
        <v>19</v>
      </c>
      <c r="O679" s="8" t="s">
        <v>20</v>
      </c>
      <c r="P679" s="8" t="s">
        <v>21</v>
      </c>
      <c r="Q679" s="8" t="s">
        <v>22</v>
      </c>
    </row>
    <row r="680" spans="1:17" ht="12.75" customHeight="1" x14ac:dyDescent="0.2">
      <c r="A680" s="6"/>
      <c r="B680" s="10" t="s">
        <v>961</v>
      </c>
      <c r="C680" s="20" t="s">
        <v>565</v>
      </c>
      <c r="D680" s="20" t="s">
        <v>208</v>
      </c>
      <c r="E680" s="20" t="s">
        <v>256</v>
      </c>
      <c r="F680" s="20" t="s">
        <v>383</v>
      </c>
      <c r="G680" s="20" t="s">
        <v>243</v>
      </c>
      <c r="H680" s="20">
        <f>(3990.38*(L8))</f>
        <v>21348.532999999999</v>
      </c>
      <c r="I680" s="20">
        <f>(4121.96*(L8))</f>
        <v>22052.485999999997</v>
      </c>
      <c r="J680" s="20">
        <f>(4200.9*(L8))</f>
        <v>22474.814999999995</v>
      </c>
      <c r="K680" s="20">
        <f>(4411.43*(L8))</f>
        <v>23601.1505</v>
      </c>
      <c r="L680" s="20">
        <f>(4543.01*(L8))</f>
        <v>24305.103500000001</v>
      </c>
      <c r="M680" s="20">
        <f>(4700.9*(L8))</f>
        <v>25149.814999999995</v>
      </c>
      <c r="N680" s="20">
        <f>(4885.11*(L8))</f>
        <v>26135.338499999998</v>
      </c>
      <c r="O680" s="20">
        <f>(5148.27*(L8))</f>
        <v>27543.244500000001</v>
      </c>
      <c r="P680" s="20">
        <f>(5279.85*(L8))</f>
        <v>28247.197499999998</v>
      </c>
      <c r="Q680" s="20">
        <f>(5806.17*(L8))</f>
        <v>31063.0095</v>
      </c>
    </row>
    <row r="681" spans="1:17" ht="12.75" customHeight="1" x14ac:dyDescent="0.2">
      <c r="A681" s="6"/>
      <c r="B681" s="10" t="s">
        <v>962</v>
      </c>
      <c r="C681" s="20" t="s">
        <v>85</v>
      </c>
      <c r="D681" s="20" t="s">
        <v>208</v>
      </c>
      <c r="E681" s="20" t="s">
        <v>256</v>
      </c>
      <c r="F681" s="20" t="s">
        <v>383</v>
      </c>
      <c r="G681" s="20" t="s">
        <v>289</v>
      </c>
      <c r="H681" s="20">
        <f>(4096.47*(L8))</f>
        <v>21916.1145</v>
      </c>
      <c r="I681" s="20">
        <f>(4236.82*(L8))</f>
        <v>22666.986999999997</v>
      </c>
      <c r="J681" s="20">
        <f>(4321.03*(L8))</f>
        <v>23117.510499999997</v>
      </c>
      <c r="K681" s="20">
        <f>(4545.59*(L8))</f>
        <v>24318.906500000001</v>
      </c>
      <c r="L681" s="20">
        <f>(4685.94*(L8))</f>
        <v>25069.778999999995</v>
      </c>
      <c r="M681" s="20">
        <f>(4854.36*(L8))</f>
        <v>25970.825999999997</v>
      </c>
      <c r="N681" s="20">
        <f>(5050.85*(L8))</f>
        <v>27022.047500000001</v>
      </c>
      <c r="O681" s="20">
        <f>(5331.55*(L8))</f>
        <v>28523.7925</v>
      </c>
      <c r="P681" s="20">
        <f>(5471.9*(L8))</f>
        <v>29274.664999999997</v>
      </c>
      <c r="Q681" s="20">
        <f>(6033.31*(L8))</f>
        <v>32278.208500000001</v>
      </c>
    </row>
    <row r="682" spans="1:17" ht="12.75" customHeight="1" x14ac:dyDescent="0.2">
      <c r="A682" s="6"/>
      <c r="B682" s="10" t="s">
        <v>963</v>
      </c>
      <c r="C682" s="20" t="s">
        <v>278</v>
      </c>
      <c r="D682" s="20" t="s">
        <v>208</v>
      </c>
      <c r="E682" s="20" t="s">
        <v>256</v>
      </c>
      <c r="F682" s="20" t="s">
        <v>383</v>
      </c>
      <c r="G682" s="20" t="s">
        <v>964</v>
      </c>
      <c r="H682" s="20">
        <f>(6591.7*(L8))</f>
        <v>35265.594999999994</v>
      </c>
      <c r="I682" s="20">
        <f>(6854.85*(L8))</f>
        <v>36673.447500000002</v>
      </c>
      <c r="J682" s="20">
        <f>(7012.75*(L8))</f>
        <v>37518.212499999994</v>
      </c>
      <c r="K682" s="20">
        <f>(7433.8*(L8))</f>
        <v>39770.83</v>
      </c>
      <c r="L682" s="20">
        <f>(7696.96*(L8))</f>
        <v>41178.735999999997</v>
      </c>
      <c r="M682" s="20">
        <f>(8012.75*(L8))</f>
        <v>42868.212499999994</v>
      </c>
      <c r="N682" s="20">
        <f>(8381.17*(L8))</f>
        <v>44839.2595</v>
      </c>
      <c r="O682" s="20">
        <f>(8907.49*(L8))</f>
        <v>47655.071499999998</v>
      </c>
      <c r="P682" s="20">
        <f>(9170.64*(L8))</f>
        <v>49062.923999999992</v>
      </c>
      <c r="Q682" s="20">
        <f>(10223.28*(L8))</f>
        <v>54694.548000000003</v>
      </c>
    </row>
    <row r="683" spans="1:17" ht="12.75" customHeight="1" x14ac:dyDescent="0.2">
      <c r="A683" s="6"/>
      <c r="B683" s="10" t="s">
        <v>965</v>
      </c>
      <c r="C683" s="20" t="s">
        <v>280</v>
      </c>
      <c r="D683" s="20" t="s">
        <v>208</v>
      </c>
      <c r="E683" s="20" t="s">
        <v>256</v>
      </c>
      <c r="F683" s="20" t="s">
        <v>383</v>
      </c>
      <c r="G683" s="20" t="s">
        <v>966</v>
      </c>
      <c r="H683" s="20">
        <f>(6818.86*(L8))</f>
        <v>36480.900999999998</v>
      </c>
      <c r="I683" s="20">
        <f>(7090.79*(L8))</f>
        <v>37935.726499999997</v>
      </c>
      <c r="J683" s="20">
        <f>(7253.95*(L8))</f>
        <v>38808.6325</v>
      </c>
      <c r="K683" s="20">
        <f>(7689.04*(L8))</f>
        <v>41136.363999999994</v>
      </c>
      <c r="L683" s="20">
        <f>(7960.97*(L8))</f>
        <v>42591.1895</v>
      </c>
      <c r="M683" s="20">
        <f>(8287.28*(L8))</f>
        <v>44336.948000000004</v>
      </c>
      <c r="N683" s="20">
        <f>(8667.98*(L8))</f>
        <v>46373.692999999992</v>
      </c>
      <c r="O683" s="20">
        <f>(9211.84*(L8))</f>
        <v>49283.343999999997</v>
      </c>
      <c r="P683" s="20">
        <f>(9483.77*(L8))</f>
        <v>50738.169499999996</v>
      </c>
      <c r="Q683" s="20">
        <f>(10571.49*(L8))</f>
        <v>56557.471499999992</v>
      </c>
    </row>
    <row r="684" spans="1:17" ht="12.75" customHeight="1" x14ac:dyDescent="0.2">
      <c r="A684" s="6"/>
      <c r="B684" s="10" t="s">
        <v>967</v>
      </c>
      <c r="C684" s="20" t="s">
        <v>236</v>
      </c>
      <c r="D684" s="20" t="s">
        <v>208</v>
      </c>
      <c r="E684" s="20" t="s">
        <v>256</v>
      </c>
      <c r="F684" s="20" t="s">
        <v>383</v>
      </c>
      <c r="G684" s="20" t="s">
        <v>968</v>
      </c>
      <c r="H684" s="20">
        <f>(7122.13*(L8))</f>
        <v>38103.395499999999</v>
      </c>
      <c r="I684" s="20">
        <f>(7402.83*(L8))</f>
        <v>39605.140499999994</v>
      </c>
      <c r="J684" s="20">
        <f>(7571.26*(L8))</f>
        <v>40506.241000000002</v>
      </c>
      <c r="K684" s="20">
        <f>(8020.38*(L8))</f>
        <v>42909.032999999996</v>
      </c>
      <c r="L684" s="20">
        <f>(8301.08*(L8))</f>
        <v>44410.777999999998</v>
      </c>
      <c r="M684" s="20">
        <f>(8637.92*(L8))</f>
        <v>46212.871999999996</v>
      </c>
      <c r="N684" s="20">
        <f>(9030.91*(L8))</f>
        <v>48315.368499999997</v>
      </c>
      <c r="O684" s="20">
        <f>(9592.31*(L8))</f>
        <v>51318.858499999995</v>
      </c>
      <c r="P684" s="20">
        <f>(9873.01*(L8))</f>
        <v>52820.603499999997</v>
      </c>
      <c r="Q684" s="20">
        <f>(10995.82*(L8))</f>
        <v>58827.636999999995</v>
      </c>
    </row>
    <row r="685" spans="1:17" ht="12.75" customHeight="1" x14ac:dyDescent="0.2">
      <c r="A685" s="6"/>
      <c r="B685" s="10" t="s">
        <v>969</v>
      </c>
      <c r="C685" s="20" t="s">
        <v>79</v>
      </c>
      <c r="D685" s="20" t="s">
        <v>149</v>
      </c>
      <c r="E685" s="20" t="s">
        <v>27</v>
      </c>
      <c r="F685" s="20" t="s">
        <v>27</v>
      </c>
      <c r="G685" s="20" t="s">
        <v>28</v>
      </c>
      <c r="H685" s="20">
        <f>(2048.1*(L8))</f>
        <v>10957.334999999999</v>
      </c>
      <c r="I685" s="20">
        <f>(2100.73*(L8))</f>
        <v>11238.905499999999</v>
      </c>
      <c r="J685" s="20">
        <f>(2132.31*(L8))</f>
        <v>11407.858499999998</v>
      </c>
      <c r="K685" s="20">
        <f>(2216.52*(L8))</f>
        <v>11858.382</v>
      </c>
      <c r="L685" s="20">
        <f>(2269.15*(L8))</f>
        <v>12139.952499999999</v>
      </c>
      <c r="M685" s="20">
        <f>(2332.31*(L8))</f>
        <v>12477.858499999998</v>
      </c>
      <c r="N685" s="20">
        <f>(2406*(L8))</f>
        <v>12872.099999999999</v>
      </c>
      <c r="O685" s="20">
        <f>(2511.26*(L8))</f>
        <v>13435.241</v>
      </c>
      <c r="P685" s="20">
        <f>(2563.89*(L8))</f>
        <v>13716.811499999998</v>
      </c>
      <c r="Q685" s="20">
        <f>(2774.42*(L8))</f>
        <v>14843.146999999999</v>
      </c>
    </row>
    <row r="686" spans="1:17" ht="30" customHeight="1" x14ac:dyDescent="0.35">
      <c r="A686" s="6"/>
      <c r="B686" s="23" t="s">
        <v>970</v>
      </c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5"/>
    </row>
    <row r="687" spans="1:17" ht="12.75" customHeight="1" x14ac:dyDescent="0.2">
      <c r="A687" s="7" t="s">
        <v>6</v>
      </c>
      <c r="B687" s="8" t="s">
        <v>7</v>
      </c>
      <c r="C687" s="8" t="s">
        <v>8</v>
      </c>
      <c r="D687" s="8" t="s">
        <v>9</v>
      </c>
      <c r="E687" s="8" t="s">
        <v>10</v>
      </c>
      <c r="F687" s="8" t="s">
        <v>11</v>
      </c>
      <c r="G687" s="8" t="s">
        <v>12</v>
      </c>
      <c r="H687" s="8" t="s">
        <v>13</v>
      </c>
      <c r="I687" s="8" t="s">
        <v>14</v>
      </c>
      <c r="J687" s="8" t="s">
        <v>15</v>
      </c>
      <c r="K687" s="8" t="s">
        <v>16</v>
      </c>
      <c r="L687" s="8" t="s">
        <v>17</v>
      </c>
      <c r="M687" s="8" t="s">
        <v>18</v>
      </c>
      <c r="N687" s="8" t="s">
        <v>19</v>
      </c>
      <c r="O687" s="8" t="s">
        <v>20</v>
      </c>
      <c r="P687" s="8" t="s">
        <v>21</v>
      </c>
      <c r="Q687" s="8" t="s">
        <v>22</v>
      </c>
    </row>
    <row r="688" spans="1:17" ht="12.75" customHeight="1" x14ac:dyDescent="0.2">
      <c r="A688" s="6"/>
      <c r="B688" s="10" t="s">
        <v>971</v>
      </c>
      <c r="C688" s="20" t="s">
        <v>305</v>
      </c>
      <c r="D688" s="20" t="s">
        <v>520</v>
      </c>
      <c r="E688" s="20" t="s">
        <v>646</v>
      </c>
      <c r="F688" s="20" t="s">
        <v>27</v>
      </c>
      <c r="G688" s="20" t="s">
        <v>292</v>
      </c>
      <c r="H688" s="20">
        <f>(691.01*(L8))</f>
        <v>3696.9034999999999</v>
      </c>
      <c r="I688" s="20">
        <f>(708.56*(L8))</f>
        <v>3790.7959999999994</v>
      </c>
      <c r="J688" s="20">
        <f>(719.08*(L8))</f>
        <v>3847.078</v>
      </c>
      <c r="K688" s="20">
        <f>(747.15*(L8))</f>
        <v>3997.2524999999996</v>
      </c>
      <c r="L688" s="20">
        <f>(764.7*(L8))</f>
        <v>4091.145</v>
      </c>
      <c r="M688" s="20">
        <f>(785.75*(L8))</f>
        <v>4203.7624999999998</v>
      </c>
      <c r="N688" s="20">
        <f>(810.31*(L8))</f>
        <v>4335.1584999999995</v>
      </c>
      <c r="O688" s="20">
        <f>(845.4*(L8))</f>
        <v>4522.8899999999994</v>
      </c>
      <c r="P688" s="20">
        <f>(862.94*(L8))</f>
        <v>4616.7290000000003</v>
      </c>
      <c r="Q688" s="20">
        <f>(933.12*(L8))</f>
        <v>4992.192</v>
      </c>
    </row>
    <row r="689" spans="1:17" ht="12.75" customHeight="1" x14ac:dyDescent="0.2">
      <c r="A689" s="6"/>
      <c r="B689" s="10" t="s">
        <v>972</v>
      </c>
      <c r="C689" s="20" t="s">
        <v>275</v>
      </c>
      <c r="D689" s="20" t="s">
        <v>304</v>
      </c>
      <c r="E689" s="20" t="s">
        <v>646</v>
      </c>
      <c r="F689" s="20" t="s">
        <v>27</v>
      </c>
      <c r="G689" s="20" t="s">
        <v>273</v>
      </c>
      <c r="H689" s="20">
        <f>(814.33*(L8))</f>
        <v>4356.6655000000001</v>
      </c>
      <c r="I689" s="20">
        <f>(840.64*(L8))</f>
        <v>4497.424</v>
      </c>
      <c r="J689" s="20">
        <f>(856.43*(L8))</f>
        <v>4581.9004999999997</v>
      </c>
      <c r="K689" s="20">
        <f>(898.54*(L8))</f>
        <v>4807.1889999999994</v>
      </c>
      <c r="L689" s="20">
        <f>(924.85*(L8))</f>
        <v>4947.9475000000002</v>
      </c>
      <c r="M689" s="20">
        <f>(956.43*(L8))</f>
        <v>5116.9004999999997</v>
      </c>
      <c r="N689" s="20">
        <f>(993.28*(L8))</f>
        <v>5314.0479999999998</v>
      </c>
      <c r="O689" s="20">
        <f>(1045.91*(L8))</f>
        <v>5595.6185000000005</v>
      </c>
      <c r="P689" s="20">
        <f>(1072.22*(L8))</f>
        <v>5736.3769999999995</v>
      </c>
      <c r="Q689" s="20">
        <f>(1177.49*(L8))</f>
        <v>6299.5715</v>
      </c>
    </row>
    <row r="690" spans="1:17" ht="12.75" customHeight="1" x14ac:dyDescent="0.2">
      <c r="A690" s="6"/>
      <c r="B690" s="10" t="s">
        <v>973</v>
      </c>
      <c r="C690" s="20" t="s">
        <v>79</v>
      </c>
      <c r="D690" s="20" t="s">
        <v>149</v>
      </c>
      <c r="E690" s="20" t="s">
        <v>646</v>
      </c>
      <c r="F690" s="20" t="s">
        <v>27</v>
      </c>
      <c r="G690" s="20" t="s">
        <v>278</v>
      </c>
      <c r="H690" s="20">
        <f>(932.16*(L8))</f>
        <v>4987.0559999999996</v>
      </c>
      <c r="I690" s="20">
        <f>(962.86*(L8))</f>
        <v>5151.3009999999995</v>
      </c>
      <c r="J690" s="20">
        <f>(981.28*(L8))</f>
        <v>5249.848</v>
      </c>
      <c r="K690" s="20">
        <f>(1030.4*(L8))</f>
        <v>5512.64</v>
      </c>
      <c r="L690" s="20">
        <f>(1061.11*(L8))</f>
        <v>5676.9384999999993</v>
      </c>
      <c r="M690" s="20">
        <f>(1097.95*(L8))</f>
        <v>5874.0325000000003</v>
      </c>
      <c r="N690" s="20">
        <f>(1140.93*(L8))</f>
        <v>6103.9754999999996</v>
      </c>
      <c r="O690" s="20">
        <f>(1202.33*(L8))</f>
        <v>6432.4654999999993</v>
      </c>
      <c r="P690" s="20">
        <f>(1233.04*(L8))</f>
        <v>6596.7639999999992</v>
      </c>
      <c r="Q690" s="20">
        <f>(1355.84*(L8))</f>
        <v>7253.7439999999988</v>
      </c>
    </row>
    <row r="691" spans="1:17" ht="30" customHeight="1" x14ac:dyDescent="0.35">
      <c r="A691" s="6"/>
      <c r="B691" s="23" t="s">
        <v>974</v>
      </c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5"/>
    </row>
    <row r="692" spans="1:17" ht="12.75" customHeight="1" x14ac:dyDescent="0.2">
      <c r="A692" s="7" t="s">
        <v>6</v>
      </c>
      <c r="B692" s="8" t="s">
        <v>7</v>
      </c>
      <c r="C692" s="8" t="s">
        <v>8</v>
      </c>
      <c r="D692" s="8" t="s">
        <v>9</v>
      </c>
      <c r="E692" s="8" t="s">
        <v>10</v>
      </c>
      <c r="F692" s="8" t="s">
        <v>11</v>
      </c>
      <c r="G692" s="8" t="s">
        <v>12</v>
      </c>
      <c r="H692" s="8" t="s">
        <v>13</v>
      </c>
      <c r="I692" s="8" t="s">
        <v>14</v>
      </c>
      <c r="J692" s="8" t="s">
        <v>15</v>
      </c>
      <c r="K692" s="8" t="s">
        <v>16</v>
      </c>
      <c r="L692" s="8" t="s">
        <v>17</v>
      </c>
      <c r="M692" s="8" t="s">
        <v>18</v>
      </c>
      <c r="N692" s="8" t="s">
        <v>19</v>
      </c>
      <c r="O692" s="8" t="s">
        <v>20</v>
      </c>
      <c r="P692" s="8" t="s">
        <v>21</v>
      </c>
      <c r="Q692" s="8" t="s">
        <v>22</v>
      </c>
    </row>
    <row r="693" spans="1:17" ht="12.75" customHeight="1" x14ac:dyDescent="0.2">
      <c r="A693" s="6"/>
      <c r="B693" s="10" t="s">
        <v>975</v>
      </c>
      <c r="C693" s="20" t="s">
        <v>136</v>
      </c>
      <c r="D693" s="20" t="s">
        <v>149</v>
      </c>
      <c r="E693" s="20" t="s">
        <v>365</v>
      </c>
      <c r="F693" s="20" t="s">
        <v>210</v>
      </c>
      <c r="G693" s="20" t="s">
        <v>229</v>
      </c>
      <c r="H693" s="20">
        <f>(3358.56*(L8))</f>
        <v>17968.295999999998</v>
      </c>
      <c r="I693" s="20">
        <f>(3463.82*(L8))</f>
        <v>18531.436999999998</v>
      </c>
      <c r="J693" s="20">
        <f>(3526.98*(L8))</f>
        <v>18869.342999999997</v>
      </c>
      <c r="K693" s="20">
        <f>(3695.4*(L8))</f>
        <v>19770.39</v>
      </c>
      <c r="L693" s="20">
        <f>(3800.66*(L8))</f>
        <v>20333.530999999999</v>
      </c>
      <c r="M693" s="20">
        <f>(3926.98*(L8))</f>
        <v>21009.342999999997</v>
      </c>
      <c r="N693" s="20">
        <f>(4074.35*(L8))</f>
        <v>21797.772499999999</v>
      </c>
      <c r="O693" s="20">
        <f>(4284.87*(L8))</f>
        <v>22924.054499999998</v>
      </c>
      <c r="P693" s="20">
        <f>(4390.13*(L8))</f>
        <v>23487.195499999998</v>
      </c>
      <c r="Q693" s="20">
        <f>(4811.19*(L8))</f>
        <v>25739.866499999996</v>
      </c>
    </row>
    <row r="694" spans="1:17" ht="12.75" customHeight="1" x14ac:dyDescent="0.2">
      <c r="A694" s="6"/>
      <c r="B694" s="10" t="s">
        <v>976</v>
      </c>
      <c r="C694" s="20" t="s">
        <v>137</v>
      </c>
      <c r="D694" s="20" t="s">
        <v>149</v>
      </c>
      <c r="E694" s="20" t="s">
        <v>365</v>
      </c>
      <c r="F694" s="20" t="s">
        <v>210</v>
      </c>
      <c r="G694" s="20" t="s">
        <v>231</v>
      </c>
      <c r="H694" s="20">
        <f>(3508.7*(L8))</f>
        <v>18771.544999999998</v>
      </c>
      <c r="I694" s="20">
        <f>(3618.34*(L8))</f>
        <v>19358.118999999999</v>
      </c>
      <c r="J694" s="20">
        <f>(3684.13*(L8))</f>
        <v>19710.095499999999</v>
      </c>
      <c r="K694" s="20">
        <f>(3859.57*(L8))</f>
        <v>20648.699499999999</v>
      </c>
      <c r="L694" s="20">
        <f>(3969.22*(L8))</f>
        <v>21235.326999999997</v>
      </c>
      <c r="M694" s="20">
        <f>(4100.8*(L8))</f>
        <v>21939.279999999999</v>
      </c>
      <c r="N694" s="20">
        <f>(4254.31*(L8))</f>
        <v>22760.558499999999</v>
      </c>
      <c r="O694" s="20">
        <f>(4473.61*(L8))</f>
        <v>23933.813499999997</v>
      </c>
      <c r="P694" s="20">
        <f>(4583.26*(L8))</f>
        <v>24520.440999999999</v>
      </c>
      <c r="Q694" s="20">
        <f>(5021.85*(L8))</f>
        <v>26866.897499999999</v>
      </c>
    </row>
    <row r="695" spans="1:17" ht="12.75" customHeight="1" x14ac:dyDescent="0.2">
      <c r="A695" s="6"/>
      <c r="B695" s="10" t="s">
        <v>977</v>
      </c>
      <c r="C695" s="20" t="s">
        <v>292</v>
      </c>
      <c r="D695" s="20" t="s">
        <v>149</v>
      </c>
      <c r="E695" s="20" t="s">
        <v>365</v>
      </c>
      <c r="F695" s="20" t="s">
        <v>210</v>
      </c>
      <c r="G695" s="20" t="s">
        <v>237</v>
      </c>
      <c r="H695" s="20">
        <f>(3733.74*(L8))</f>
        <v>19975.508999999998</v>
      </c>
      <c r="I695" s="20">
        <f>(3852.16*(L8))</f>
        <v>20609.055999999997</v>
      </c>
      <c r="J695" s="20">
        <f>(3923.21*(L8))</f>
        <v>20989.173499999997</v>
      </c>
      <c r="K695" s="20">
        <f>(4112.69*(L8))</f>
        <v>22002.891499999998</v>
      </c>
      <c r="L695" s="20">
        <f>(4231.11*(L8))</f>
        <v>22636.438499999997</v>
      </c>
      <c r="M695" s="20">
        <f>(4373.21*(L8))</f>
        <v>23396.673499999997</v>
      </c>
      <c r="N695" s="20">
        <f>(4539*(L8))</f>
        <v>24283.649999999998</v>
      </c>
      <c r="O695" s="20">
        <f>(4775.85*(L8))</f>
        <v>25550.797500000001</v>
      </c>
      <c r="P695" s="20">
        <f>(4894.27*(L8))</f>
        <v>26184.344499999999</v>
      </c>
      <c r="Q695" s="20">
        <f>(5367.95*(L8))</f>
        <v>28718.532499999998</v>
      </c>
    </row>
    <row r="696" spans="1:17" ht="12.75" customHeight="1" x14ac:dyDescent="0.2">
      <c r="A696" s="6"/>
      <c r="B696" s="10" t="s">
        <v>978</v>
      </c>
      <c r="C696" s="20" t="s">
        <v>273</v>
      </c>
      <c r="D696" s="20" t="s">
        <v>149</v>
      </c>
      <c r="E696" s="20" t="s">
        <v>365</v>
      </c>
      <c r="F696" s="20" t="s">
        <v>210</v>
      </c>
      <c r="G696" s="20" t="s">
        <v>234</v>
      </c>
      <c r="H696" s="20">
        <f>(3885.92*(L8))</f>
        <v>20789.671999999999</v>
      </c>
      <c r="I696" s="20">
        <f>(4013.11*(L8))</f>
        <v>21470.138500000001</v>
      </c>
      <c r="J696" s="20">
        <f>(4089.43*(L8))</f>
        <v>21878.450499999999</v>
      </c>
      <c r="K696" s="20">
        <f>(4292.94*(L8))</f>
        <v>22967.228999999996</v>
      </c>
      <c r="L696" s="20">
        <f>(4420.13*(L8))</f>
        <v>23647.695499999998</v>
      </c>
      <c r="M696" s="20">
        <f>(4572.76*(L8))</f>
        <v>24464.266</v>
      </c>
      <c r="N696" s="20">
        <f>(4750.83*(L8))</f>
        <v>25416.940499999997</v>
      </c>
      <c r="O696" s="20">
        <f>(5005.22*(L8))</f>
        <v>26777.927</v>
      </c>
      <c r="P696" s="20">
        <f>(5132.41*(L8))</f>
        <v>27458.393499999998</v>
      </c>
      <c r="Q696" s="20">
        <f>(5641.18*(L8))</f>
        <v>30180.312999999998</v>
      </c>
    </row>
    <row r="697" spans="1:17" ht="12.75" customHeight="1" x14ac:dyDescent="0.2">
      <c r="A697" s="6"/>
      <c r="B697" s="10" t="s">
        <v>979</v>
      </c>
      <c r="C697" s="20" t="s">
        <v>278</v>
      </c>
      <c r="D697" s="20" t="s">
        <v>149</v>
      </c>
      <c r="E697" s="20" t="s">
        <v>365</v>
      </c>
      <c r="F697" s="20" t="s">
        <v>210</v>
      </c>
      <c r="G697" s="20" t="s">
        <v>243</v>
      </c>
      <c r="H697" s="20">
        <f>(4077.03*(L8))</f>
        <v>21812.110499999999</v>
      </c>
      <c r="I697" s="20">
        <f>(4208.61*(L8))</f>
        <v>22516.063499999997</v>
      </c>
      <c r="J697" s="20">
        <f>(4287.56*(L8))</f>
        <v>22938.446</v>
      </c>
      <c r="K697" s="20">
        <f>(4498.08*(L8))</f>
        <v>24064.727999999999</v>
      </c>
      <c r="L697" s="20">
        <f>(4629.66*(L8))</f>
        <v>24768.680999999997</v>
      </c>
      <c r="M697" s="20">
        <f>(4787.56*(L8))</f>
        <v>25613.446</v>
      </c>
      <c r="N697" s="20">
        <f>(4971.77*(L8))</f>
        <v>26598.969499999999</v>
      </c>
      <c r="O697" s="20">
        <f>(5234.93*(L8))</f>
        <v>28006.875499999998</v>
      </c>
      <c r="P697" s="20">
        <f>(5366.5*(L8))</f>
        <v>28710.774999999998</v>
      </c>
      <c r="Q697" s="20">
        <f>(5892.82*(L8))</f>
        <v>31526.586999999996</v>
      </c>
    </row>
    <row r="698" spans="1:17" ht="12.75" customHeight="1" x14ac:dyDescent="0.2">
      <c r="A698" s="6"/>
      <c r="B698" s="10" t="s">
        <v>980</v>
      </c>
      <c r="C698" s="20" t="s">
        <v>280</v>
      </c>
      <c r="D698" s="20" t="s">
        <v>149</v>
      </c>
      <c r="E698" s="20" t="s">
        <v>365</v>
      </c>
      <c r="F698" s="20" t="s">
        <v>210</v>
      </c>
      <c r="G698" s="20" t="s">
        <v>283</v>
      </c>
      <c r="H698" s="20">
        <f>(4215.19*(L8))</f>
        <v>22551.266499999998</v>
      </c>
      <c r="I698" s="20">
        <f>(4355.54*(L8))</f>
        <v>23302.138999999999</v>
      </c>
      <c r="J698" s="20">
        <f>(4439.75*(L8))</f>
        <v>23752.662499999999</v>
      </c>
      <c r="K698" s="20">
        <f>(4664.31*(L8))</f>
        <v>24954.058499999999</v>
      </c>
      <c r="L698" s="20">
        <f>(4804.66*(L8))</f>
        <v>25704.930999999997</v>
      </c>
      <c r="M698" s="20">
        <f>(4973.09*(L8))</f>
        <v>26606.031499999997</v>
      </c>
      <c r="N698" s="20">
        <f>(5169.58*(L8))</f>
        <v>27657.252999999997</v>
      </c>
      <c r="O698" s="20">
        <f>(5450.28*(L8))</f>
        <v>29158.997999999996</v>
      </c>
      <c r="P698" s="20">
        <f>(5590.63*(L8))</f>
        <v>29909.870499999997</v>
      </c>
      <c r="Q698" s="20">
        <f>(6152.03*(L8))</f>
        <v>32913.360499999995</v>
      </c>
    </row>
    <row r="699" spans="1:17" ht="30" customHeight="1" x14ac:dyDescent="0.35">
      <c r="A699" s="6"/>
      <c r="B699" s="23" t="s">
        <v>981</v>
      </c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5"/>
    </row>
    <row r="700" spans="1:17" ht="12.75" customHeight="1" x14ac:dyDescent="0.2">
      <c r="A700" s="7" t="s">
        <v>6</v>
      </c>
      <c r="B700" s="8" t="s">
        <v>7</v>
      </c>
      <c r="C700" s="8" t="s">
        <v>8</v>
      </c>
      <c r="D700" s="8" t="s">
        <v>9</v>
      </c>
      <c r="E700" s="8" t="s">
        <v>10</v>
      </c>
      <c r="F700" s="8" t="s">
        <v>11</v>
      </c>
      <c r="G700" s="8" t="s">
        <v>12</v>
      </c>
      <c r="H700" s="8" t="s">
        <v>13</v>
      </c>
      <c r="I700" s="8" t="s">
        <v>14</v>
      </c>
      <c r="J700" s="8" t="s">
        <v>15</v>
      </c>
      <c r="K700" s="8" t="s">
        <v>16</v>
      </c>
      <c r="L700" s="8" t="s">
        <v>17</v>
      </c>
      <c r="M700" s="8" t="s">
        <v>18</v>
      </c>
      <c r="N700" s="8" t="s">
        <v>19</v>
      </c>
      <c r="O700" s="8" t="s">
        <v>20</v>
      </c>
      <c r="P700" s="8" t="s">
        <v>21</v>
      </c>
      <c r="Q700" s="8" t="s">
        <v>22</v>
      </c>
    </row>
    <row r="701" spans="1:17" ht="12.75" customHeight="1" x14ac:dyDescent="0.2">
      <c r="A701" s="6"/>
      <c r="B701" s="10" t="s">
        <v>982</v>
      </c>
      <c r="C701" s="20" t="s">
        <v>273</v>
      </c>
      <c r="D701" s="20" t="s">
        <v>857</v>
      </c>
      <c r="E701" s="20" t="s">
        <v>983</v>
      </c>
      <c r="F701" s="20" t="s">
        <v>366</v>
      </c>
      <c r="G701" s="20" t="s">
        <v>182</v>
      </c>
      <c r="H701" s="20">
        <f>(5228.49*(L8))</f>
        <v>27972.421499999997</v>
      </c>
      <c r="I701" s="20">
        <f>(5333.75*(L8))</f>
        <v>28535.562499999996</v>
      </c>
      <c r="J701" s="20">
        <f>(5396.91*(L8))</f>
        <v>28873.468499999999</v>
      </c>
      <c r="K701" s="20">
        <f>(5565.33*(L8))</f>
        <v>29774.515499999998</v>
      </c>
      <c r="L701" s="20">
        <f>(5670.59*(L8))</f>
        <v>30337.656499999997</v>
      </c>
      <c r="M701" s="20">
        <f>(5796.91*(L8))</f>
        <v>31013.468499999995</v>
      </c>
      <c r="N701" s="20">
        <f>(5944.27*(L8))</f>
        <v>31801.844499999999</v>
      </c>
      <c r="O701" s="20">
        <f>(6154.8*(L8))</f>
        <v>32928.18</v>
      </c>
      <c r="P701" s="20">
        <f>(6260.06*(L8))</f>
        <v>33491.321000000004</v>
      </c>
      <c r="Q701" s="20">
        <f>(6681.12*(L8))</f>
        <v>35743.991999999998</v>
      </c>
    </row>
    <row r="702" spans="1:17" ht="12.75" customHeight="1" x14ac:dyDescent="0.2">
      <c r="A702" s="6"/>
      <c r="B702" s="10" t="s">
        <v>984</v>
      </c>
      <c r="C702" s="20" t="s">
        <v>278</v>
      </c>
      <c r="D702" s="20" t="s">
        <v>857</v>
      </c>
      <c r="E702" s="20" t="s">
        <v>983</v>
      </c>
      <c r="F702" s="20" t="s">
        <v>366</v>
      </c>
      <c r="G702" s="20" t="s">
        <v>185</v>
      </c>
      <c r="H702" s="20">
        <f>(5425.15*(L8))</f>
        <v>29024.552499999994</v>
      </c>
      <c r="I702" s="20">
        <f>(5534.8*(L8))</f>
        <v>29611.18</v>
      </c>
      <c r="J702" s="20">
        <f>(5600.59*(L8))</f>
        <v>29963.156499999997</v>
      </c>
      <c r="K702" s="20">
        <f>(5776.03*(L8))</f>
        <v>30901.760499999997</v>
      </c>
      <c r="L702" s="20">
        <f>(5885.68*(L8))</f>
        <v>31488.387999999999</v>
      </c>
      <c r="M702" s="20">
        <f>(6017.26*(L8))</f>
        <v>32192.341</v>
      </c>
      <c r="N702" s="20">
        <f>(6170.77*(L8))</f>
        <v>33013.619500000001</v>
      </c>
      <c r="O702" s="20">
        <f>(6390.06*(L8))</f>
        <v>34186.820999999996</v>
      </c>
      <c r="P702" s="20">
        <f>(6499.71*(L8))</f>
        <v>34773.448499999999</v>
      </c>
      <c r="Q702" s="20">
        <f>(6938.31*(L8))</f>
        <v>37119.958500000001</v>
      </c>
    </row>
    <row r="703" spans="1:17" ht="12.75" customHeight="1" x14ac:dyDescent="0.2">
      <c r="A703" s="6"/>
      <c r="B703" s="10" t="s">
        <v>985</v>
      </c>
      <c r="C703" s="20" t="s">
        <v>280</v>
      </c>
      <c r="D703" s="20" t="s">
        <v>857</v>
      </c>
      <c r="E703" s="20" t="s">
        <v>983</v>
      </c>
      <c r="F703" s="20" t="s">
        <v>366</v>
      </c>
      <c r="G703" s="20" t="s">
        <v>229</v>
      </c>
      <c r="H703" s="20">
        <f>(5640.05*(L8))</f>
        <v>30174.267499999998</v>
      </c>
      <c r="I703" s="20">
        <f>(5754.08*(L8))</f>
        <v>30784.327999999998</v>
      </c>
      <c r="J703" s="20">
        <f>(5822.5*(L8))</f>
        <v>31150.374999999996</v>
      </c>
      <c r="K703" s="20">
        <f>(6004.96*(L8))</f>
        <v>32126.535999999996</v>
      </c>
      <c r="L703" s="20">
        <f>(6118.99*(L8))</f>
        <v>32736.596499999996</v>
      </c>
      <c r="M703" s="20">
        <f>(6255.84*(L8))</f>
        <v>33468.743999999999</v>
      </c>
      <c r="N703" s="20">
        <f>(6415.49*(L8))</f>
        <v>34322.871499999994</v>
      </c>
      <c r="O703" s="20">
        <f>(6643.56*(L8))</f>
        <v>35543.046000000002</v>
      </c>
      <c r="P703" s="20">
        <f>(6757.59*(L8))</f>
        <v>36153.106500000002</v>
      </c>
      <c r="Q703" s="20">
        <f>(7213.73*(L8))</f>
        <v>38593.455499999996</v>
      </c>
    </row>
    <row r="704" spans="1:17" ht="12.75" customHeight="1" x14ac:dyDescent="0.2">
      <c r="A704" s="6"/>
      <c r="B704" s="10" t="s">
        <v>986</v>
      </c>
      <c r="C704" s="20" t="s">
        <v>236</v>
      </c>
      <c r="D704" s="20" t="s">
        <v>857</v>
      </c>
      <c r="E704" s="20" t="s">
        <v>983</v>
      </c>
      <c r="F704" s="20" t="s">
        <v>366</v>
      </c>
      <c r="G704" s="20" t="s">
        <v>231</v>
      </c>
      <c r="H704" s="20">
        <f>(5862.26*(L8))</f>
        <v>31363.091</v>
      </c>
      <c r="I704" s="20">
        <f>(5985.06*(L8))</f>
        <v>32020.071</v>
      </c>
      <c r="J704" s="20">
        <f>(6058.75*(L8))</f>
        <v>32414.312499999996</v>
      </c>
      <c r="K704" s="20">
        <f>(6255.24*(L8))</f>
        <v>33465.534</v>
      </c>
      <c r="L704" s="20">
        <f>(6378.05*(L8))</f>
        <v>34122.567499999997</v>
      </c>
      <c r="M704" s="20">
        <f>(6525.42*(L8))</f>
        <v>34910.996999999996</v>
      </c>
      <c r="N704" s="20">
        <f>(6697.35*(L8))</f>
        <v>35830.822500000002</v>
      </c>
      <c r="O704" s="20">
        <f>(6942.96*(L8))</f>
        <v>37144.835999999996</v>
      </c>
      <c r="P704" s="20">
        <f>(7065.77*(L8))</f>
        <v>37801.869500000001</v>
      </c>
      <c r="Q704" s="20">
        <f>(7556.99*(L8))</f>
        <v>40429.896499999995</v>
      </c>
    </row>
    <row r="705" spans="1:17" ht="30" customHeight="1" x14ac:dyDescent="0.35">
      <c r="A705" s="6"/>
      <c r="B705" s="23" t="s">
        <v>987</v>
      </c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5"/>
    </row>
    <row r="706" spans="1:17" ht="12.75" customHeight="1" x14ac:dyDescent="0.2">
      <c r="A706" s="7" t="s">
        <v>6</v>
      </c>
      <c r="B706" s="8" t="s">
        <v>7</v>
      </c>
      <c r="C706" s="8" t="s">
        <v>8</v>
      </c>
      <c r="D706" s="8" t="s">
        <v>9</v>
      </c>
      <c r="E706" s="8" t="s">
        <v>10</v>
      </c>
      <c r="F706" s="8" t="s">
        <v>11</v>
      </c>
      <c r="G706" s="8" t="s">
        <v>12</v>
      </c>
      <c r="H706" s="8" t="s">
        <v>13</v>
      </c>
      <c r="I706" s="8" t="s">
        <v>14</v>
      </c>
      <c r="J706" s="8" t="s">
        <v>15</v>
      </c>
      <c r="K706" s="8" t="s">
        <v>16</v>
      </c>
      <c r="L706" s="8" t="s">
        <v>17</v>
      </c>
      <c r="M706" s="8" t="s">
        <v>18</v>
      </c>
      <c r="N706" s="8" t="s">
        <v>19</v>
      </c>
      <c r="O706" s="8" t="s">
        <v>20</v>
      </c>
      <c r="P706" s="8" t="s">
        <v>21</v>
      </c>
      <c r="Q706" s="8" t="s">
        <v>22</v>
      </c>
    </row>
    <row r="707" spans="1:17" ht="12.75" customHeight="1" x14ac:dyDescent="0.2">
      <c r="A707" s="6"/>
      <c r="B707" s="10" t="s">
        <v>988</v>
      </c>
      <c r="C707" s="20" t="s">
        <v>136</v>
      </c>
      <c r="D707" s="20" t="s">
        <v>464</v>
      </c>
      <c r="E707" s="20" t="s">
        <v>312</v>
      </c>
      <c r="F707" s="20" t="s">
        <v>405</v>
      </c>
      <c r="G707" s="20" t="s">
        <v>185</v>
      </c>
      <c r="H707" s="20">
        <f>(4745.23*(L8))</f>
        <v>25386.980499999994</v>
      </c>
      <c r="I707" s="20">
        <f>(4814.53*(L8))</f>
        <v>25757.735499999995</v>
      </c>
      <c r="J707" s="20">
        <f>(4856.11*(L8))</f>
        <v>25980.188499999997</v>
      </c>
      <c r="K707" s="20">
        <f>(4966.99*(L8))</f>
        <v>26573.396499999995</v>
      </c>
      <c r="L707" s="20">
        <f>(5036.29*(L8))</f>
        <v>26944.151499999996</v>
      </c>
      <c r="M707" s="20">
        <f>(5119.44*(L8))</f>
        <v>27389.003999999997</v>
      </c>
      <c r="N707" s="20">
        <f>(5216.46*(L8))</f>
        <v>27908.060999999998</v>
      </c>
      <c r="O707" s="20">
        <f>(5355.06*(L8))</f>
        <v>28649.571</v>
      </c>
      <c r="P707" s="20">
        <f>(5424.36*(L8))</f>
        <v>29020.325999999997</v>
      </c>
      <c r="Q707" s="20">
        <f>(5701.55*(L8))</f>
        <v>30503.2925</v>
      </c>
    </row>
    <row r="708" spans="1:17" ht="12.75" customHeight="1" x14ac:dyDescent="0.2">
      <c r="A708" s="6"/>
      <c r="B708" s="10" t="s">
        <v>989</v>
      </c>
      <c r="C708" s="20" t="s">
        <v>137</v>
      </c>
      <c r="D708" s="20" t="s">
        <v>464</v>
      </c>
      <c r="E708" s="20" t="s">
        <v>312</v>
      </c>
      <c r="F708" s="20" t="s">
        <v>405</v>
      </c>
      <c r="G708" s="20" t="s">
        <v>154</v>
      </c>
      <c r="H708" s="20">
        <f>(4876.97*(L8))</f>
        <v>26091.789499999999</v>
      </c>
      <c r="I708" s="20">
        <f>(4955.92*(L8))</f>
        <v>26514.171999999999</v>
      </c>
      <c r="J708" s="20">
        <f>(5003.29*(L8))</f>
        <v>26767.601499999997</v>
      </c>
      <c r="K708" s="20">
        <f>(5129.6*(L8))</f>
        <v>27443.360000000001</v>
      </c>
      <c r="L708" s="20">
        <f>(5208.55*(L8))</f>
        <v>27865.7425</v>
      </c>
      <c r="M708" s="20">
        <f>(5303.29*(L8))</f>
        <v>28372.601499999997</v>
      </c>
      <c r="N708" s="20">
        <f>(5413.81*(L8))</f>
        <v>28963.8835</v>
      </c>
      <c r="O708" s="20">
        <f>(5571.71*(L8))</f>
        <v>29808.648499999999</v>
      </c>
      <c r="P708" s="20">
        <f>(5650.65*(L8))</f>
        <v>30230.977499999997</v>
      </c>
      <c r="Q708" s="20">
        <f>(5966.44*(L8))</f>
        <v>31920.453999999994</v>
      </c>
    </row>
    <row r="709" spans="1:17" ht="12.75" customHeight="1" x14ac:dyDescent="0.2">
      <c r="A709" s="6"/>
      <c r="B709" s="10" t="s">
        <v>990</v>
      </c>
      <c r="C709" s="20" t="s">
        <v>292</v>
      </c>
      <c r="D709" s="20" t="s">
        <v>464</v>
      </c>
      <c r="E709" s="20" t="s">
        <v>312</v>
      </c>
      <c r="F709" s="20" t="s">
        <v>405</v>
      </c>
      <c r="G709" s="20" t="s">
        <v>421</v>
      </c>
      <c r="H709" s="20">
        <f>(5157.52*(L8))</f>
        <v>27592.732</v>
      </c>
      <c r="I709" s="20">
        <f>(5240.86*(L8))</f>
        <v>28038.600999999995</v>
      </c>
      <c r="J709" s="20">
        <f>(5290.86*(L8))</f>
        <v>28306.100999999995</v>
      </c>
      <c r="K709" s="20">
        <f>(5424.19*(L8))</f>
        <v>29019.416499999996</v>
      </c>
      <c r="L709" s="20">
        <f>(5507.52*(L8))</f>
        <v>29465.232</v>
      </c>
      <c r="M709" s="20">
        <f>(5607.52*(L8))</f>
        <v>30000.232</v>
      </c>
      <c r="N709" s="20">
        <f>(5724.19*(L8))</f>
        <v>30624.416499999996</v>
      </c>
      <c r="O709" s="20">
        <f>(5890.86*(L8))</f>
        <v>31516.100999999995</v>
      </c>
      <c r="P709" s="20">
        <f>(5974.19*(L8))</f>
        <v>31961.916499999996</v>
      </c>
      <c r="Q709" s="20">
        <f>(6307.52*(L8))</f>
        <v>33745.232000000004</v>
      </c>
    </row>
    <row r="710" spans="1:17" ht="12.75" customHeight="1" x14ac:dyDescent="0.2">
      <c r="A710" s="6"/>
      <c r="B710" s="10" t="s">
        <v>991</v>
      </c>
      <c r="C710" s="20" t="s">
        <v>273</v>
      </c>
      <c r="D710" s="20" t="s">
        <v>464</v>
      </c>
      <c r="E710" s="20" t="s">
        <v>312</v>
      </c>
      <c r="F710" s="20" t="s">
        <v>405</v>
      </c>
      <c r="G710" s="20" t="s">
        <v>231</v>
      </c>
      <c r="H710" s="20">
        <f>(5381.14*(L8))</f>
        <v>28789.098999999998</v>
      </c>
      <c r="I710" s="20">
        <f>(5468.86*(L8))</f>
        <v>29258.400999999998</v>
      </c>
      <c r="J710" s="20">
        <f>(5521.49*(L8))</f>
        <v>29539.971499999996</v>
      </c>
      <c r="K710" s="20">
        <f>(5661.84*(L8))</f>
        <v>30290.843999999997</v>
      </c>
      <c r="L710" s="20">
        <f>(5749.56*(L8))</f>
        <v>30760.146000000001</v>
      </c>
      <c r="M710" s="20">
        <f>(5854.82*(L8))</f>
        <v>31323.286999999997</v>
      </c>
      <c r="N710" s="20">
        <f>(5977.63*(L8))</f>
        <v>31980.320499999998</v>
      </c>
      <c r="O710" s="20">
        <f>(6153.07*(L8))</f>
        <v>32918.924499999994</v>
      </c>
      <c r="P710" s="20">
        <f>(6240.79*(L8))</f>
        <v>33388.226499999997</v>
      </c>
      <c r="Q710" s="20">
        <f>(6591.66*(L8))</f>
        <v>35265.380999999994</v>
      </c>
    </row>
    <row r="711" spans="1:17" ht="12.75" customHeight="1" x14ac:dyDescent="0.2">
      <c r="A711" s="6"/>
      <c r="B711" s="10" t="s">
        <v>992</v>
      </c>
      <c r="C711" s="20" t="s">
        <v>278</v>
      </c>
      <c r="D711" s="20" t="s">
        <v>464</v>
      </c>
      <c r="E711" s="20" t="s">
        <v>312</v>
      </c>
      <c r="F711" s="20" t="s">
        <v>405</v>
      </c>
      <c r="G711" s="20" t="s">
        <v>435</v>
      </c>
      <c r="H711" s="20">
        <f>(5619.79*(L8))</f>
        <v>30065.876499999998</v>
      </c>
      <c r="I711" s="20">
        <f>(5711.9*(L8))</f>
        <v>30558.664999999997</v>
      </c>
      <c r="J711" s="20">
        <f>(5767.16*(L8))</f>
        <v>30854.305999999997</v>
      </c>
      <c r="K711" s="20">
        <f>(5914.53*(L8))</f>
        <v>31642.735499999995</v>
      </c>
      <c r="L711" s="20">
        <f>(6006.64*(L8))</f>
        <v>32135.524000000001</v>
      </c>
      <c r="M711" s="20">
        <f>(6117.16*(L8))</f>
        <v>32726.805999999997</v>
      </c>
      <c r="N711" s="20">
        <f>(6246.11*(L8))</f>
        <v>33416.688499999997</v>
      </c>
      <c r="O711" s="20">
        <f>(6430.32*(L8))</f>
        <v>34402.212</v>
      </c>
      <c r="P711" s="20">
        <f>(6522.43*(L8))</f>
        <v>34895.000500000002</v>
      </c>
      <c r="Q711" s="20">
        <f>(6890.85*(L8))</f>
        <v>36866.047500000001</v>
      </c>
    </row>
    <row r="712" spans="1:17" ht="12.75" customHeight="1" x14ac:dyDescent="0.2">
      <c r="A712" s="6"/>
      <c r="B712" s="10" t="s">
        <v>993</v>
      </c>
      <c r="C712" s="20" t="s">
        <v>280</v>
      </c>
      <c r="D712" s="20" t="s">
        <v>464</v>
      </c>
      <c r="E712" s="20" t="s">
        <v>312</v>
      </c>
      <c r="F712" s="20" t="s">
        <v>405</v>
      </c>
      <c r="G712" s="20" t="s">
        <v>237</v>
      </c>
      <c r="H712" s="20">
        <f>(5864.14*(L8))</f>
        <v>31373.149000000001</v>
      </c>
      <c r="I712" s="20">
        <f>(5956.24*(L8))</f>
        <v>31865.883999999998</v>
      </c>
      <c r="J712" s="20">
        <f>(6011.5*(L8))</f>
        <v>32161.524999999998</v>
      </c>
      <c r="K712" s="20">
        <f>(6158.87*(L8))</f>
        <v>32949.9545</v>
      </c>
      <c r="L712" s="20">
        <f>(6250.98*(L8))</f>
        <v>33442.742999999995</v>
      </c>
      <c r="M712" s="20">
        <f>(6361.5*(L8))</f>
        <v>34034.024999999994</v>
      </c>
      <c r="N712" s="20">
        <f>(6490.45*(L8))</f>
        <v>34723.907499999994</v>
      </c>
      <c r="O712" s="20">
        <f>(6674.66*(L8))</f>
        <v>35709.430999999997</v>
      </c>
      <c r="P712" s="20">
        <f>(6766.77*(L8))</f>
        <v>36202.219499999999</v>
      </c>
      <c r="Q712" s="20">
        <f>(7135.19*(L8))</f>
        <v>38173.266499999998</v>
      </c>
    </row>
    <row r="713" spans="1:17" ht="12.75" customHeight="1" x14ac:dyDescent="0.2">
      <c r="A713" s="6"/>
      <c r="B713" s="10" t="s">
        <v>994</v>
      </c>
      <c r="C713" s="20" t="s">
        <v>236</v>
      </c>
      <c r="D713" s="20" t="s">
        <v>464</v>
      </c>
      <c r="E713" s="20" t="s">
        <v>312</v>
      </c>
      <c r="F713" s="20" t="s">
        <v>405</v>
      </c>
      <c r="G713" s="20" t="s">
        <v>440</v>
      </c>
      <c r="H713" s="20">
        <f>(6148.51*(L8))</f>
        <v>32894.5285</v>
      </c>
      <c r="I713" s="20">
        <f>(6249.39*(L8))</f>
        <v>33434.236499999999</v>
      </c>
      <c r="J713" s="20">
        <f>(6309.91*(L8))</f>
        <v>33758.018499999998</v>
      </c>
      <c r="K713" s="20">
        <f>(6471.32*(L8))</f>
        <v>34621.561999999998</v>
      </c>
      <c r="L713" s="20">
        <f>(6572.19*(L8))</f>
        <v>35161.216499999995</v>
      </c>
      <c r="M713" s="20">
        <f>(6693.25*(L8))</f>
        <v>35808.887499999997</v>
      </c>
      <c r="N713" s="20">
        <f>(6834.48*(L8))</f>
        <v>36564.467999999993</v>
      </c>
      <c r="O713" s="20">
        <f>(7036.23*(L8))</f>
        <v>37643.830499999996</v>
      </c>
      <c r="P713" s="20">
        <f>(7137.11*(L8))</f>
        <v>38183.538499999995</v>
      </c>
      <c r="Q713" s="20">
        <f>(7540.62*(L8))</f>
        <v>40342.316999999995</v>
      </c>
    </row>
    <row r="714" spans="1:17" ht="30" customHeight="1" x14ac:dyDescent="0.35">
      <c r="A714" s="6"/>
      <c r="B714" s="23" t="s">
        <v>995</v>
      </c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5"/>
    </row>
    <row r="715" spans="1:17" ht="12.75" customHeight="1" x14ac:dyDescent="0.2">
      <c r="A715" s="7" t="s">
        <v>6</v>
      </c>
      <c r="B715" s="8" t="s">
        <v>7</v>
      </c>
      <c r="C715" s="8" t="s">
        <v>8</v>
      </c>
      <c r="D715" s="8" t="s">
        <v>9</v>
      </c>
      <c r="E715" s="8" t="s">
        <v>10</v>
      </c>
      <c r="F715" s="8" t="s">
        <v>11</v>
      </c>
      <c r="G715" s="8" t="s">
        <v>12</v>
      </c>
      <c r="H715" s="8" t="s">
        <v>13</v>
      </c>
      <c r="I715" s="8" t="s">
        <v>14</v>
      </c>
      <c r="J715" s="8" t="s">
        <v>15</v>
      </c>
      <c r="K715" s="8" t="s">
        <v>16</v>
      </c>
      <c r="L715" s="8" t="s">
        <v>17</v>
      </c>
      <c r="M715" s="8" t="s">
        <v>18</v>
      </c>
      <c r="N715" s="8" t="s">
        <v>19</v>
      </c>
      <c r="O715" s="8" t="s">
        <v>20</v>
      </c>
      <c r="P715" s="8" t="s">
        <v>21</v>
      </c>
      <c r="Q715" s="8" t="s">
        <v>22</v>
      </c>
    </row>
    <row r="716" spans="1:17" ht="12.75" customHeight="1" x14ac:dyDescent="0.2">
      <c r="A716" s="6"/>
      <c r="B716" s="10" t="s">
        <v>996</v>
      </c>
      <c r="C716" s="20" t="s">
        <v>40</v>
      </c>
      <c r="D716" s="20" t="s">
        <v>778</v>
      </c>
      <c r="E716" s="20" t="s">
        <v>226</v>
      </c>
      <c r="F716" s="96" t="s">
        <v>1461</v>
      </c>
      <c r="G716" s="20" t="s">
        <v>262</v>
      </c>
      <c r="H716" s="20">
        <f>(3711.23*(L8))</f>
        <v>19855.0805</v>
      </c>
      <c r="I716" s="20">
        <f>(3781.4*(L8))</f>
        <v>20230.489999999998</v>
      </c>
      <c r="J716" s="20">
        <f>(3823.51*(L8))</f>
        <v>20455.7785</v>
      </c>
      <c r="K716" s="20">
        <f>(3935.79*(L8))</f>
        <v>21056.476499999997</v>
      </c>
      <c r="L716" s="20">
        <f>(4005.97*(L8))</f>
        <v>21431.939499999997</v>
      </c>
      <c r="M716" s="20">
        <f>(4090.18*(L8))</f>
        <v>21882.462999999996</v>
      </c>
      <c r="N716" s="20">
        <f>(4188.42*(L8))</f>
        <v>22408.046999999999</v>
      </c>
      <c r="O716" s="20">
        <f>(4328.77*(L8))</f>
        <v>23158.9195</v>
      </c>
      <c r="P716" s="20">
        <f>(4398.95*(L8))</f>
        <v>23534.382499999996</v>
      </c>
      <c r="Q716" s="20">
        <f>(4679.65*(L8))</f>
        <v>25036.127499999995</v>
      </c>
    </row>
    <row r="717" spans="1:17" ht="12.75" customHeight="1" x14ac:dyDescent="0.2">
      <c r="A717" s="6"/>
      <c r="B717" s="10" t="s">
        <v>997</v>
      </c>
      <c r="C717" s="20" t="s">
        <v>259</v>
      </c>
      <c r="D717" s="20" t="s">
        <v>778</v>
      </c>
      <c r="E717" s="20" t="s">
        <v>226</v>
      </c>
      <c r="F717" s="96" t="s">
        <v>1461</v>
      </c>
      <c r="G717" s="20" t="s">
        <v>152</v>
      </c>
      <c r="H717" s="20">
        <f>(3857.49*(L8))</f>
        <v>20637.571499999998</v>
      </c>
      <c r="I717" s="20">
        <f>(3932.93*(L8))</f>
        <v>21041.175499999998</v>
      </c>
      <c r="J717" s="20">
        <f>(3978.19*(L8))</f>
        <v>21283.316499999997</v>
      </c>
      <c r="K717" s="20">
        <f>(4098.9*(L8))</f>
        <v>21929.114999999998</v>
      </c>
      <c r="L717" s="20">
        <f>(4174.33*(L8))</f>
        <v>22332.665499999999</v>
      </c>
      <c r="M717" s="20">
        <f>(4264.86*(L8))</f>
        <v>22817.000999999997</v>
      </c>
      <c r="N717" s="20">
        <f>(4370.48*(L8))</f>
        <v>23382.067999999996</v>
      </c>
      <c r="O717" s="20">
        <f>(4521.35*(L8))</f>
        <v>24189.2225</v>
      </c>
      <c r="P717" s="20">
        <f>(4596.79*(L8))</f>
        <v>24592.826499999999</v>
      </c>
      <c r="Q717" s="20">
        <f>(4898.55*(L8))</f>
        <v>26207.2425</v>
      </c>
    </row>
    <row r="718" spans="1:17" ht="12.75" customHeight="1" x14ac:dyDescent="0.2">
      <c r="A718" s="6"/>
      <c r="B718" s="10" t="s">
        <v>998</v>
      </c>
      <c r="C718" s="20" t="s">
        <v>165</v>
      </c>
      <c r="D718" s="20" t="s">
        <v>778</v>
      </c>
      <c r="E718" s="20" t="s">
        <v>226</v>
      </c>
      <c r="F718" s="96" t="s">
        <v>1461</v>
      </c>
      <c r="G718" s="20" t="s">
        <v>166</v>
      </c>
      <c r="H718" s="20">
        <f>(4003.33*(L8))</f>
        <v>21417.815499999997</v>
      </c>
      <c r="I718" s="20">
        <f>(4084.04*(L8))</f>
        <v>21849.613999999998</v>
      </c>
      <c r="J718" s="20">
        <f>(4132.46*(L8))</f>
        <v>22108.661</v>
      </c>
      <c r="K718" s="20">
        <f>(4261.58*(L8))</f>
        <v>22799.452999999998</v>
      </c>
      <c r="L718" s="20">
        <f>(4342.28*(L8))</f>
        <v>23231.197999999997</v>
      </c>
      <c r="M718" s="20">
        <f>(4439.12*(L8))</f>
        <v>23749.291999999998</v>
      </c>
      <c r="N718" s="20">
        <f>(4552.11*(L8))</f>
        <v>24353.788499999995</v>
      </c>
      <c r="O718" s="20">
        <f>(4713.51*(L8))</f>
        <v>25217.2785</v>
      </c>
      <c r="P718" s="20">
        <f>(4794.21*(L8))</f>
        <v>25649.023499999999</v>
      </c>
      <c r="Q718" s="20">
        <f>(5117.02*(L8))</f>
        <v>27376.057000000001</v>
      </c>
    </row>
    <row r="719" spans="1:17" ht="12.75" customHeight="1" x14ac:dyDescent="0.2">
      <c r="A719" s="6"/>
      <c r="B719" s="10" t="s">
        <v>999</v>
      </c>
      <c r="C719" s="20" t="s">
        <v>168</v>
      </c>
      <c r="D719" s="20" t="s">
        <v>778</v>
      </c>
      <c r="E719" s="20" t="s">
        <v>226</v>
      </c>
      <c r="F719" s="96" t="s">
        <v>1461</v>
      </c>
      <c r="G719" s="20" t="s">
        <v>154</v>
      </c>
      <c r="H719" s="20">
        <f>(4373.84*(L8))</f>
        <v>23400.043999999998</v>
      </c>
      <c r="I719" s="20">
        <f>(4459.81*(L8))</f>
        <v>23859.983500000002</v>
      </c>
      <c r="J719" s="20">
        <f>(4511.39*(L8))</f>
        <v>24135.9365</v>
      </c>
      <c r="K719" s="20">
        <f>(4648.93*(L8))</f>
        <v>24871.7755</v>
      </c>
      <c r="L719" s="20">
        <f>(4734.9*(L8))</f>
        <v>25331.714999999997</v>
      </c>
      <c r="M719" s="20">
        <f>(4838.05*(L8))</f>
        <v>25883.567500000001</v>
      </c>
      <c r="N719" s="20">
        <f>(4958.4*(L8))</f>
        <v>26527.439999999995</v>
      </c>
      <c r="O719" s="20">
        <f>(5130.33*(L8))</f>
        <v>27447.265499999998</v>
      </c>
      <c r="P719" s="20">
        <f>(5216.3*(L8))</f>
        <v>27907.204999999998</v>
      </c>
      <c r="Q719" s="20">
        <f>(5560.16*(L8))</f>
        <v>29746.855999999996</v>
      </c>
    </row>
    <row r="720" spans="1:17" ht="12.75" customHeight="1" x14ac:dyDescent="0.2">
      <c r="A720" s="6"/>
      <c r="B720" s="10" t="s">
        <v>1000</v>
      </c>
      <c r="C720" s="20" t="s">
        <v>170</v>
      </c>
      <c r="D720" s="20" t="s">
        <v>778</v>
      </c>
      <c r="E720" s="20" t="s">
        <v>226</v>
      </c>
      <c r="F720" s="96" t="s">
        <v>1461</v>
      </c>
      <c r="G720" s="20" t="s">
        <v>157</v>
      </c>
      <c r="H720" s="20">
        <f>(4343.46*(L8))</f>
        <v>23237.510999999999</v>
      </c>
      <c r="I720" s="20">
        <f>(4435.56*(L8))</f>
        <v>23730.245999999999</v>
      </c>
      <c r="J720" s="20">
        <f>(4490.83*(L8))</f>
        <v>24025.940499999997</v>
      </c>
      <c r="K720" s="20">
        <f>(4638.19*(L8))</f>
        <v>24814.316499999997</v>
      </c>
      <c r="L720" s="20">
        <f>(4730.3*(L8))</f>
        <v>25307.105</v>
      </c>
      <c r="M720" s="20">
        <f>(4840.83*(L8))</f>
        <v>25898.440499999997</v>
      </c>
      <c r="N720" s="20">
        <f>(4969.77*(L8))</f>
        <v>26588.269500000002</v>
      </c>
      <c r="O720" s="20">
        <f>(5153.98*(L8))</f>
        <v>27573.792999999994</v>
      </c>
      <c r="P720" s="20">
        <f>(5246.09*(L8))</f>
        <v>28066.5815</v>
      </c>
      <c r="Q720" s="20">
        <f>(5614.51*(L8))</f>
        <v>30037.628499999999</v>
      </c>
    </row>
    <row r="721" spans="1:17" ht="12.75" customHeight="1" x14ac:dyDescent="0.2">
      <c r="A721" s="6"/>
      <c r="B721" s="10" t="s">
        <v>1001</v>
      </c>
      <c r="C721" s="20" t="s">
        <v>172</v>
      </c>
      <c r="D721" s="20" t="s">
        <v>778</v>
      </c>
      <c r="E721" s="20" t="s">
        <v>226</v>
      </c>
      <c r="F721" s="96" t="s">
        <v>1461</v>
      </c>
      <c r="G721" s="20" t="s">
        <v>160</v>
      </c>
      <c r="H721" s="20">
        <f>(4540.04*(L8))</f>
        <v>24289.214</v>
      </c>
      <c r="I721" s="20">
        <f>(4637.41*(L8))</f>
        <v>24810.143499999998</v>
      </c>
      <c r="J721" s="20">
        <f>(4695.83*(L8))</f>
        <v>25122.690499999997</v>
      </c>
      <c r="K721" s="20">
        <f>(4851.62*(L8))</f>
        <v>25956.166999999998</v>
      </c>
      <c r="L721" s="20">
        <f>(4948.99*(L8))</f>
        <v>26477.096499999996</v>
      </c>
      <c r="M721" s="20">
        <f>(5065.83*(L8))</f>
        <v>27102.190499999997</v>
      </c>
      <c r="N721" s="20">
        <f>(5202.14*(L8))</f>
        <v>27831.449000000001</v>
      </c>
      <c r="O721" s="20">
        <f>(5396.88*(L8))</f>
        <v>28873.307999999997</v>
      </c>
      <c r="P721" s="20">
        <f>(5494.25*(L8))</f>
        <v>29394.237499999999</v>
      </c>
      <c r="Q721" s="20">
        <f>(5883.72*(L8))</f>
        <v>31477.901999999998</v>
      </c>
    </row>
    <row r="722" spans="1:17" ht="12.75" customHeight="1" x14ac:dyDescent="0.2">
      <c r="A722" s="6"/>
      <c r="B722" s="10" t="s">
        <v>1002</v>
      </c>
      <c r="C722" s="20" t="s">
        <v>218</v>
      </c>
      <c r="D722" s="20" t="s">
        <v>778</v>
      </c>
      <c r="E722" s="20" t="s">
        <v>226</v>
      </c>
      <c r="F722" s="96" t="s">
        <v>1461</v>
      </c>
      <c r="G722" s="20" t="s">
        <v>229</v>
      </c>
      <c r="H722" s="20">
        <f>(4919.86*(L8))</f>
        <v>26321.250999999997</v>
      </c>
      <c r="I722" s="20">
        <f>(5031.27*(L8))</f>
        <v>26917.2945</v>
      </c>
      <c r="J722" s="20">
        <f>(5098.11*(L8))</f>
        <v>27274.888499999997</v>
      </c>
      <c r="K722" s="20">
        <f>(5276.35*(L8))</f>
        <v>28228.4725</v>
      </c>
      <c r="L722" s="20">
        <f>(5387.76*(L8))</f>
        <v>28824.516</v>
      </c>
      <c r="M722" s="20">
        <f>(5521.44*(L8))</f>
        <v>29539.703999999994</v>
      </c>
      <c r="N722" s="20">
        <f>(5677.41*(L8))</f>
        <v>30374.143499999998</v>
      </c>
      <c r="O722" s="20">
        <f>(5900.21*(L8))</f>
        <v>31566.123499999998</v>
      </c>
      <c r="P722" s="20">
        <f>(6011.62*(L8))</f>
        <v>32162.166999999998</v>
      </c>
      <c r="Q722" s="20">
        <f>(6457.23*(L8))</f>
        <v>34546.180499999995</v>
      </c>
    </row>
    <row r="723" spans="1:17" ht="30" customHeight="1" x14ac:dyDescent="0.35">
      <c r="A723" s="6"/>
      <c r="B723" s="23" t="s">
        <v>1003</v>
      </c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5"/>
    </row>
    <row r="724" spans="1:17" ht="12.75" customHeight="1" x14ac:dyDescent="0.2">
      <c r="A724" s="7" t="s">
        <v>6</v>
      </c>
      <c r="B724" s="8" t="s">
        <v>7</v>
      </c>
      <c r="C724" s="8" t="s">
        <v>8</v>
      </c>
      <c r="D724" s="8" t="s">
        <v>9</v>
      </c>
      <c r="E724" s="8" t="s">
        <v>10</v>
      </c>
      <c r="F724" s="8" t="s">
        <v>11</v>
      </c>
      <c r="G724" s="8" t="s">
        <v>12</v>
      </c>
      <c r="H724" s="8" t="s">
        <v>13</v>
      </c>
      <c r="I724" s="8" t="s">
        <v>14</v>
      </c>
      <c r="J724" s="8" t="s">
        <v>15</v>
      </c>
      <c r="K724" s="8" t="s">
        <v>16</v>
      </c>
      <c r="L724" s="8" t="s">
        <v>17</v>
      </c>
      <c r="M724" s="8" t="s">
        <v>18</v>
      </c>
      <c r="N724" s="8" t="s">
        <v>19</v>
      </c>
      <c r="O724" s="8" t="s">
        <v>20</v>
      </c>
      <c r="P724" s="8" t="s">
        <v>21</v>
      </c>
      <c r="Q724" s="8" t="s">
        <v>22</v>
      </c>
    </row>
    <row r="725" spans="1:17" ht="12.75" customHeight="1" x14ac:dyDescent="0.2">
      <c r="A725" s="6"/>
      <c r="B725" s="10" t="s">
        <v>1004</v>
      </c>
      <c r="C725" s="20" t="s">
        <v>137</v>
      </c>
      <c r="D725" s="20" t="s">
        <v>644</v>
      </c>
      <c r="E725" s="20" t="s">
        <v>527</v>
      </c>
      <c r="F725" s="20" t="s">
        <v>652</v>
      </c>
      <c r="G725" s="20" t="s">
        <v>262</v>
      </c>
      <c r="H725" s="20">
        <f>(3469.03*(L8))</f>
        <v>18559.3105</v>
      </c>
      <c r="I725" s="20">
        <f>(3539.2*(L8))</f>
        <v>18934.719999999998</v>
      </c>
      <c r="J725" s="20">
        <f>(3581.31*(L8))</f>
        <v>19160.0085</v>
      </c>
      <c r="K725" s="20">
        <f>(3693.59*(L8))</f>
        <v>19760.7065</v>
      </c>
      <c r="L725" s="20">
        <f>(3763.76*(L8))</f>
        <v>20136.115999999998</v>
      </c>
      <c r="M725" s="20">
        <f>(3847.97*(L8))</f>
        <v>20586.639499999997</v>
      </c>
      <c r="N725" s="20">
        <f>(3946.22*(L8))</f>
        <v>21112.276999999998</v>
      </c>
      <c r="O725" s="20">
        <f>(4086.57*(L8))</f>
        <v>21863.1495</v>
      </c>
      <c r="P725" s="20">
        <f>(4156.75*(L8))</f>
        <v>22238.612499999999</v>
      </c>
      <c r="Q725" s="20">
        <f>(4437.45*(L8))</f>
        <v>23740.357499999998</v>
      </c>
    </row>
    <row r="726" spans="1:17" ht="12.75" customHeight="1" x14ac:dyDescent="0.2">
      <c r="A726" s="6"/>
      <c r="B726" s="10" t="s">
        <v>1005</v>
      </c>
      <c r="C726" s="20" t="s">
        <v>292</v>
      </c>
      <c r="D726" s="20" t="s">
        <v>644</v>
      </c>
      <c r="E726" s="20" t="s">
        <v>527</v>
      </c>
      <c r="F726" s="20" t="s">
        <v>652</v>
      </c>
      <c r="G726" s="20" t="s">
        <v>152</v>
      </c>
      <c r="H726" s="20">
        <f>(3650.81*(L8))</f>
        <v>19531.833499999997</v>
      </c>
      <c r="I726" s="20">
        <f>(3725.37*(L8))</f>
        <v>19930.729499999998</v>
      </c>
      <c r="J726" s="20">
        <f>(3770.1*(L8))</f>
        <v>20170.035</v>
      </c>
      <c r="K726" s="20">
        <f>(3889.4*(L8))</f>
        <v>20808.29</v>
      </c>
      <c r="L726" s="20">
        <f>(3963.96*(L8))</f>
        <v>21207.185999999998</v>
      </c>
      <c r="M726" s="20">
        <f>(4053.44*(L8))</f>
        <v>21685.903999999999</v>
      </c>
      <c r="N726" s="20">
        <f>(4157.82*(L8))</f>
        <v>22244.336999999996</v>
      </c>
      <c r="O726" s="20">
        <f>(4306.95*(L8))</f>
        <v>23042.182499999999</v>
      </c>
      <c r="P726" s="20">
        <f>(4381.51*(L8))</f>
        <v>23441.0785</v>
      </c>
      <c r="Q726" s="20">
        <f>(4679.75*(L8))</f>
        <v>25036.662499999999</v>
      </c>
    </row>
    <row r="727" spans="1:17" ht="12.75" customHeight="1" x14ac:dyDescent="0.2">
      <c r="A727" s="6"/>
      <c r="B727" s="10" t="s">
        <v>1006</v>
      </c>
      <c r="C727" s="20" t="s">
        <v>273</v>
      </c>
      <c r="D727" s="20" t="s">
        <v>644</v>
      </c>
      <c r="E727" s="20" t="s">
        <v>527</v>
      </c>
      <c r="F727" s="20" t="s">
        <v>652</v>
      </c>
      <c r="G727" s="20" t="s">
        <v>166</v>
      </c>
      <c r="H727" s="20">
        <f>(3785.75*(L8))</f>
        <v>20253.762499999997</v>
      </c>
      <c r="I727" s="20">
        <f>(3864.7*(L8))</f>
        <v>20676.144999999997</v>
      </c>
      <c r="J727" s="20">
        <f>(3912.07*(L8))</f>
        <v>20929.574499999999</v>
      </c>
      <c r="K727" s="20">
        <f>(4038.38*(L8))</f>
        <v>21605.332999999999</v>
      </c>
      <c r="L727" s="20">
        <f>(4117.33*(L8))</f>
        <v>22027.715499999998</v>
      </c>
      <c r="M727" s="20">
        <f>(4212.07*(L8))</f>
        <v>22534.574499999995</v>
      </c>
      <c r="N727" s="20">
        <f>(4322.59*(L8))</f>
        <v>23125.856499999998</v>
      </c>
      <c r="O727" s="20">
        <f>(4480.49*(L8))</f>
        <v>23970.621499999997</v>
      </c>
      <c r="P727" s="20">
        <f>(4559.43*(L8))</f>
        <v>24392.950499999999</v>
      </c>
      <c r="Q727" s="20">
        <f>(4875.22*(L8))</f>
        <v>26082.427</v>
      </c>
    </row>
    <row r="728" spans="1:17" ht="12.75" customHeight="1" x14ac:dyDescent="0.2">
      <c r="A728" s="6"/>
      <c r="B728" s="10" t="s">
        <v>1007</v>
      </c>
      <c r="C728" s="20" t="s">
        <v>278</v>
      </c>
      <c r="D728" s="20" t="s">
        <v>644</v>
      </c>
      <c r="E728" s="20" t="s">
        <v>527</v>
      </c>
      <c r="F728" s="20" t="s">
        <v>652</v>
      </c>
      <c r="G728" s="20" t="s">
        <v>154</v>
      </c>
      <c r="H728" s="20">
        <f>(3959.57*(L8))</f>
        <v>21183.699499999999</v>
      </c>
      <c r="I728" s="20">
        <f>(4042.91*(L8))</f>
        <v>21629.568499999998</v>
      </c>
      <c r="J728" s="20">
        <f>(4092.91*(L8))</f>
        <v>21897.068499999998</v>
      </c>
      <c r="K728" s="20">
        <f>(4226.24*(L8))</f>
        <v>22610.383999999998</v>
      </c>
      <c r="L728" s="20">
        <f>(4309.57*(L8))</f>
        <v>23056.199499999995</v>
      </c>
      <c r="M728" s="20">
        <f>(4409.57*(L8))</f>
        <v>23591.199499999995</v>
      </c>
      <c r="N728" s="20">
        <f>(4526.24*(L8))</f>
        <v>24215.383999999998</v>
      </c>
      <c r="O728" s="20">
        <f>(4692.91*(L8))</f>
        <v>25107.068499999998</v>
      </c>
      <c r="P728" s="20">
        <f>(4776.24*(L8))</f>
        <v>25552.883999999998</v>
      </c>
      <c r="Q728" s="20">
        <f>(5109.57*(L8))</f>
        <v>27336.199499999995</v>
      </c>
    </row>
    <row r="729" spans="1:17" ht="12.75" customHeight="1" x14ac:dyDescent="0.2">
      <c r="A729" s="6"/>
      <c r="B729" s="10" t="s">
        <v>1008</v>
      </c>
      <c r="C729" s="20" t="s">
        <v>280</v>
      </c>
      <c r="D729" s="20" t="s">
        <v>644</v>
      </c>
      <c r="E729" s="20" t="s">
        <v>527</v>
      </c>
      <c r="F729" s="20" t="s">
        <v>652</v>
      </c>
      <c r="G729" s="20" t="s">
        <v>157</v>
      </c>
      <c r="H729" s="20">
        <f>(4070.35*(L8))</f>
        <v>21776.372499999998</v>
      </c>
      <c r="I729" s="20">
        <f>(4158.07*(L8))</f>
        <v>22245.674499999997</v>
      </c>
      <c r="J729" s="20">
        <f>(4210.7*(L8))</f>
        <v>22527.244999999999</v>
      </c>
      <c r="K729" s="20">
        <f>(4351.05*(L8))</f>
        <v>23278.1175</v>
      </c>
      <c r="L729" s="20">
        <f>(4438.77*(L8))</f>
        <v>23747.4195</v>
      </c>
      <c r="M729" s="20">
        <f>(4544.03*(L8))</f>
        <v>24310.560499999996</v>
      </c>
      <c r="N729" s="20">
        <f>(4666.84*(L8))</f>
        <v>24967.593999999997</v>
      </c>
      <c r="O729" s="20">
        <f>(4842.28*(L8))</f>
        <v>25906.197999999997</v>
      </c>
      <c r="P729" s="20">
        <f>(4930*(L8))</f>
        <v>26375.5</v>
      </c>
      <c r="Q729" s="20">
        <f>(5280.88*(L8))</f>
        <v>28252.707999999999</v>
      </c>
    </row>
    <row r="730" spans="1:17" ht="12.75" customHeight="1" x14ac:dyDescent="0.2">
      <c r="A730" s="6"/>
      <c r="B730" s="10" t="s">
        <v>1009</v>
      </c>
      <c r="C730" s="20" t="s">
        <v>236</v>
      </c>
      <c r="D730" s="20" t="s">
        <v>644</v>
      </c>
      <c r="E730" s="20" t="s">
        <v>527</v>
      </c>
      <c r="F730" s="20" t="s">
        <v>652</v>
      </c>
      <c r="G730" s="20" t="s">
        <v>160</v>
      </c>
      <c r="H730" s="20">
        <f>(4317.3*(L8))</f>
        <v>23097.555</v>
      </c>
      <c r="I730" s="20">
        <f>(4413.79*(L8))</f>
        <v>23613.7765</v>
      </c>
      <c r="J730" s="20">
        <f>(4471.69*(L8))</f>
        <v>23923.541499999996</v>
      </c>
      <c r="K730" s="20">
        <f>(4626.08*(L8))</f>
        <v>24749.527999999998</v>
      </c>
      <c r="L730" s="20">
        <f>(4722.57*(L8))</f>
        <v>25265.749499999998</v>
      </c>
      <c r="M730" s="20">
        <f>(4838.36*(L8))</f>
        <v>25885.225999999995</v>
      </c>
      <c r="N730" s="20">
        <f>(4973.44*(L8))</f>
        <v>26607.903999999995</v>
      </c>
      <c r="O730" s="20">
        <f>(5166.43*(L8))</f>
        <v>27640.4005</v>
      </c>
      <c r="P730" s="20">
        <f>(5262.92*(L8))</f>
        <v>28156.621999999999</v>
      </c>
      <c r="Q730" s="20">
        <f>(5648.88*(L8))</f>
        <v>30221.507999999998</v>
      </c>
    </row>
    <row r="731" spans="1:17" ht="30" customHeight="1" x14ac:dyDescent="0.35">
      <c r="A731" s="6"/>
      <c r="B731" s="23" t="s">
        <v>1426</v>
      </c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5"/>
    </row>
    <row r="732" spans="1:17" ht="12.75" customHeight="1" x14ac:dyDescent="0.2">
      <c r="A732" s="7" t="s">
        <v>6</v>
      </c>
      <c r="B732" s="8" t="s">
        <v>7</v>
      </c>
      <c r="C732" s="8" t="s">
        <v>8</v>
      </c>
      <c r="D732" s="8" t="s">
        <v>9</v>
      </c>
      <c r="E732" s="8" t="s">
        <v>10</v>
      </c>
      <c r="F732" s="8" t="s">
        <v>11</v>
      </c>
      <c r="G732" s="8" t="s">
        <v>12</v>
      </c>
      <c r="H732" s="8" t="s">
        <v>13</v>
      </c>
      <c r="I732" s="8" t="s">
        <v>14</v>
      </c>
      <c r="J732" s="8" t="s">
        <v>15</v>
      </c>
      <c r="K732" s="8" t="s">
        <v>16</v>
      </c>
      <c r="L732" s="8" t="s">
        <v>17</v>
      </c>
      <c r="M732" s="8" t="s">
        <v>18</v>
      </c>
      <c r="N732" s="8" t="s">
        <v>19</v>
      </c>
      <c r="O732" s="8" t="s">
        <v>20</v>
      </c>
      <c r="P732" s="8" t="s">
        <v>21</v>
      </c>
      <c r="Q732" s="8" t="s">
        <v>22</v>
      </c>
    </row>
    <row r="733" spans="1:17" ht="12.75" customHeight="1" x14ac:dyDescent="0.2">
      <c r="A733" s="6"/>
      <c r="B733" s="10" t="s">
        <v>1010</v>
      </c>
      <c r="C733" s="20" t="s">
        <v>259</v>
      </c>
      <c r="D733" s="20" t="s">
        <v>1011</v>
      </c>
      <c r="E733" s="20" t="s">
        <v>256</v>
      </c>
      <c r="F733" s="20" t="s">
        <v>276</v>
      </c>
      <c r="G733" s="20" t="s">
        <v>152</v>
      </c>
      <c r="H733" s="20">
        <f>(4073.04*(L8))</f>
        <v>21790.763999999999</v>
      </c>
      <c r="I733" s="20">
        <f>(4151.99*(L8))</f>
        <v>22213.146499999999</v>
      </c>
      <c r="J733" s="20">
        <f>(4199.36*(L8))</f>
        <v>22466.575999999997</v>
      </c>
      <c r="K733" s="20">
        <f>(4325.67*(L8))</f>
        <v>23142.334499999997</v>
      </c>
      <c r="L733" s="20">
        <f>(4404.62*(L8))</f>
        <v>23564.716999999997</v>
      </c>
      <c r="M733" s="20">
        <f>(4499.36*(L8))</f>
        <v>24071.575999999997</v>
      </c>
      <c r="N733" s="20">
        <f>(4609.88*(L8))</f>
        <v>24662.858</v>
      </c>
      <c r="O733" s="20">
        <f>(4767.78*(L8))</f>
        <v>25507.622999999996</v>
      </c>
      <c r="P733" s="20">
        <f>(4846.73*(L8))</f>
        <v>25930.005499999996</v>
      </c>
      <c r="Q733" s="20">
        <f>(5162.51*(L8))</f>
        <v>27619.428499999998</v>
      </c>
    </row>
    <row r="734" spans="1:17" ht="12.75" customHeight="1" x14ac:dyDescent="0.2">
      <c r="A734" s="6"/>
      <c r="B734" s="10" t="s">
        <v>1012</v>
      </c>
      <c r="C734" s="20" t="s">
        <v>165</v>
      </c>
      <c r="D734" s="20" t="s">
        <v>1011</v>
      </c>
      <c r="E734" s="20" t="s">
        <v>256</v>
      </c>
      <c r="F734" s="20" t="s">
        <v>276</v>
      </c>
      <c r="G734" s="20" t="s">
        <v>160</v>
      </c>
      <c r="H734" s="20">
        <f>(4255.19*(L8))</f>
        <v>22765.266499999998</v>
      </c>
      <c r="I734" s="20">
        <f>(4338.52*(L8))</f>
        <v>23211.082000000002</v>
      </c>
      <c r="J734" s="20">
        <f>(4388.52*(L8))</f>
        <v>23478.582000000002</v>
      </c>
      <c r="K734" s="20">
        <f>(4521.86*(L8))</f>
        <v>24191.950999999997</v>
      </c>
      <c r="L734" s="20">
        <f>(4605.19*(L8))</f>
        <v>24637.766499999998</v>
      </c>
      <c r="M734" s="20">
        <f>(4705.19*(L8))</f>
        <v>25172.766499999998</v>
      </c>
      <c r="N734" s="20">
        <f>(4821.86*(L8))</f>
        <v>25796.950999999997</v>
      </c>
      <c r="O734" s="20">
        <f>(4988.52*(L8))</f>
        <v>26688.582000000002</v>
      </c>
      <c r="P734" s="20">
        <f>(5071.86*(L8))</f>
        <v>27134.450999999997</v>
      </c>
      <c r="Q734" s="20">
        <f>(5405.19*(L8))</f>
        <v>28917.766499999994</v>
      </c>
    </row>
    <row r="735" spans="1:17" ht="12.75" customHeight="1" x14ac:dyDescent="0.2">
      <c r="A735" s="6"/>
      <c r="B735" s="10" t="s">
        <v>1013</v>
      </c>
      <c r="C735" s="20" t="s">
        <v>168</v>
      </c>
      <c r="D735" s="20" t="s">
        <v>1011</v>
      </c>
      <c r="E735" s="20" t="s">
        <v>256</v>
      </c>
      <c r="F735" s="20" t="s">
        <v>276</v>
      </c>
      <c r="G735" s="20" t="s">
        <v>182</v>
      </c>
      <c r="H735" s="20">
        <f>(4447.79*(L8))</f>
        <v>23795.676499999998</v>
      </c>
      <c r="I735" s="20">
        <f>(4535.51*(L8))</f>
        <v>24264.978500000001</v>
      </c>
      <c r="J735" s="20">
        <f>(4588.14*(L8))</f>
        <v>24546.548999999999</v>
      </c>
      <c r="K735" s="20">
        <f>(4728.49*(L8))</f>
        <v>25297.421499999997</v>
      </c>
      <c r="L735" s="20">
        <f>(4816.21*(L8))</f>
        <v>25766.7235</v>
      </c>
      <c r="M735" s="20">
        <f>(4921.47*(L8))</f>
        <v>26329.8645</v>
      </c>
      <c r="N735" s="20">
        <f>(5044.28*(L8))</f>
        <v>26986.897999999997</v>
      </c>
      <c r="O735" s="20">
        <f>(5219.72*(L8))</f>
        <v>27925.502</v>
      </c>
      <c r="P735" s="20">
        <f>(5307.44*(L8))</f>
        <v>28394.803999999996</v>
      </c>
      <c r="Q735" s="20">
        <f>(5658.31*(L8))</f>
        <v>30271.958500000001</v>
      </c>
    </row>
    <row r="736" spans="1:17" ht="12.75" customHeight="1" x14ac:dyDescent="0.2">
      <c r="A736" s="6"/>
      <c r="B736" s="10" t="s">
        <v>1014</v>
      </c>
      <c r="C736" s="20" t="s">
        <v>137</v>
      </c>
      <c r="D736" s="20" t="s">
        <v>1011</v>
      </c>
      <c r="E736" s="20" t="s">
        <v>256</v>
      </c>
      <c r="F736" s="20" t="s">
        <v>276</v>
      </c>
      <c r="G736" s="20" t="s">
        <v>154</v>
      </c>
      <c r="H736" s="20">
        <f>(3917.83*(L8))</f>
        <v>20960.390499999998</v>
      </c>
      <c r="I736" s="20">
        <f>(4005.55*(L8))</f>
        <v>21429.692500000001</v>
      </c>
      <c r="J736" s="20">
        <f>(4058.18*(L8))</f>
        <v>21711.262999999999</v>
      </c>
      <c r="K736" s="20">
        <f>(4198.53*(L8))</f>
        <v>22462.135499999997</v>
      </c>
      <c r="L736" s="20">
        <f>(4286.25*(L8))</f>
        <v>22931.4375</v>
      </c>
      <c r="M736" s="20">
        <f>(4391.51*(L8))</f>
        <v>23494.5785</v>
      </c>
      <c r="N736" s="20">
        <f>(4514.32*(L8))</f>
        <v>24151.611999999997</v>
      </c>
      <c r="O736" s="20">
        <f>(4689.76*(L8))</f>
        <v>25090.216</v>
      </c>
      <c r="P736" s="20">
        <f>(4777.48*(L8))</f>
        <v>25559.517999999996</v>
      </c>
      <c r="Q736" s="20">
        <f>(5128.35*(L8))</f>
        <v>27436.672500000001</v>
      </c>
    </row>
    <row r="737" spans="1:17" ht="12.75" customHeight="1" x14ac:dyDescent="0.2">
      <c r="A737" s="6"/>
      <c r="B737" s="10" t="s">
        <v>1015</v>
      </c>
      <c r="C737" s="20" t="s">
        <v>292</v>
      </c>
      <c r="D737" s="20" t="s">
        <v>1011</v>
      </c>
      <c r="E737" s="20" t="s">
        <v>256</v>
      </c>
      <c r="F737" s="20" t="s">
        <v>276</v>
      </c>
      <c r="G737" s="20" t="s">
        <v>160</v>
      </c>
      <c r="H737" s="20">
        <f>(4127.69*(L8))</f>
        <v>22083.141499999998</v>
      </c>
      <c r="I737" s="20">
        <f>(4224.18*(L8))</f>
        <v>22599.363000000001</v>
      </c>
      <c r="J737" s="20">
        <f>(4282.07*(L8))</f>
        <v>22909.074499999995</v>
      </c>
      <c r="K737" s="20">
        <f>(4436.46*(L8))</f>
        <v>23735.060999999998</v>
      </c>
      <c r="L737" s="20">
        <f>(4532.95*(L8))</f>
        <v>24251.282499999998</v>
      </c>
      <c r="M737" s="20">
        <f>(4648.74*(L8))</f>
        <v>24870.758999999998</v>
      </c>
      <c r="N737" s="20">
        <f>(4783.83*(L8))</f>
        <v>25593.490499999996</v>
      </c>
      <c r="O737" s="20">
        <f>(4976.81*(L8))</f>
        <v>26625.933499999999</v>
      </c>
      <c r="P737" s="20">
        <f>(5073.3*(L8))</f>
        <v>27142.154999999999</v>
      </c>
      <c r="Q737" s="20">
        <f>(5459.27*(L8))</f>
        <v>29207.094499999999</v>
      </c>
    </row>
    <row r="738" spans="1:17" ht="12.75" customHeight="1" x14ac:dyDescent="0.2">
      <c r="A738" s="6"/>
      <c r="B738" s="10" t="s">
        <v>1016</v>
      </c>
      <c r="C738" s="20" t="s">
        <v>273</v>
      </c>
      <c r="D738" s="20" t="s">
        <v>1011</v>
      </c>
      <c r="E738" s="20" t="s">
        <v>256</v>
      </c>
      <c r="F738" s="20" t="s">
        <v>276</v>
      </c>
      <c r="G738" s="20" t="s">
        <v>182</v>
      </c>
      <c r="H738" s="20">
        <f>(4330.39*(L8))</f>
        <v>23167.586500000001</v>
      </c>
      <c r="I738" s="20">
        <f>(4440.04*(L8))</f>
        <v>23754.214</v>
      </c>
      <c r="J738" s="20">
        <f>(4505.83*(L8))</f>
        <v>24106.190499999997</v>
      </c>
      <c r="K738" s="20">
        <f>(4681.27*(L8))</f>
        <v>25044.7945</v>
      </c>
      <c r="L738" s="20">
        <f>(4790.92*(L8))</f>
        <v>25631.421999999999</v>
      </c>
      <c r="M738" s="20">
        <f>(4922.49*(L8))</f>
        <v>26335.321499999998</v>
      </c>
      <c r="N738" s="20">
        <f>(5076*(L8))</f>
        <v>27156.6</v>
      </c>
      <c r="O738" s="20">
        <f>(5295.3*(L8))</f>
        <v>28329.855</v>
      </c>
      <c r="P738" s="20">
        <f>(5404.95*(L8))</f>
        <v>28916.482499999998</v>
      </c>
      <c r="Q738" s="20">
        <f>(5843.55*(L8))</f>
        <v>31262.9925</v>
      </c>
    </row>
    <row r="739" spans="1:17" ht="12.75" customHeight="1" x14ac:dyDescent="0.2">
      <c r="A739" s="6"/>
      <c r="B739" s="10" t="s">
        <v>1017</v>
      </c>
      <c r="C739" s="20" t="s">
        <v>278</v>
      </c>
      <c r="D739" s="20" t="s">
        <v>1011</v>
      </c>
      <c r="E739" s="20" t="s">
        <v>256</v>
      </c>
      <c r="F739" s="20" t="s">
        <v>276</v>
      </c>
      <c r="G739" s="20" t="s">
        <v>229</v>
      </c>
      <c r="H739" s="20">
        <f>(4444.18*(L8))</f>
        <v>23776.363000000001</v>
      </c>
      <c r="I739" s="20">
        <f>(4549.44*(L8))</f>
        <v>24339.503999999997</v>
      </c>
      <c r="J739" s="20">
        <f>(4612.6*(L8))</f>
        <v>24677.41</v>
      </c>
      <c r="K739" s="20">
        <f>(4781.02*(L8))</f>
        <v>25578.457000000002</v>
      </c>
      <c r="L739" s="20">
        <f>(4886.29*(L8))</f>
        <v>26141.651499999996</v>
      </c>
      <c r="M739" s="20">
        <f>(5012.6*(L8))</f>
        <v>26817.41</v>
      </c>
      <c r="N739" s="20">
        <f>(5159.97*(L8))</f>
        <v>27605.839499999998</v>
      </c>
      <c r="O739" s="20">
        <f>(5370.5*(L8))</f>
        <v>28732.174999999999</v>
      </c>
      <c r="P739" s="20">
        <f>(5475.76*(L8))</f>
        <v>29295.315999999999</v>
      </c>
      <c r="Q739" s="20">
        <f>(5896.81*(L8))</f>
        <v>31547.933499999999</v>
      </c>
    </row>
    <row r="740" spans="1:17" ht="12.75" customHeight="1" x14ac:dyDescent="0.2">
      <c r="A740" s="6"/>
      <c r="B740" s="10" t="s">
        <v>1018</v>
      </c>
      <c r="C740" s="20" t="s">
        <v>280</v>
      </c>
      <c r="D740" s="20" t="s">
        <v>1011</v>
      </c>
      <c r="E740" s="20" t="s">
        <v>256</v>
      </c>
      <c r="F740" s="20" t="s">
        <v>276</v>
      </c>
      <c r="G740" s="20" t="s">
        <v>231</v>
      </c>
      <c r="H740" s="20">
        <f>(4642.86*(L8))</f>
        <v>24839.300999999996</v>
      </c>
      <c r="I740" s="20">
        <f>(4756.89*(L8))</f>
        <v>25449.361499999999</v>
      </c>
      <c r="J740" s="20">
        <f>(4825.31*(L8))</f>
        <v>25815.408500000001</v>
      </c>
      <c r="K740" s="20">
        <f>(5007.77*(L8))</f>
        <v>26791.569500000001</v>
      </c>
      <c r="L740" s="20">
        <f>(5121.8*(L8))</f>
        <v>27401.629999999997</v>
      </c>
      <c r="M740" s="20">
        <f>(5258.64*(L8))</f>
        <v>28133.723999999998</v>
      </c>
      <c r="N740" s="20">
        <f>(5418.29*(L8))</f>
        <v>28987.851499999997</v>
      </c>
      <c r="O740" s="20">
        <f>(5646.36*(L8))</f>
        <v>30208.025999999998</v>
      </c>
      <c r="P740" s="20">
        <f>(5760.4*(L8))</f>
        <v>30818.139999999996</v>
      </c>
      <c r="Q740" s="20">
        <f>(6216.54*(L8))</f>
        <v>33258.488999999994</v>
      </c>
    </row>
    <row r="741" spans="1:17" ht="12.75" customHeight="1" x14ac:dyDescent="0.2">
      <c r="A741" s="6"/>
      <c r="B741" s="10" t="s">
        <v>1019</v>
      </c>
      <c r="C741" s="20" t="s">
        <v>236</v>
      </c>
      <c r="D741" s="20" t="s">
        <v>1011</v>
      </c>
      <c r="E741" s="20" t="s">
        <v>256</v>
      </c>
      <c r="F741" s="20" t="s">
        <v>276</v>
      </c>
      <c r="G741" s="20" t="s">
        <v>237</v>
      </c>
      <c r="H741" s="20">
        <f>(4854.86*(L8))</f>
        <v>25973.500999999997</v>
      </c>
      <c r="I741" s="20">
        <f>(4973.28*(L8))</f>
        <v>26607.047999999995</v>
      </c>
      <c r="J741" s="20">
        <f>(5044.33*(L8))</f>
        <v>26987.165499999999</v>
      </c>
      <c r="K741" s="20">
        <f>(5233.81*(L8))</f>
        <v>28000.8835</v>
      </c>
      <c r="L741" s="20">
        <f>(5352.23*(L8))</f>
        <v>28634.430499999995</v>
      </c>
      <c r="M741" s="20">
        <f>(5494.33*(L8))</f>
        <v>29394.665499999999</v>
      </c>
      <c r="N741" s="20">
        <f>(5660.12*(L8))</f>
        <v>30281.641999999996</v>
      </c>
      <c r="O741" s="20">
        <f>(5896.96*(L8))</f>
        <v>31548.735999999997</v>
      </c>
      <c r="P741" s="20">
        <f>(6015.38*(L8))</f>
        <v>32182.282999999999</v>
      </c>
      <c r="Q741" s="20">
        <f>(6489.07*(L8))</f>
        <v>34716.5245</v>
      </c>
    </row>
    <row r="742" spans="1:17" ht="30" customHeight="1" x14ac:dyDescent="0.35">
      <c r="A742" s="6"/>
      <c r="B742" s="23" t="s">
        <v>1020</v>
      </c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5"/>
    </row>
    <row r="743" spans="1:17" ht="12.75" customHeight="1" x14ac:dyDescent="0.2">
      <c r="A743" s="7" t="s">
        <v>6</v>
      </c>
      <c r="B743" s="8" t="s">
        <v>7</v>
      </c>
      <c r="C743" s="8" t="s">
        <v>8</v>
      </c>
      <c r="D743" s="8" t="s">
        <v>9</v>
      </c>
      <c r="E743" s="8" t="s">
        <v>10</v>
      </c>
      <c r="F743" s="8" t="s">
        <v>11</v>
      </c>
      <c r="G743" s="8" t="s">
        <v>12</v>
      </c>
      <c r="H743" s="8" t="s">
        <v>13</v>
      </c>
      <c r="I743" s="8" t="s">
        <v>14</v>
      </c>
      <c r="J743" s="8" t="s">
        <v>15</v>
      </c>
      <c r="K743" s="8" t="s">
        <v>16</v>
      </c>
      <c r="L743" s="8" t="s">
        <v>17</v>
      </c>
      <c r="M743" s="8" t="s">
        <v>18</v>
      </c>
      <c r="N743" s="8" t="s">
        <v>19</v>
      </c>
      <c r="O743" s="8" t="s">
        <v>20</v>
      </c>
      <c r="P743" s="8" t="s">
        <v>21</v>
      </c>
      <c r="Q743" s="8" t="s">
        <v>22</v>
      </c>
    </row>
    <row r="744" spans="1:17" ht="12.75" customHeight="1" x14ac:dyDescent="0.2">
      <c r="A744" s="6"/>
      <c r="B744" s="10" t="s">
        <v>1021</v>
      </c>
      <c r="C744" s="20" t="s">
        <v>33</v>
      </c>
      <c r="D744" s="20" t="s">
        <v>1022</v>
      </c>
      <c r="E744" s="20" t="s">
        <v>256</v>
      </c>
      <c r="F744" s="20" t="s">
        <v>345</v>
      </c>
      <c r="G744" s="20" t="s">
        <v>152</v>
      </c>
      <c r="H744" s="20">
        <f>(3559.65*(L8))</f>
        <v>19044.127499999999</v>
      </c>
      <c r="I744" s="20">
        <f>(3638.6*(L8))</f>
        <v>19466.509999999998</v>
      </c>
      <c r="J744" s="20">
        <f>(3685.97*(L8))</f>
        <v>19719.939499999997</v>
      </c>
      <c r="K744" s="20">
        <f>(3812.28*(L8))</f>
        <v>20395.698</v>
      </c>
      <c r="L744" s="20">
        <f>(3891.23*(L8))</f>
        <v>20818.0805</v>
      </c>
      <c r="M744" s="20">
        <f>(3985.97*(L8))</f>
        <v>21324.939499999997</v>
      </c>
      <c r="N744" s="20">
        <f>(4096.49*(L8))</f>
        <v>21916.221499999996</v>
      </c>
      <c r="O744" s="20">
        <f>(4254.39*(L8))</f>
        <v>22760.986499999999</v>
      </c>
      <c r="P744" s="20">
        <f>(4333.34*(L8))</f>
        <v>23183.368999999999</v>
      </c>
      <c r="Q744" s="20">
        <f>(4649.13*(L8))</f>
        <v>24872.845499999999</v>
      </c>
    </row>
    <row r="745" spans="1:17" ht="12.75" customHeight="1" x14ac:dyDescent="0.2">
      <c r="A745" s="6"/>
      <c r="B745" s="10" t="s">
        <v>1023</v>
      </c>
      <c r="C745" s="20" t="s">
        <v>131</v>
      </c>
      <c r="D745" s="20" t="s">
        <v>1022</v>
      </c>
      <c r="E745" s="20" t="s">
        <v>256</v>
      </c>
      <c r="F745" s="20" t="s">
        <v>345</v>
      </c>
      <c r="G745" s="20" t="s">
        <v>154</v>
      </c>
      <c r="H745" s="20">
        <f>(3703.83*(L8))</f>
        <v>19815.4905</v>
      </c>
      <c r="I745" s="20">
        <f>(3787.16*(L8))</f>
        <v>20261.305999999997</v>
      </c>
      <c r="J745" s="20">
        <f>(3837.16*(L8))</f>
        <v>20528.805999999997</v>
      </c>
      <c r="K745" s="20">
        <f>(3970.5*(L8))</f>
        <v>21242.174999999999</v>
      </c>
      <c r="L745" s="20">
        <f>(4053.83*(L8))</f>
        <v>21687.9905</v>
      </c>
      <c r="M745" s="20">
        <f>(4153.83*(L8))</f>
        <v>22222.9905</v>
      </c>
      <c r="N745" s="20">
        <f>(4270.5*(L8))</f>
        <v>22847.174999999999</v>
      </c>
      <c r="O745" s="20">
        <f>(4437.16*(L8))</f>
        <v>23738.805999999997</v>
      </c>
      <c r="P745" s="20">
        <f>(4520.5*(L8))</f>
        <v>24184.674999999999</v>
      </c>
      <c r="Q745" s="20">
        <f>(4853.83*(L8))</f>
        <v>25967.990499999996</v>
      </c>
    </row>
    <row r="746" spans="1:17" ht="12.75" customHeight="1" x14ac:dyDescent="0.2">
      <c r="A746" s="6"/>
      <c r="B746" s="10" t="s">
        <v>1024</v>
      </c>
      <c r="C746" s="20" t="s">
        <v>148</v>
      </c>
      <c r="D746" s="20" t="s">
        <v>1022</v>
      </c>
      <c r="E746" s="20" t="s">
        <v>256</v>
      </c>
      <c r="F746" s="20" t="s">
        <v>345</v>
      </c>
      <c r="G746" s="20" t="s">
        <v>154</v>
      </c>
      <c r="H746" s="20">
        <f>(3846*(L8))</f>
        <v>20576.099999999999</v>
      </c>
      <c r="I746" s="20">
        <f>(3933.72*(L8))</f>
        <v>21045.401999999998</v>
      </c>
      <c r="J746" s="20">
        <f>(3986.35*(L8))</f>
        <v>21326.9725</v>
      </c>
      <c r="K746" s="20">
        <f>(4126.7*(L8))</f>
        <v>22077.844999999998</v>
      </c>
      <c r="L746" s="20">
        <f>(4214.42*(L8))</f>
        <v>22547.146999999997</v>
      </c>
      <c r="M746" s="20">
        <f>(4319.68*(L8))</f>
        <v>23110.288</v>
      </c>
      <c r="N746" s="20">
        <f>(4442.49*(L8))</f>
        <v>23767.321499999998</v>
      </c>
      <c r="O746" s="20">
        <f>(4617.93*(L8))</f>
        <v>24705.925500000001</v>
      </c>
      <c r="P746" s="20">
        <f>(4705.65*(L8))</f>
        <v>25175.227499999997</v>
      </c>
      <c r="Q746" s="20">
        <f>(5056.52*(L8))</f>
        <v>27052.382000000001</v>
      </c>
    </row>
    <row r="747" spans="1:17" ht="12.75" customHeight="1" x14ac:dyDescent="0.2">
      <c r="A747" s="6"/>
      <c r="B747" s="10" t="s">
        <v>1025</v>
      </c>
      <c r="C747" s="20" t="s">
        <v>683</v>
      </c>
      <c r="D747" s="20" t="s">
        <v>1022</v>
      </c>
      <c r="E747" s="20" t="s">
        <v>256</v>
      </c>
      <c r="F747" s="20" t="s">
        <v>345</v>
      </c>
      <c r="G747" s="20" t="s">
        <v>160</v>
      </c>
      <c r="H747" s="20">
        <f>(4043.25*(L8))</f>
        <v>21631.387499999997</v>
      </c>
      <c r="I747" s="20">
        <f>(4139.74*(L8))</f>
        <v>22147.608999999997</v>
      </c>
      <c r="J747" s="20">
        <f>(4197.64*(L8))</f>
        <v>22457.374</v>
      </c>
      <c r="K747" s="20">
        <f>(4352.02*(L8))</f>
        <v>23283.307000000001</v>
      </c>
      <c r="L747" s="20">
        <f>(4448.51*(L8))</f>
        <v>23799.5285</v>
      </c>
      <c r="M747" s="20">
        <f>(4564.3*(L8))</f>
        <v>24419.005000000001</v>
      </c>
      <c r="N747" s="20">
        <f>(4699.39*(L8))</f>
        <v>25141.736499999999</v>
      </c>
      <c r="O747" s="20">
        <f>(4892.37*(L8))</f>
        <v>26174.179499999998</v>
      </c>
      <c r="P747" s="20">
        <f>(4988.86*(L8))</f>
        <v>26690.400999999998</v>
      </c>
      <c r="Q747" s="20">
        <f>(5374.83*(L8))</f>
        <v>28755.340499999998</v>
      </c>
    </row>
    <row r="748" spans="1:17" ht="12.75" customHeight="1" x14ac:dyDescent="0.2">
      <c r="A748" s="6"/>
      <c r="B748" s="10" t="s">
        <v>1026</v>
      </c>
      <c r="C748" s="20" t="s">
        <v>551</v>
      </c>
      <c r="D748" s="20" t="s">
        <v>1022</v>
      </c>
      <c r="E748" s="20" t="s">
        <v>256</v>
      </c>
      <c r="F748" s="20" t="s">
        <v>345</v>
      </c>
      <c r="G748" s="20" t="s">
        <v>182</v>
      </c>
      <c r="H748" s="20">
        <f>(4312.98*(L8))</f>
        <v>23074.442999999996</v>
      </c>
      <c r="I748" s="20">
        <f>(4418.24*(L8))</f>
        <v>23637.583999999999</v>
      </c>
      <c r="J748" s="20">
        <f>(4481.4*(L8))</f>
        <v>23975.489999999998</v>
      </c>
      <c r="K748" s="20">
        <f>(4649.82*(L8))</f>
        <v>24876.536999999997</v>
      </c>
      <c r="L748" s="20">
        <f>(4755.08*(L8))</f>
        <v>25439.677999999996</v>
      </c>
      <c r="M748" s="20">
        <f>(4881.4*(L8))</f>
        <v>26115.489999999998</v>
      </c>
      <c r="N748" s="20">
        <f>(5028.77*(L8))</f>
        <v>26903.9195</v>
      </c>
      <c r="O748" s="20">
        <f>(5239.29*(L8))</f>
        <v>28030.201499999999</v>
      </c>
      <c r="P748" s="20">
        <f>(5344.56*(L8))</f>
        <v>28593.396000000001</v>
      </c>
      <c r="Q748" s="20">
        <f>(5765.61*(L8))</f>
        <v>30846.013499999997</v>
      </c>
    </row>
    <row r="749" spans="1:17" ht="12.75" customHeight="1" x14ac:dyDescent="0.2">
      <c r="A749" s="6"/>
      <c r="B749" s="10" t="s">
        <v>1027</v>
      </c>
      <c r="C749" s="20" t="s">
        <v>179</v>
      </c>
      <c r="D749" s="20" t="s">
        <v>1022</v>
      </c>
      <c r="E749" s="20" t="s">
        <v>256</v>
      </c>
      <c r="F749" s="20" t="s">
        <v>345</v>
      </c>
      <c r="G749" s="20" t="s">
        <v>229</v>
      </c>
      <c r="H749" s="20">
        <f>(4494.91*(L8))</f>
        <v>24047.768499999998</v>
      </c>
      <c r="I749" s="20">
        <f>(4608.95*(L8))</f>
        <v>24657.882499999996</v>
      </c>
      <c r="J749" s="20">
        <f>(4677.37*(L8))</f>
        <v>25023.929499999998</v>
      </c>
      <c r="K749" s="20">
        <f>(4859.83*(L8))</f>
        <v>26000.090499999998</v>
      </c>
      <c r="L749" s="20">
        <f>(4973.86*(L8))</f>
        <v>26610.150999999998</v>
      </c>
      <c r="M749" s="20">
        <f>(5110.7*(L8))</f>
        <v>27342.244999999999</v>
      </c>
      <c r="N749" s="20">
        <f>(5270.35*(L8))</f>
        <v>28196.372500000001</v>
      </c>
      <c r="O749" s="20">
        <f>(5498.42*(L8))</f>
        <v>29416.546999999999</v>
      </c>
      <c r="P749" s="20">
        <f>(5612.46*(L8))</f>
        <v>30026.660999999996</v>
      </c>
      <c r="Q749" s="20">
        <f>(6068.6*(L8))</f>
        <v>32467.01</v>
      </c>
    </row>
    <row r="750" spans="1:17" ht="12.75" customHeight="1" x14ac:dyDescent="0.2">
      <c r="A750" s="6"/>
      <c r="B750" s="10" t="s">
        <v>1028</v>
      </c>
      <c r="C750" s="20" t="s">
        <v>33</v>
      </c>
      <c r="D750" s="20" t="s">
        <v>1022</v>
      </c>
      <c r="E750" s="20" t="s">
        <v>256</v>
      </c>
      <c r="F750" s="20" t="s">
        <v>345</v>
      </c>
      <c r="G750" s="20" t="s">
        <v>42</v>
      </c>
      <c r="H750" s="20">
        <f>(4291.56*(L8))</f>
        <v>22959.846000000001</v>
      </c>
      <c r="I750" s="20">
        <f>(4361.74*(L8))</f>
        <v>23335.308999999997</v>
      </c>
      <c r="J750" s="20">
        <f>(4403.84*(L8))</f>
        <v>23560.543999999998</v>
      </c>
      <c r="K750" s="20">
        <f>(4516.12*(L8))</f>
        <v>24161.241999999998</v>
      </c>
      <c r="L750" s="20">
        <f>(4586.3*(L8))</f>
        <v>24536.704999999998</v>
      </c>
      <c r="M750" s="20">
        <f>(4670.51*(L8))</f>
        <v>24987.228500000001</v>
      </c>
      <c r="N750" s="20">
        <f>(4768.75*(L8))</f>
        <v>25512.8125</v>
      </c>
      <c r="O750" s="20">
        <f>(4909.1*(L8))</f>
        <v>26263.685000000001</v>
      </c>
      <c r="P750" s="20">
        <f>(4979.28*(L8))</f>
        <v>26639.147999999997</v>
      </c>
      <c r="Q750" s="20">
        <f>(5259.98*(L8))</f>
        <v>28140.892999999996</v>
      </c>
    </row>
    <row r="751" spans="1:17" ht="12.75" customHeight="1" x14ac:dyDescent="0.2">
      <c r="A751" s="6"/>
      <c r="B751" s="10" t="s">
        <v>1029</v>
      </c>
      <c r="C751" s="20" t="s">
        <v>131</v>
      </c>
      <c r="D751" s="20" t="s">
        <v>1022</v>
      </c>
      <c r="E751" s="20" t="s">
        <v>256</v>
      </c>
      <c r="F751" s="20" t="s">
        <v>345</v>
      </c>
      <c r="G751" s="20" t="s">
        <v>152</v>
      </c>
      <c r="H751" s="20">
        <f>(4438.32*(L8))</f>
        <v>23745.011999999995</v>
      </c>
      <c r="I751" s="20">
        <f>(4517.27*(L8))</f>
        <v>24167.394500000002</v>
      </c>
      <c r="J751" s="20">
        <f>(4564.64*(L8))</f>
        <v>24420.824000000001</v>
      </c>
      <c r="K751" s="20">
        <f>(4690.95*(L8))</f>
        <v>25096.582499999997</v>
      </c>
      <c r="L751" s="20">
        <f>(4769.9*(L8))</f>
        <v>25518.964999999997</v>
      </c>
      <c r="M751" s="20">
        <f>(4864.64*(L8))</f>
        <v>26025.824000000001</v>
      </c>
      <c r="N751" s="20">
        <f>(4975.16*(L8))</f>
        <v>26617.105999999996</v>
      </c>
      <c r="O751" s="20">
        <f>(5133.06*(L8))</f>
        <v>27461.870999999999</v>
      </c>
      <c r="P751" s="20">
        <f>(5212.01*(L8))</f>
        <v>27884.253499999999</v>
      </c>
      <c r="Q751" s="20">
        <f>(5527.79*(L8))</f>
        <v>29573.676499999998</v>
      </c>
    </row>
    <row r="752" spans="1:17" ht="30" customHeight="1" x14ac:dyDescent="0.35">
      <c r="A752" s="6"/>
      <c r="B752" s="23" t="s">
        <v>1030</v>
      </c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5"/>
    </row>
    <row r="753" spans="1:17" ht="12.75" customHeight="1" x14ac:dyDescent="0.2">
      <c r="A753" s="7" t="s">
        <v>6</v>
      </c>
      <c r="B753" s="8" t="s">
        <v>7</v>
      </c>
      <c r="C753" s="8" t="s">
        <v>8</v>
      </c>
      <c r="D753" s="8" t="s">
        <v>9</v>
      </c>
      <c r="E753" s="8" t="s">
        <v>10</v>
      </c>
      <c r="F753" s="8" t="s">
        <v>11</v>
      </c>
      <c r="G753" s="8" t="s">
        <v>12</v>
      </c>
      <c r="H753" s="8" t="s">
        <v>13</v>
      </c>
      <c r="I753" s="8" t="s">
        <v>14</v>
      </c>
      <c r="J753" s="8" t="s">
        <v>15</v>
      </c>
      <c r="K753" s="8" t="s">
        <v>16</v>
      </c>
      <c r="L753" s="8" t="s">
        <v>17</v>
      </c>
      <c r="M753" s="8" t="s">
        <v>18</v>
      </c>
      <c r="N753" s="8" t="s">
        <v>19</v>
      </c>
      <c r="O753" s="8" t="s">
        <v>20</v>
      </c>
      <c r="P753" s="8" t="s">
        <v>21</v>
      </c>
      <c r="Q753" s="8" t="s">
        <v>22</v>
      </c>
    </row>
    <row r="754" spans="1:17" ht="12.75" customHeight="1" x14ac:dyDescent="0.2">
      <c r="A754" s="6"/>
      <c r="B754" s="10" t="s">
        <v>1031</v>
      </c>
      <c r="C754" s="20" t="s">
        <v>425</v>
      </c>
      <c r="D754" s="20" t="s">
        <v>482</v>
      </c>
      <c r="E754" s="20" t="s">
        <v>330</v>
      </c>
      <c r="F754" s="20" t="s">
        <v>646</v>
      </c>
      <c r="G754" s="20" t="s">
        <v>166</v>
      </c>
      <c r="H754" s="20">
        <f>(3984.07*(L8))</f>
        <v>21314.7745</v>
      </c>
      <c r="I754" s="20">
        <f>(4045.47*(L8))</f>
        <v>21643.264499999997</v>
      </c>
      <c r="J754" s="20">
        <f>(4082.31*(L8))</f>
        <v>21840.358499999998</v>
      </c>
      <c r="K754" s="20">
        <f>(4180.56*(L8))</f>
        <v>22365.995999999999</v>
      </c>
      <c r="L754" s="20">
        <f>(4241.96*(L8))</f>
        <v>22694.485999999997</v>
      </c>
      <c r="M754" s="20">
        <f>(4315.64*(L8))</f>
        <v>23088.673999999999</v>
      </c>
      <c r="N754" s="20">
        <f>(4401.61*(L8))</f>
        <v>23548.613499999996</v>
      </c>
      <c r="O754" s="20">
        <f>(4524.42*(L8))</f>
        <v>24205.646999999997</v>
      </c>
      <c r="P754" s="20">
        <f>(4585.82*(L8))</f>
        <v>24534.136999999995</v>
      </c>
      <c r="Q754" s="20">
        <f>(4831.43*(L8))</f>
        <v>25848.1505</v>
      </c>
    </row>
    <row r="755" spans="1:17" ht="12.75" customHeight="1" x14ac:dyDescent="0.2">
      <c r="A755" s="6"/>
      <c r="B755" s="10" t="s">
        <v>1032</v>
      </c>
      <c r="C755" s="20" t="s">
        <v>843</v>
      </c>
      <c r="D755" s="20" t="s">
        <v>482</v>
      </c>
      <c r="E755" s="20" t="s">
        <v>330</v>
      </c>
      <c r="F755" s="20" t="s">
        <v>646</v>
      </c>
      <c r="G755" s="20" t="s">
        <v>154</v>
      </c>
      <c r="H755" s="20">
        <f>(4248.93*(L8))</f>
        <v>22731.7755</v>
      </c>
      <c r="I755" s="20">
        <f>(4323.49*(L8))</f>
        <v>23130.671499999997</v>
      </c>
      <c r="J755" s="20">
        <f>(4368.23*(L8))</f>
        <v>23370.030499999997</v>
      </c>
      <c r="K755" s="20">
        <f>(4487.52*(L8))</f>
        <v>24008.232</v>
      </c>
      <c r="L755" s="20">
        <f>(4562.09*(L8))</f>
        <v>24407.181499999999</v>
      </c>
      <c r="M755" s="20">
        <f>(4651.56*(L8))</f>
        <v>24885.846000000001</v>
      </c>
      <c r="N755" s="20">
        <f>(4755.95*(L8))</f>
        <v>25444.332499999997</v>
      </c>
      <c r="O755" s="20">
        <f>(4905.07*(L8))</f>
        <v>26242.124499999998</v>
      </c>
      <c r="P755" s="20">
        <f>(4979.63*(L8))</f>
        <v>26641.020499999999</v>
      </c>
      <c r="Q755" s="20">
        <f>(5277.88*(L8))</f>
        <v>28236.657999999999</v>
      </c>
    </row>
    <row r="756" spans="1:17" ht="12.75" customHeight="1" x14ac:dyDescent="0.2">
      <c r="A756" s="6"/>
      <c r="B756" s="10" t="s">
        <v>1033</v>
      </c>
      <c r="C756" s="20" t="s">
        <v>88</v>
      </c>
      <c r="D756" s="20" t="s">
        <v>482</v>
      </c>
      <c r="E756" s="20" t="s">
        <v>330</v>
      </c>
      <c r="F756" s="20" t="s">
        <v>646</v>
      </c>
      <c r="G756" s="20" t="s">
        <v>157</v>
      </c>
      <c r="H756" s="20">
        <f>(4505.98*(L8))</f>
        <v>24106.992999999995</v>
      </c>
      <c r="I756" s="20">
        <f>(4584.92*(L8))</f>
        <v>24529.322</v>
      </c>
      <c r="J756" s="20">
        <f>(4632.29*(L8))</f>
        <v>24782.751499999998</v>
      </c>
      <c r="K756" s="20">
        <f>(4758.61*(L8))</f>
        <v>25458.563499999997</v>
      </c>
      <c r="L756" s="20">
        <f>(4837.56*(L8))</f>
        <v>25880.946</v>
      </c>
      <c r="M756" s="20">
        <f>(4932.29*(L8))</f>
        <v>26387.751499999998</v>
      </c>
      <c r="N756" s="20">
        <f>(5042.82*(L8))</f>
        <v>26979.086999999996</v>
      </c>
      <c r="O756" s="20">
        <f>(5200.71*(L8))</f>
        <v>27823.798499999997</v>
      </c>
      <c r="P756" s="20">
        <f>(5279.66*(L8))</f>
        <v>28246.180999999997</v>
      </c>
      <c r="Q756" s="20">
        <f>(5595.45*(L8))</f>
        <v>29935.657499999998</v>
      </c>
    </row>
    <row r="757" spans="1:17" ht="12.75" customHeight="1" x14ac:dyDescent="0.2">
      <c r="A757" s="6"/>
      <c r="B757" s="10" t="s">
        <v>1034</v>
      </c>
      <c r="C757" s="20" t="s">
        <v>228</v>
      </c>
      <c r="D757" s="20" t="s">
        <v>482</v>
      </c>
      <c r="E757" s="20" t="s">
        <v>330</v>
      </c>
      <c r="F757" s="20" t="s">
        <v>646</v>
      </c>
      <c r="G757" s="20" t="s">
        <v>160</v>
      </c>
      <c r="H757" s="20">
        <f>(4726.77*(L8))</f>
        <v>25288.219499999999</v>
      </c>
      <c r="I757" s="20">
        <f>(4814.49*(L8))</f>
        <v>25757.521499999999</v>
      </c>
      <c r="J757" s="20">
        <f>(4867.12*(L8))</f>
        <v>26039.091999999997</v>
      </c>
      <c r="K757" s="20">
        <f>(5007.48*(L8))</f>
        <v>26790.017999999996</v>
      </c>
      <c r="L757" s="20">
        <f>(5095.19*(L8))</f>
        <v>27259.266499999994</v>
      </c>
      <c r="M757" s="20">
        <f>(5200.46*(L8))</f>
        <v>27822.460999999999</v>
      </c>
      <c r="N757" s="20">
        <f>(5323.26*(L8))</f>
        <v>28479.440999999999</v>
      </c>
      <c r="O757" s="20">
        <f>(5498.7*(L8))</f>
        <v>29418.044999999998</v>
      </c>
      <c r="P757" s="20">
        <f>(5586.42*(L8))</f>
        <v>29887.346999999998</v>
      </c>
      <c r="Q757" s="20">
        <f>(5937.3*(L8))</f>
        <v>31764.555</v>
      </c>
    </row>
    <row r="758" spans="1:17" ht="12.75" customHeight="1" x14ac:dyDescent="0.2">
      <c r="A758" s="6"/>
      <c r="B758" s="10" t="s">
        <v>1035</v>
      </c>
      <c r="C758" s="20" t="s">
        <v>551</v>
      </c>
      <c r="D758" s="20" t="s">
        <v>482</v>
      </c>
      <c r="E758" s="20" t="s">
        <v>330</v>
      </c>
      <c r="F758" s="20" t="s">
        <v>646</v>
      </c>
      <c r="G758" s="20" t="s">
        <v>163</v>
      </c>
      <c r="H758" s="20">
        <f>(4897.92*(L8))</f>
        <v>26203.871999999999</v>
      </c>
      <c r="I758" s="20">
        <f>(4994.41*(L8))</f>
        <v>26720.093499999999</v>
      </c>
      <c r="J758" s="20">
        <f>(5052.31*(L8))</f>
        <v>27029.858500000002</v>
      </c>
      <c r="K758" s="20">
        <f>(5206.69*(L8))</f>
        <v>27855.791499999996</v>
      </c>
      <c r="L758" s="20">
        <f>(5303.19*(L8))</f>
        <v>28372.066499999997</v>
      </c>
      <c r="M758" s="20">
        <f>(5418.98*(L8))</f>
        <v>28991.542999999994</v>
      </c>
      <c r="N758" s="20">
        <f>(5554.06*(L8))</f>
        <v>29714.221000000001</v>
      </c>
      <c r="O758" s="20">
        <f>(5747.05*(L8))</f>
        <v>30746.717499999999</v>
      </c>
      <c r="P758" s="20">
        <f>(5843.54*(L8))</f>
        <v>31262.938999999998</v>
      </c>
      <c r="Q758" s="20">
        <f>(6229.5*(L8))</f>
        <v>33327.824999999997</v>
      </c>
    </row>
    <row r="759" spans="1:17" ht="12.75" customHeight="1" x14ac:dyDescent="0.2">
      <c r="A759" s="6"/>
      <c r="B759" s="10" t="s">
        <v>1036</v>
      </c>
      <c r="C759" s="20" t="s">
        <v>553</v>
      </c>
      <c r="D759" s="20" t="s">
        <v>482</v>
      </c>
      <c r="E759" s="20" t="s">
        <v>330</v>
      </c>
      <c r="F759" s="20" t="s">
        <v>646</v>
      </c>
      <c r="G759" s="20" t="s">
        <v>182</v>
      </c>
      <c r="H759" s="20">
        <f>(5175.91*(L8))</f>
        <v>27691.118499999997</v>
      </c>
      <c r="I759" s="20">
        <f>(5276.78*(L8))</f>
        <v>28230.772999999997</v>
      </c>
      <c r="J759" s="20">
        <f>(5337.31*(L8))</f>
        <v>28554.608499999998</v>
      </c>
      <c r="K759" s="20">
        <f>(5498.71*(L8))</f>
        <v>29418.0985</v>
      </c>
      <c r="L759" s="20">
        <f>(5599.59*(L8))</f>
        <v>29957.806499999999</v>
      </c>
      <c r="M759" s="20">
        <f>(5720.64*(L8))</f>
        <v>30605.423999999999</v>
      </c>
      <c r="N759" s="20">
        <f>(5861.87*(L8))</f>
        <v>31361.004499999999</v>
      </c>
      <c r="O759" s="20">
        <f>(6063.62*(L8))</f>
        <v>32440.366999999998</v>
      </c>
      <c r="P759" s="20">
        <f>(6164.5*(L8))</f>
        <v>32980.074999999997</v>
      </c>
      <c r="Q759" s="20">
        <f>(6568.01*(L8))</f>
        <v>35138.853499999997</v>
      </c>
    </row>
    <row r="760" spans="1:17" ht="12.75" customHeight="1" x14ac:dyDescent="0.2">
      <c r="A760" s="6"/>
      <c r="B760" s="10" t="s">
        <v>1037</v>
      </c>
      <c r="C760" s="20" t="s">
        <v>37</v>
      </c>
      <c r="D760" s="20" t="s">
        <v>482</v>
      </c>
      <c r="E760" s="20" t="s">
        <v>330</v>
      </c>
      <c r="F760" s="20" t="s">
        <v>646</v>
      </c>
      <c r="G760" s="20" t="s">
        <v>157</v>
      </c>
      <c r="H760" s="20">
        <f>(4180.26*(L8))</f>
        <v>22364.391</v>
      </c>
      <c r="I760" s="20">
        <f>(4250.43*(L8))</f>
        <v>22739.800500000001</v>
      </c>
      <c r="J760" s="20">
        <f>(4292.54*(L8))</f>
        <v>22965.089</v>
      </c>
      <c r="K760" s="20">
        <f>(4404.82*(L8))</f>
        <v>23565.786999999997</v>
      </c>
      <c r="L760" s="20">
        <f>(4475*(L8))</f>
        <v>23941.25</v>
      </c>
      <c r="M760" s="20">
        <f>(4559.21*(L8))</f>
        <v>24391.773499999999</v>
      </c>
      <c r="N760" s="20">
        <f>(4657.45*(L8))</f>
        <v>24917.357499999998</v>
      </c>
      <c r="O760" s="20">
        <f>(4797.8*(L8))</f>
        <v>25668.23</v>
      </c>
      <c r="P760" s="20">
        <f>(4867.98*(L8))</f>
        <v>26043.692999999996</v>
      </c>
      <c r="Q760" s="20">
        <f>(5148.68*(L8))</f>
        <v>27545.437999999998</v>
      </c>
    </row>
    <row r="761" spans="1:17" ht="12.75" customHeight="1" x14ac:dyDescent="0.2">
      <c r="A761" s="6"/>
      <c r="B761" s="10" t="s">
        <v>1038</v>
      </c>
      <c r="C761" s="20" t="s">
        <v>138</v>
      </c>
      <c r="D761" s="20" t="s">
        <v>482</v>
      </c>
      <c r="E761" s="20" t="s">
        <v>330</v>
      </c>
      <c r="F761" s="20" t="s">
        <v>646</v>
      </c>
      <c r="G761" s="20" t="s">
        <v>160</v>
      </c>
      <c r="H761" s="20">
        <f>(4432.07*(L8))</f>
        <v>23711.574499999995</v>
      </c>
      <c r="I761" s="20">
        <f>(4506.63*(L8))</f>
        <v>24110.470499999999</v>
      </c>
      <c r="J761" s="20">
        <f>(4551.37*(L8))</f>
        <v>24349.829499999996</v>
      </c>
      <c r="K761" s="20">
        <f>(4670.66*(L8))</f>
        <v>24988.030999999999</v>
      </c>
      <c r="L761" s="20">
        <f>(4745.23*(L8))</f>
        <v>25386.980499999994</v>
      </c>
      <c r="M761" s="20">
        <f>(4834.7*(L8))</f>
        <v>25865.644999999997</v>
      </c>
      <c r="N761" s="20">
        <f>(4939.09*(L8))</f>
        <v>26424.1315</v>
      </c>
      <c r="O761" s="20">
        <f>(5088.21*(L8))</f>
        <v>27221.923499999997</v>
      </c>
      <c r="P761" s="20">
        <f>(5162.77*(L8))</f>
        <v>27620.819500000001</v>
      </c>
      <c r="Q761" s="20">
        <f>(5461.02*(L8))</f>
        <v>29216.457000000002</v>
      </c>
    </row>
    <row r="762" spans="1:17" ht="12.75" customHeight="1" x14ac:dyDescent="0.2">
      <c r="A762" s="6"/>
      <c r="B762" s="10" t="s">
        <v>1039</v>
      </c>
      <c r="C762" s="20" t="s">
        <v>429</v>
      </c>
      <c r="D762" s="20" t="s">
        <v>482</v>
      </c>
      <c r="E762" s="20" t="s">
        <v>330</v>
      </c>
      <c r="F762" s="20" t="s">
        <v>646</v>
      </c>
      <c r="G762" s="20" t="s">
        <v>163</v>
      </c>
      <c r="H762" s="20">
        <f>(4665.38*(L8))</f>
        <v>24959.782999999999</v>
      </c>
      <c r="I762" s="20">
        <f>(4744.33*(L8))</f>
        <v>25382.165499999999</v>
      </c>
      <c r="J762" s="20">
        <f>(4791.7*(L8))</f>
        <v>25635.594999999998</v>
      </c>
      <c r="K762" s="20">
        <f>(4918.01*(L8))</f>
        <v>26311.353500000001</v>
      </c>
      <c r="L762" s="20">
        <f>(4996.96*(L8))</f>
        <v>26733.735999999997</v>
      </c>
      <c r="M762" s="20">
        <f>(5091.7*(L8))</f>
        <v>27240.594999999998</v>
      </c>
      <c r="N762" s="20">
        <f>(5202.22*(L8))</f>
        <v>27831.877</v>
      </c>
      <c r="O762" s="20">
        <f>(5360.12*(L8))</f>
        <v>28676.641999999996</v>
      </c>
      <c r="P762" s="20">
        <f>(5439.07*(L8))</f>
        <v>29099.024499999996</v>
      </c>
      <c r="Q762" s="20">
        <f>(5754.85*(L8))</f>
        <v>30788.447499999998</v>
      </c>
    </row>
    <row r="763" spans="1:17" ht="12.75" customHeight="1" x14ac:dyDescent="0.2">
      <c r="A763" s="6"/>
      <c r="B763" s="10" t="s">
        <v>1040</v>
      </c>
      <c r="C763" s="20" t="s">
        <v>431</v>
      </c>
      <c r="D763" s="20" t="s">
        <v>482</v>
      </c>
      <c r="E763" s="20" t="s">
        <v>330</v>
      </c>
      <c r="F763" s="20" t="s">
        <v>646</v>
      </c>
      <c r="G763" s="20" t="s">
        <v>182</v>
      </c>
      <c r="H763" s="20">
        <f>(4917.49*(L8))</f>
        <v>26308.571499999998</v>
      </c>
      <c r="I763" s="20">
        <f>(5013.98*(L8))</f>
        <v>26824.792999999994</v>
      </c>
      <c r="J763" s="20">
        <f>(5071.88*(L8))</f>
        <v>27134.557999999997</v>
      </c>
      <c r="K763" s="20">
        <f>(5226.26*(L8))</f>
        <v>27960.490999999998</v>
      </c>
      <c r="L763" s="20">
        <f>(5322.76*(L8))</f>
        <v>28476.766</v>
      </c>
      <c r="M763" s="20">
        <f>(5438.55*(L8))</f>
        <v>29096.2425</v>
      </c>
      <c r="N763" s="20">
        <f>(5573.63*(L8))</f>
        <v>29818.9205</v>
      </c>
      <c r="O763" s="20">
        <f>(5766.62*(L8))</f>
        <v>30851.416999999998</v>
      </c>
      <c r="P763" s="20">
        <f>(5863.11*(L8))</f>
        <v>31367.638499999997</v>
      </c>
      <c r="Q763" s="20">
        <f>(6249.07*(L8))</f>
        <v>33432.5245</v>
      </c>
    </row>
    <row r="764" spans="1:17" ht="12.75" customHeight="1" x14ac:dyDescent="0.2">
      <c r="A764" s="6"/>
      <c r="B764" s="10" t="s">
        <v>1041</v>
      </c>
      <c r="C764" s="20" t="s">
        <v>233</v>
      </c>
      <c r="D764" s="20" t="s">
        <v>482</v>
      </c>
      <c r="E764" s="20" t="s">
        <v>330</v>
      </c>
      <c r="F764" s="20" t="s">
        <v>646</v>
      </c>
      <c r="G764" s="20" t="s">
        <v>185</v>
      </c>
      <c r="H764" s="20">
        <f>(5143.27*(L8))</f>
        <v>27516.494500000001</v>
      </c>
      <c r="I764" s="20">
        <f>(5244.15*(L8))</f>
        <v>28056.202499999996</v>
      </c>
      <c r="J764" s="20">
        <f>(5304.68*(L8))</f>
        <v>28380.038</v>
      </c>
      <c r="K764" s="20">
        <f>(5466.08*(L8))</f>
        <v>29243.527999999998</v>
      </c>
      <c r="L764" s="20">
        <f>(5566.96*(L8))</f>
        <v>29783.235999999997</v>
      </c>
      <c r="M764" s="20">
        <f>(5688.01*(L8))</f>
        <v>30430.853499999997</v>
      </c>
      <c r="N764" s="20">
        <f>(5829.24*(L8))</f>
        <v>31186.433999999997</v>
      </c>
      <c r="O764" s="20">
        <f>(6030.99*(L8))</f>
        <v>32265.796499999997</v>
      </c>
      <c r="P764" s="20">
        <f>(6131.87*(L8))</f>
        <v>32805.504499999995</v>
      </c>
      <c r="Q764" s="20">
        <f>(6535.38*(L8))</f>
        <v>34964.282999999996</v>
      </c>
    </row>
    <row r="765" spans="1:17" ht="12.75" customHeight="1" x14ac:dyDescent="0.2">
      <c r="A765" s="6"/>
      <c r="B765" s="10" t="s">
        <v>1042</v>
      </c>
      <c r="C765" s="20" t="s">
        <v>434</v>
      </c>
      <c r="D765" s="20" t="s">
        <v>482</v>
      </c>
      <c r="E765" s="20" t="s">
        <v>330</v>
      </c>
      <c r="F765" s="20" t="s">
        <v>646</v>
      </c>
      <c r="G765" s="20" t="s">
        <v>229</v>
      </c>
      <c r="H765" s="20">
        <f>(5367.68*(L8))</f>
        <v>28717.088</v>
      </c>
      <c r="I765" s="20">
        <f>(5472.94*(L8))</f>
        <v>29280.228999999996</v>
      </c>
      <c r="J765" s="20">
        <f>(5536.1*(L8))</f>
        <v>29618.134999999998</v>
      </c>
      <c r="K765" s="20">
        <f>(5704.52*(L8))</f>
        <v>30519.182000000001</v>
      </c>
      <c r="L765" s="20">
        <f>(5809.78*(L8))</f>
        <v>31082.322999999997</v>
      </c>
      <c r="M765" s="20">
        <f>(5936.1*(L8))</f>
        <v>31758.134999999998</v>
      </c>
      <c r="N765" s="20">
        <f>(6083.47*(L8))</f>
        <v>32546.5645</v>
      </c>
      <c r="O765" s="20">
        <f>(6293.99*(L8))</f>
        <v>33672.8465</v>
      </c>
      <c r="P765" s="20">
        <f>(6399.26*(L8))</f>
        <v>34236.040999999997</v>
      </c>
      <c r="Q765" s="20">
        <f>(6820.31*(L8))</f>
        <v>36488.658499999998</v>
      </c>
    </row>
    <row r="766" spans="1:17" ht="12.75" customHeight="1" x14ac:dyDescent="0.2">
      <c r="A766" s="6"/>
      <c r="B766" s="10" t="s">
        <v>1043</v>
      </c>
      <c r="C766" s="20" t="s">
        <v>267</v>
      </c>
      <c r="D766" s="20" t="s">
        <v>602</v>
      </c>
      <c r="E766" s="20" t="s">
        <v>330</v>
      </c>
      <c r="F766" s="20" t="s">
        <v>27</v>
      </c>
      <c r="G766" s="20" t="s">
        <v>152</v>
      </c>
      <c r="H766" s="20">
        <f>(4120*(L8))</f>
        <v>22042</v>
      </c>
      <c r="I766" s="20">
        <f>(4181.4*(L8))</f>
        <v>22370.489999999998</v>
      </c>
      <c r="J766" s="20">
        <f>(4218.24*(L8))</f>
        <v>22567.583999999999</v>
      </c>
      <c r="K766" s="20">
        <f>(4316.49*(L8))</f>
        <v>23093.221499999996</v>
      </c>
      <c r="L766" s="20">
        <f>(4377.89*(L8))</f>
        <v>23421.711500000001</v>
      </c>
      <c r="M766" s="20">
        <f>(4451.58*(L8))</f>
        <v>23815.952999999998</v>
      </c>
      <c r="N766" s="20">
        <f>(4537.54*(L8))</f>
        <v>24275.839</v>
      </c>
      <c r="O766" s="20">
        <f>(4660.35*(L8))</f>
        <v>24932.872500000001</v>
      </c>
      <c r="P766" s="20">
        <f>(4721.75*(L8))</f>
        <v>25261.362499999999</v>
      </c>
      <c r="Q766" s="20">
        <f>(4967.37*(L8))</f>
        <v>26575.429499999998</v>
      </c>
    </row>
  </sheetData>
  <sheetProtection password="E4DE" sheet="1" objects="1" scenarios="1"/>
  <mergeCells count="117">
    <mergeCell ref="B617:Q617"/>
    <mergeCell ref="B625:Q625"/>
    <mergeCell ref="B662:Q662"/>
    <mergeCell ref="C671:G671"/>
    <mergeCell ref="H671:Q671"/>
    <mergeCell ref="B569:Q569"/>
    <mergeCell ref="B576:Q576"/>
    <mergeCell ref="B588:Q588"/>
    <mergeCell ref="B591:Q591"/>
    <mergeCell ref="B600:Q600"/>
    <mergeCell ref="B606:Q606"/>
    <mergeCell ref="B614:Q614"/>
    <mergeCell ref="C675:G675"/>
    <mergeCell ref="H675:Q675"/>
    <mergeCell ref="C676:G676"/>
    <mergeCell ref="H676:Q676"/>
    <mergeCell ref="C677:G677"/>
    <mergeCell ref="H677:Q677"/>
    <mergeCell ref="C672:G672"/>
    <mergeCell ref="H672:Q672"/>
    <mergeCell ref="C673:G673"/>
    <mergeCell ref="H673:Q673"/>
    <mergeCell ref="C674:G674"/>
    <mergeCell ref="H674:Q674"/>
    <mergeCell ref="B723:Q723"/>
    <mergeCell ref="B731:Q731"/>
    <mergeCell ref="B742:Q742"/>
    <mergeCell ref="B752:Q752"/>
    <mergeCell ref="B678:Q678"/>
    <mergeCell ref="B686:Q686"/>
    <mergeCell ref="B691:Q691"/>
    <mergeCell ref="B699:Q699"/>
    <mergeCell ref="B705:Q705"/>
    <mergeCell ref="B714:Q714"/>
    <mergeCell ref="C566:G566"/>
    <mergeCell ref="H566:Q566"/>
    <mergeCell ref="C567:G567"/>
    <mergeCell ref="H567:Q567"/>
    <mergeCell ref="C568:G568"/>
    <mergeCell ref="H568:Q568"/>
    <mergeCell ref="C563:G563"/>
    <mergeCell ref="H563:Q563"/>
    <mergeCell ref="C564:G564"/>
    <mergeCell ref="H564:Q564"/>
    <mergeCell ref="C565:G565"/>
    <mergeCell ref="H565:Q565"/>
    <mergeCell ref="B490:Q490"/>
    <mergeCell ref="B502:Q502"/>
    <mergeCell ref="B520:Q520"/>
    <mergeCell ref="B548:Q548"/>
    <mergeCell ref="C562:G562"/>
    <mergeCell ref="H562:Q562"/>
    <mergeCell ref="B394:Q394"/>
    <mergeCell ref="B415:Q415"/>
    <mergeCell ref="B433:Q433"/>
    <mergeCell ref="B455:Q455"/>
    <mergeCell ref="B464:Q464"/>
    <mergeCell ref="B480:Q480"/>
    <mergeCell ref="C454:Q454"/>
    <mergeCell ref="C453:Q453"/>
    <mergeCell ref="C414:Q414"/>
    <mergeCell ref="B329:Q329"/>
    <mergeCell ref="C371:G371"/>
    <mergeCell ref="H371:Q371"/>
    <mergeCell ref="B372:Q372"/>
    <mergeCell ref="B380:Q380"/>
    <mergeCell ref="B386:Q386"/>
    <mergeCell ref="B241:Q241"/>
    <mergeCell ref="B252:Q252"/>
    <mergeCell ref="B255:Q255"/>
    <mergeCell ref="B276:Q276"/>
    <mergeCell ref="B295:Q295"/>
    <mergeCell ref="B311:Q311"/>
    <mergeCell ref="B165:Q165"/>
    <mergeCell ref="B168:Q168"/>
    <mergeCell ref="B171:Q171"/>
    <mergeCell ref="B185:Q185"/>
    <mergeCell ref="B189:Q189"/>
    <mergeCell ref="B226:Q226"/>
    <mergeCell ref="C140:G140"/>
    <mergeCell ref="H140:Q140"/>
    <mergeCell ref="C141:G141"/>
    <mergeCell ref="H141:Q141"/>
    <mergeCell ref="B142:Q142"/>
    <mergeCell ref="B157:Q157"/>
    <mergeCell ref="C137:G137"/>
    <mergeCell ref="H137:Q137"/>
    <mergeCell ref="C138:G138"/>
    <mergeCell ref="H138:Q138"/>
    <mergeCell ref="C139:G139"/>
    <mergeCell ref="H139:Q139"/>
    <mergeCell ref="B111:Q111"/>
    <mergeCell ref="B120:Q120"/>
    <mergeCell ref="C135:G135"/>
    <mergeCell ref="H135:Q135"/>
    <mergeCell ref="C136:G136"/>
    <mergeCell ref="H136:Q136"/>
    <mergeCell ref="C119:F119"/>
    <mergeCell ref="B107:Q107"/>
    <mergeCell ref="A1:Q6"/>
    <mergeCell ref="A7:K7"/>
    <mergeCell ref="L7:Q7"/>
    <mergeCell ref="A8:K8"/>
    <mergeCell ref="L8:Q8"/>
    <mergeCell ref="A9:Q9"/>
    <mergeCell ref="B49:Q49"/>
    <mergeCell ref="B57:Q57"/>
    <mergeCell ref="B75:Q75"/>
    <mergeCell ref="B86:Q86"/>
    <mergeCell ref="B100:Q100"/>
    <mergeCell ref="B104:Q104"/>
    <mergeCell ref="A10:Q10"/>
    <mergeCell ref="A11:Q11"/>
    <mergeCell ref="A12:Q12"/>
    <mergeCell ref="B13:Q13"/>
    <mergeCell ref="B16:Q16"/>
    <mergeCell ref="B21:Q21"/>
  </mergeCells>
  <conditionalFormatting sqref="A1:XFD1048576">
    <cfRule type="cellIs" dxfId="1" priority="2" operator="equal">
      <formula>0</formula>
    </cfRule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50" fitToHeight="0" orientation="portrait" r:id="rId1"/>
  <rowBreaks count="8" manualBreakCount="8">
    <brk id="85" max="16383" man="1"/>
    <brk id="170" max="16383" man="1"/>
    <brk id="254" max="16383" man="1"/>
    <brk id="328" max="16383" man="1"/>
    <brk id="414" max="16383" man="1"/>
    <brk id="501" max="16383" man="1"/>
    <brk id="599" max="16383" man="1"/>
    <brk id="69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1:Q64"/>
  <sheetViews>
    <sheetView view="pageBreakPreview" topLeftCell="B1" zoomScale="93" zoomScaleNormal="100" zoomScaleSheetLayoutView="93" workbookViewId="0">
      <selection activeCell="A12" sqref="A12:Q12"/>
    </sheetView>
  </sheetViews>
  <sheetFormatPr defaultRowHeight="12.75" x14ac:dyDescent="0.2"/>
  <cols>
    <col min="1" max="1" width="20.7109375" style="2" hidden="1" customWidth="1"/>
    <col min="2" max="2" width="38.85546875" style="2" customWidth="1"/>
    <col min="3" max="7" width="6.7109375" style="22" customWidth="1"/>
    <col min="8" max="17" width="9.7109375" style="22" customWidth="1"/>
    <col min="18" max="16384" width="9.140625" style="2"/>
  </cols>
  <sheetData>
    <row r="1" spans="1:17" ht="12.75" customHeight="1" x14ac:dyDescent="0.2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4"/>
    </row>
    <row r="2" spans="1:17" ht="12.75" customHeight="1" x14ac:dyDescent="0.2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7"/>
    </row>
    <row r="3" spans="1:17" ht="12.75" customHeight="1" x14ac:dyDescent="0.2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7"/>
    </row>
    <row r="4" spans="1:17" ht="12.75" customHeight="1" x14ac:dyDescent="0.2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7"/>
    </row>
    <row r="5" spans="1:17" ht="12.75" customHeight="1" x14ac:dyDescent="0.2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7"/>
    </row>
    <row r="6" spans="1:17" ht="50.25" customHeight="1" x14ac:dyDescent="0.2">
      <c r="A6" s="48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50"/>
    </row>
    <row r="7" spans="1:17" ht="12.75" customHeight="1" x14ac:dyDescent="0.25">
      <c r="A7" s="126"/>
      <c r="B7" s="69" t="s">
        <v>0</v>
      </c>
      <c r="C7" s="70"/>
      <c r="D7" s="70"/>
      <c r="E7" s="70"/>
      <c r="F7" s="70"/>
      <c r="G7" s="70"/>
      <c r="H7" s="70"/>
      <c r="I7" s="70"/>
      <c r="J7" s="70"/>
      <c r="K7" s="71"/>
      <c r="L7" s="28">
        <v>44927</v>
      </c>
      <c r="M7" s="28"/>
      <c r="N7" s="28"/>
      <c r="O7" s="28"/>
      <c r="P7" s="28"/>
      <c r="Q7" s="28"/>
    </row>
    <row r="8" spans="1:17" ht="12.75" hidden="1" customHeight="1" x14ac:dyDescent="0.25">
      <c r="A8" s="126"/>
      <c r="B8" s="69" t="s">
        <v>1</v>
      </c>
      <c r="C8" s="70"/>
      <c r="D8" s="70"/>
      <c r="E8" s="70"/>
      <c r="F8" s="70"/>
      <c r="G8" s="70"/>
      <c r="H8" s="70"/>
      <c r="I8" s="70"/>
      <c r="J8" s="70"/>
      <c r="K8" s="71"/>
      <c r="L8" s="29">
        <v>5.35</v>
      </c>
      <c r="M8" s="29"/>
      <c r="N8" s="29"/>
      <c r="O8" s="29"/>
      <c r="P8" s="29"/>
      <c r="Q8" s="29"/>
    </row>
    <row r="9" spans="1:17" ht="12.75" customHeight="1" x14ac:dyDescent="0.2">
      <c r="A9" s="4"/>
      <c r="B9" s="80" t="s">
        <v>2</v>
      </c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2"/>
    </row>
    <row r="10" spans="1:17" ht="12.75" customHeight="1" x14ac:dyDescent="0.2">
      <c r="A10" s="127" t="s">
        <v>1473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</row>
    <row r="11" spans="1:17" ht="12.75" customHeight="1" x14ac:dyDescent="0.2">
      <c r="A11" s="85" t="s">
        <v>1409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4"/>
    </row>
    <row r="12" spans="1:17" ht="12.75" customHeight="1" x14ac:dyDescent="0.2">
      <c r="A12" s="85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4"/>
    </row>
    <row r="13" spans="1:17" ht="30" customHeight="1" x14ac:dyDescent="0.2">
      <c r="A13" s="5"/>
      <c r="B13" s="66" t="s">
        <v>1363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8"/>
    </row>
    <row r="14" spans="1:17" s="64" customFormat="1" ht="12.75" customHeight="1" x14ac:dyDescent="0.2">
      <c r="A14" s="62" t="s">
        <v>6</v>
      </c>
      <c r="B14" s="62" t="s">
        <v>7</v>
      </c>
      <c r="C14" s="62" t="s">
        <v>8</v>
      </c>
      <c r="D14" s="62" t="s">
        <v>9</v>
      </c>
      <c r="E14" s="62" t="s">
        <v>10</v>
      </c>
      <c r="F14" s="62" t="s">
        <v>11</v>
      </c>
      <c r="G14" s="62" t="s">
        <v>12</v>
      </c>
      <c r="H14" s="62" t="s">
        <v>13</v>
      </c>
      <c r="I14" s="62" t="s">
        <v>14</v>
      </c>
      <c r="J14" s="62" t="s">
        <v>15</v>
      </c>
      <c r="K14" s="62" t="s">
        <v>16</v>
      </c>
      <c r="L14" s="62" t="s">
        <v>17</v>
      </c>
      <c r="M14" s="62" t="s">
        <v>18</v>
      </c>
      <c r="N14" s="62" t="s">
        <v>19</v>
      </c>
      <c r="O14" s="62" t="s">
        <v>20</v>
      </c>
      <c r="P14" s="63" t="s">
        <v>21</v>
      </c>
      <c r="Q14" s="63" t="s">
        <v>22</v>
      </c>
    </row>
    <row r="15" spans="1:17" ht="12.75" customHeight="1" x14ac:dyDescent="0.2">
      <c r="A15" s="6"/>
      <c r="B15" s="10" t="s">
        <v>1364</v>
      </c>
      <c r="C15" s="20" t="s">
        <v>256</v>
      </c>
      <c r="D15" s="20" t="s">
        <v>1365</v>
      </c>
      <c r="E15" s="20" t="s">
        <v>747</v>
      </c>
      <c r="F15" s="20" t="s">
        <v>27</v>
      </c>
      <c r="G15" s="20" t="s">
        <v>218</v>
      </c>
      <c r="H15" s="20">
        <f>(2639.49*($L$8))</f>
        <v>14121.271499999997</v>
      </c>
      <c r="I15" s="20">
        <f>(2661.42*($L$8))</f>
        <v>14238.597</v>
      </c>
      <c r="J15" s="20">
        <f>(2674.58*($L$8))</f>
        <v>14309.002999999999</v>
      </c>
      <c r="K15" s="20">
        <f>(2709.67*($L$8))</f>
        <v>14496.734499999999</v>
      </c>
      <c r="L15" s="20">
        <f>(2731.6*($L$8))</f>
        <v>14614.059999999998</v>
      </c>
      <c r="M15" s="20">
        <f>(2757.91*($L$8))</f>
        <v>14754.818499999998</v>
      </c>
      <c r="N15" s="20">
        <f>(2788.61*($L$8))</f>
        <v>14919.0635</v>
      </c>
      <c r="O15" s="20">
        <f>(2832.47*($L$8))</f>
        <v>15153.714499999998</v>
      </c>
      <c r="P15" s="20">
        <f>(2854.4*($L$8))</f>
        <v>15271.039999999999</v>
      </c>
      <c r="Q15" s="20">
        <f>(2942.12*($L$8))</f>
        <v>15740.341999999999</v>
      </c>
    </row>
    <row r="16" spans="1:17" ht="30" customHeight="1" x14ac:dyDescent="0.35">
      <c r="A16" s="6"/>
      <c r="B16" s="23" t="s">
        <v>1458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</row>
    <row r="17" spans="1:17" ht="12.75" customHeight="1" x14ac:dyDescent="0.2">
      <c r="A17" s="7" t="s">
        <v>6</v>
      </c>
      <c r="B17" s="8" t="s">
        <v>7</v>
      </c>
      <c r="C17" s="8" t="s">
        <v>8</v>
      </c>
      <c r="D17" s="8" t="s">
        <v>9</v>
      </c>
      <c r="E17" s="8" t="s">
        <v>10</v>
      </c>
      <c r="F17" s="8" t="s">
        <v>11</v>
      </c>
      <c r="G17" s="8" t="s">
        <v>12</v>
      </c>
      <c r="H17" s="8" t="s">
        <v>13</v>
      </c>
      <c r="I17" s="8" t="s">
        <v>14</v>
      </c>
      <c r="J17" s="8" t="s">
        <v>15</v>
      </c>
      <c r="K17" s="8" t="s">
        <v>16</v>
      </c>
      <c r="L17" s="8" t="s">
        <v>17</v>
      </c>
      <c r="M17" s="8" t="s">
        <v>18</v>
      </c>
      <c r="N17" s="8" t="s">
        <v>19</v>
      </c>
      <c r="O17" s="8" t="s">
        <v>20</v>
      </c>
      <c r="P17" s="8" t="s">
        <v>21</v>
      </c>
      <c r="Q17" s="8" t="s">
        <v>22</v>
      </c>
    </row>
    <row r="18" spans="1:17" ht="12.75" customHeight="1" x14ac:dyDescent="0.2">
      <c r="A18" s="6"/>
      <c r="B18" s="10" t="s">
        <v>1369</v>
      </c>
      <c r="C18" s="20" t="s">
        <v>265</v>
      </c>
      <c r="D18" s="20" t="s">
        <v>1187</v>
      </c>
      <c r="E18" s="20" t="s">
        <v>256</v>
      </c>
      <c r="F18" s="20" t="s">
        <v>27</v>
      </c>
      <c r="G18" s="20" t="s">
        <v>38</v>
      </c>
      <c r="H18" s="20">
        <f>(3619.23*($L$8))</f>
        <v>19362.880499999999</v>
      </c>
      <c r="I18" s="20">
        <f>(3676.25*($L$8))</f>
        <v>19667.9375</v>
      </c>
      <c r="J18" s="20">
        <f>(3710.46*($L$8))</f>
        <v>19850.960999999999</v>
      </c>
      <c r="K18" s="20">
        <f>(3801.69*($L$8))</f>
        <v>20339.041499999999</v>
      </c>
      <c r="L18" s="20">
        <f>(3858.7*($L$8))</f>
        <v>20644.044999999998</v>
      </c>
      <c r="M18" s="20">
        <f>(3927.12*($L$8))</f>
        <v>21010.091999999997</v>
      </c>
      <c r="N18" s="20">
        <f>(4006.95*($L$8))</f>
        <v>21437.182499999999</v>
      </c>
      <c r="O18" s="20">
        <f>(4120.98*($L$8))</f>
        <v>22047.242999999995</v>
      </c>
      <c r="P18" s="20">
        <f>(4178*($L$8))</f>
        <v>22352.3</v>
      </c>
      <c r="Q18" s="20">
        <f>(4406.07*($L$8))</f>
        <v>23572.474499999997</v>
      </c>
    </row>
    <row r="19" spans="1:17" ht="30" customHeight="1" x14ac:dyDescent="0.35">
      <c r="A19" s="6"/>
      <c r="B19" s="23" t="s">
        <v>1370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</row>
    <row r="20" spans="1:17" ht="12.75" customHeight="1" x14ac:dyDescent="0.2">
      <c r="A20" s="7" t="s">
        <v>6</v>
      </c>
      <c r="B20" s="8" t="s">
        <v>7</v>
      </c>
      <c r="C20" s="8" t="s">
        <v>8</v>
      </c>
      <c r="D20" s="8" t="s">
        <v>9</v>
      </c>
      <c r="E20" s="8" t="s">
        <v>10</v>
      </c>
      <c r="F20" s="8" t="s">
        <v>11</v>
      </c>
      <c r="G20" s="8" t="s">
        <v>12</v>
      </c>
      <c r="H20" s="8" t="s">
        <v>13</v>
      </c>
      <c r="I20" s="8" t="s">
        <v>14</v>
      </c>
      <c r="J20" s="8" t="s">
        <v>15</v>
      </c>
      <c r="K20" s="8" t="s">
        <v>16</v>
      </c>
      <c r="L20" s="8" t="s">
        <v>17</v>
      </c>
      <c r="M20" s="8" t="s">
        <v>18</v>
      </c>
      <c r="N20" s="8" t="s">
        <v>19</v>
      </c>
      <c r="O20" s="8" t="s">
        <v>20</v>
      </c>
      <c r="P20" s="8" t="s">
        <v>21</v>
      </c>
      <c r="Q20" s="8" t="s">
        <v>22</v>
      </c>
    </row>
    <row r="21" spans="1:17" ht="12.75" customHeight="1" x14ac:dyDescent="0.2">
      <c r="A21" s="6"/>
      <c r="B21" s="10" t="s">
        <v>1371</v>
      </c>
      <c r="C21" s="20" t="s">
        <v>333</v>
      </c>
      <c r="D21" s="20" t="s">
        <v>149</v>
      </c>
      <c r="E21" s="20" t="s">
        <v>256</v>
      </c>
      <c r="F21" s="20" t="s">
        <v>698</v>
      </c>
      <c r="G21" s="20" t="s">
        <v>38</v>
      </c>
      <c r="H21" s="20">
        <f>(3439.31*($L$8))</f>
        <v>18400.308499999999</v>
      </c>
      <c r="I21" s="20">
        <f>(3505.1*($L$8))</f>
        <v>18752.285</v>
      </c>
      <c r="J21" s="20">
        <f>(3544.58*($L$8))</f>
        <v>18963.502999999997</v>
      </c>
      <c r="K21" s="20">
        <f>(3649.84*($L$8))</f>
        <v>19526.644</v>
      </c>
      <c r="L21" s="20">
        <f>(3715.63*($L$8))</f>
        <v>19878.620500000001</v>
      </c>
      <c r="M21" s="20">
        <f>(3794.58*($L$8))</f>
        <v>20301.002999999997</v>
      </c>
      <c r="N21" s="20">
        <f>(3886.68*($L$8))</f>
        <v>20793.737999999998</v>
      </c>
      <c r="O21" s="20">
        <f>(4018.26*($L$8))</f>
        <v>21497.690999999999</v>
      </c>
      <c r="P21" s="20">
        <f>(4084.05*($L$8))</f>
        <v>21849.6675</v>
      </c>
      <c r="Q21" s="20">
        <f>(4347.21*($L$8))</f>
        <v>23257.573499999999</v>
      </c>
    </row>
    <row r="22" spans="1:17" ht="12.75" customHeight="1" x14ac:dyDescent="0.2">
      <c r="A22" s="6"/>
      <c r="B22" s="10" t="s">
        <v>1372</v>
      </c>
      <c r="C22" s="20" t="s">
        <v>79</v>
      </c>
      <c r="D22" s="20" t="s">
        <v>1373</v>
      </c>
      <c r="E22" s="20" t="s">
        <v>567</v>
      </c>
      <c r="F22" s="20" t="s">
        <v>27</v>
      </c>
      <c r="G22" s="20" t="s">
        <v>165</v>
      </c>
      <c r="H22" s="20">
        <f>(1487.13*($L$8))</f>
        <v>7956.1454999999996</v>
      </c>
      <c r="I22" s="20">
        <f>(1504.67*($L$8))</f>
        <v>8049.9844999999996</v>
      </c>
      <c r="J22" s="20">
        <f>(1515.2*($L$8))</f>
        <v>8106.32</v>
      </c>
      <c r="K22" s="20">
        <f>(1543.27*($L$8))</f>
        <v>8256.4944999999989</v>
      </c>
      <c r="L22" s="20">
        <f>(1560.81*($L$8))</f>
        <v>8350.3334999999988</v>
      </c>
      <c r="M22" s="20">
        <f>(1581.86*($L$8))</f>
        <v>8462.9509999999991</v>
      </c>
      <c r="N22" s="20">
        <f>(1606.42*($L$8))</f>
        <v>8594.3469999999998</v>
      </c>
      <c r="O22" s="20">
        <f>(1641.51*($L$8))</f>
        <v>8782.0784999999996</v>
      </c>
      <c r="P22" s="20">
        <f>(1659.06*($L$8))</f>
        <v>8875.9709999999995</v>
      </c>
      <c r="Q22" s="20">
        <f>(1729.23*($L$8))</f>
        <v>9251.3804999999993</v>
      </c>
    </row>
    <row r="23" spans="1:17" ht="30" customHeight="1" x14ac:dyDescent="0.35">
      <c r="A23" s="6"/>
      <c r="B23" s="23" t="s">
        <v>1374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</row>
    <row r="24" spans="1:17" ht="12.75" customHeight="1" x14ac:dyDescent="0.2">
      <c r="A24" s="7" t="s">
        <v>6</v>
      </c>
      <c r="B24" s="8" t="s">
        <v>7</v>
      </c>
      <c r="C24" s="8" t="s">
        <v>8</v>
      </c>
      <c r="D24" s="8" t="s">
        <v>9</v>
      </c>
      <c r="E24" s="8" t="s">
        <v>10</v>
      </c>
      <c r="F24" s="8" t="s">
        <v>11</v>
      </c>
      <c r="G24" s="8" t="s">
        <v>12</v>
      </c>
      <c r="H24" s="8" t="s">
        <v>13</v>
      </c>
      <c r="I24" s="8" t="s">
        <v>14</v>
      </c>
      <c r="J24" s="8" t="s">
        <v>15</v>
      </c>
      <c r="K24" s="8" t="s">
        <v>16</v>
      </c>
      <c r="L24" s="8" t="s">
        <v>17</v>
      </c>
      <c r="M24" s="8" t="s">
        <v>18</v>
      </c>
      <c r="N24" s="8" t="s">
        <v>19</v>
      </c>
      <c r="O24" s="8" t="s">
        <v>20</v>
      </c>
      <c r="P24" s="8" t="s">
        <v>21</v>
      </c>
      <c r="Q24" s="8" t="s">
        <v>22</v>
      </c>
    </row>
    <row r="25" spans="1:17" ht="12.75" customHeight="1" x14ac:dyDescent="0.2">
      <c r="A25" s="6"/>
      <c r="B25" s="10" t="s">
        <v>1375</v>
      </c>
      <c r="C25" s="20" t="s">
        <v>1376</v>
      </c>
      <c r="D25" s="20" t="s">
        <v>1377</v>
      </c>
      <c r="E25" s="20" t="s">
        <v>527</v>
      </c>
      <c r="F25" s="20" t="s">
        <v>27</v>
      </c>
      <c r="G25" s="20" t="s">
        <v>403</v>
      </c>
      <c r="H25" s="20">
        <f>(2184.49*($L$8))</f>
        <v>11687.021499999999</v>
      </c>
      <c r="I25" s="20">
        <f>(2206.42*($L$8))</f>
        <v>11804.347</v>
      </c>
      <c r="J25" s="20">
        <f>(2219.58*($L$8))</f>
        <v>11874.752999999999</v>
      </c>
      <c r="K25" s="20">
        <f>(2254.66*($L$8))</f>
        <v>12062.430999999999</v>
      </c>
      <c r="L25" s="20">
        <f>(2276.59*($L$8))</f>
        <v>12179.7565</v>
      </c>
      <c r="M25" s="20">
        <f>(2302.91*($L$8))</f>
        <v>12320.568499999998</v>
      </c>
      <c r="N25" s="20">
        <f>(2333.61*($L$8))</f>
        <v>12484.8135</v>
      </c>
      <c r="O25" s="20">
        <f>(2377.47*($L$8))</f>
        <v>12719.464499999998</v>
      </c>
      <c r="P25" s="20">
        <f>(2399.4*($L$8))</f>
        <v>12836.789999999999</v>
      </c>
      <c r="Q25" s="20">
        <f>(2487.12*($L$8))</f>
        <v>13306.091999999999</v>
      </c>
    </row>
    <row r="26" spans="1:17" ht="12.75" customHeight="1" x14ac:dyDescent="0.2">
      <c r="A26" s="6"/>
      <c r="B26" s="10" t="s">
        <v>1378</v>
      </c>
      <c r="C26" s="20" t="s">
        <v>1376</v>
      </c>
      <c r="D26" s="20" t="s">
        <v>1377</v>
      </c>
      <c r="E26" s="20" t="s">
        <v>527</v>
      </c>
      <c r="F26" s="20" t="s">
        <v>27</v>
      </c>
      <c r="G26" s="20" t="s">
        <v>403</v>
      </c>
      <c r="H26" s="20">
        <f>(2353.49*($L$8))</f>
        <v>12591.171499999999</v>
      </c>
      <c r="I26" s="20">
        <f>(2375.42*($L$8))</f>
        <v>12708.496999999999</v>
      </c>
      <c r="J26" s="20">
        <f>(2388.58*($L$8))</f>
        <v>12778.902999999998</v>
      </c>
      <c r="K26" s="20">
        <f>(2423.66*($L$8))</f>
        <v>12966.580999999998</v>
      </c>
      <c r="L26" s="20">
        <f>(2445.59*($L$8))</f>
        <v>13083.906499999999</v>
      </c>
      <c r="M26" s="20">
        <f>(2471.91*($L$8))</f>
        <v>13224.718499999999</v>
      </c>
      <c r="N26" s="20">
        <f>(2502.61*($L$8))</f>
        <v>13388.9635</v>
      </c>
      <c r="O26" s="20">
        <f>(2546.47*($L$8))</f>
        <v>13623.614499999998</v>
      </c>
      <c r="P26" s="20">
        <f>(2568.4*($L$8))</f>
        <v>13740.939999999999</v>
      </c>
      <c r="Q26" s="20">
        <f>(2656.12*($L$8))</f>
        <v>14210.241999999998</v>
      </c>
    </row>
    <row r="27" spans="1:17" ht="12.75" customHeight="1" x14ac:dyDescent="0.2">
      <c r="A27" s="6"/>
      <c r="B27" s="10" t="s">
        <v>1379</v>
      </c>
      <c r="C27" s="20" t="s">
        <v>1376</v>
      </c>
      <c r="D27" s="20" t="s">
        <v>299</v>
      </c>
      <c r="E27" s="20" t="s">
        <v>567</v>
      </c>
      <c r="F27" s="20" t="s">
        <v>27</v>
      </c>
      <c r="G27" s="20" t="s">
        <v>236</v>
      </c>
      <c r="H27" s="20">
        <f>(1563.37*($L$8))</f>
        <v>8364.0294999999987</v>
      </c>
      <c r="I27" s="20">
        <f>(1580.92*($L$8))</f>
        <v>8457.9220000000005</v>
      </c>
      <c r="J27" s="20">
        <f>(1591.44*($L$8))</f>
        <v>8514.2039999999997</v>
      </c>
      <c r="K27" s="20">
        <f>(1619.51*($L$8))</f>
        <v>8664.3784999999989</v>
      </c>
      <c r="L27" s="20">
        <f>(1637.06*($L$8))</f>
        <v>8758.2709999999988</v>
      </c>
      <c r="M27" s="20">
        <f>(1658.11*($L$8))</f>
        <v>8870.8884999999991</v>
      </c>
      <c r="N27" s="20">
        <f>(1682.67*($L$8))</f>
        <v>9002.2844999999998</v>
      </c>
      <c r="O27" s="20">
        <f>(1717.76*($L$8))</f>
        <v>9190.0159999999996</v>
      </c>
      <c r="P27" s="20">
        <f>(1735.3*($L$8))</f>
        <v>9283.8549999999996</v>
      </c>
      <c r="Q27" s="20">
        <f>(1805.48*($L$8))</f>
        <v>9659.3179999999993</v>
      </c>
    </row>
    <row r="28" spans="1:17" ht="12.75" customHeight="1" x14ac:dyDescent="0.2">
      <c r="A28" s="6"/>
      <c r="B28" s="10" t="s">
        <v>1380</v>
      </c>
      <c r="C28" s="20" t="s">
        <v>1376</v>
      </c>
      <c r="D28" s="20" t="s">
        <v>299</v>
      </c>
      <c r="E28" s="20" t="s">
        <v>567</v>
      </c>
      <c r="F28" s="20" t="s">
        <v>27</v>
      </c>
      <c r="G28" s="20" t="s">
        <v>236</v>
      </c>
      <c r="H28" s="20">
        <f>(1730.83*($L$8))</f>
        <v>9259.9404999999988</v>
      </c>
      <c r="I28" s="20">
        <f>(1748.37*($L$8))</f>
        <v>9353.7794999999987</v>
      </c>
      <c r="J28" s="20">
        <f>(1758.9*($L$8))</f>
        <v>9410.1149999999998</v>
      </c>
      <c r="K28" s="20">
        <f>(1786.97*($L$8))</f>
        <v>9560.289499999999</v>
      </c>
      <c r="L28" s="20">
        <f>(1804.51*($L$8))</f>
        <v>9654.1284999999989</v>
      </c>
      <c r="M28" s="20">
        <f>(1825.57*($L$8))</f>
        <v>9766.7994999999992</v>
      </c>
      <c r="N28" s="20">
        <f>(1850.13*($L$8))</f>
        <v>9898.1954999999998</v>
      </c>
      <c r="O28" s="20">
        <f>(1885.21*($L$8))</f>
        <v>10085.8735</v>
      </c>
      <c r="P28" s="20">
        <f>(1902.76*($L$8))</f>
        <v>10179.766</v>
      </c>
      <c r="Q28" s="20">
        <f>(1972.93*($L$8))</f>
        <v>10555.175499999999</v>
      </c>
    </row>
    <row r="29" spans="1:17" ht="30" customHeight="1" x14ac:dyDescent="0.35">
      <c r="A29" s="6"/>
      <c r="B29" s="23" t="s">
        <v>1381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</row>
    <row r="30" spans="1:17" ht="12.75" customHeight="1" x14ac:dyDescent="0.2">
      <c r="A30" s="7" t="s">
        <v>6</v>
      </c>
      <c r="B30" s="8" t="s">
        <v>7</v>
      </c>
      <c r="C30" s="8" t="s">
        <v>8</v>
      </c>
      <c r="D30" s="8" t="s">
        <v>9</v>
      </c>
      <c r="E30" s="8" t="s">
        <v>10</v>
      </c>
      <c r="F30" s="8" t="s">
        <v>11</v>
      </c>
      <c r="G30" s="8" t="s">
        <v>12</v>
      </c>
      <c r="H30" s="8" t="s">
        <v>13</v>
      </c>
      <c r="I30" s="8" t="s">
        <v>14</v>
      </c>
      <c r="J30" s="8" t="s">
        <v>15</v>
      </c>
      <c r="K30" s="8" t="s">
        <v>16</v>
      </c>
      <c r="L30" s="8" t="s">
        <v>17</v>
      </c>
      <c r="M30" s="8" t="s">
        <v>18</v>
      </c>
      <c r="N30" s="8" t="s">
        <v>19</v>
      </c>
      <c r="O30" s="8" t="s">
        <v>20</v>
      </c>
      <c r="P30" s="8" t="s">
        <v>21</v>
      </c>
      <c r="Q30" s="8" t="s">
        <v>22</v>
      </c>
    </row>
    <row r="31" spans="1:17" ht="12.75" customHeight="1" x14ac:dyDescent="0.2">
      <c r="A31" s="6"/>
      <c r="B31" s="10" t="s">
        <v>1382</v>
      </c>
      <c r="C31" s="20" t="s">
        <v>1244</v>
      </c>
      <c r="D31" s="20" t="s">
        <v>1155</v>
      </c>
      <c r="E31" s="20" t="s">
        <v>697</v>
      </c>
      <c r="F31" s="20" t="s">
        <v>27</v>
      </c>
      <c r="G31" s="20" t="s">
        <v>403</v>
      </c>
      <c r="H31" s="20">
        <f>(2679.7*($L$8))</f>
        <v>14336.394999999999</v>
      </c>
      <c r="I31" s="20">
        <f>(2706.01*($L$8))</f>
        <v>14477.1535</v>
      </c>
      <c r="J31" s="20">
        <f>(2721.8*($L$8))</f>
        <v>14561.63</v>
      </c>
      <c r="K31" s="20">
        <f>(2763.91*($L$8))</f>
        <v>14786.918499999998</v>
      </c>
      <c r="L31" s="20">
        <f>(2790.22*($L$8))</f>
        <v>14927.676999999998</v>
      </c>
      <c r="M31" s="20">
        <f>(2821.8*($L$8))</f>
        <v>15096.63</v>
      </c>
      <c r="N31" s="20">
        <f>(2858.65*($L$8))</f>
        <v>15293.7775</v>
      </c>
      <c r="O31" s="20">
        <f>(2911.28*($L$8))</f>
        <v>15575.348</v>
      </c>
      <c r="P31" s="20">
        <f>(2937.59*($L$8))</f>
        <v>15716.1065</v>
      </c>
      <c r="Q31" s="20">
        <f>(3042.86*($L$8))</f>
        <v>16279.300999999999</v>
      </c>
    </row>
    <row r="32" spans="1:17" ht="30" customHeight="1" x14ac:dyDescent="0.35">
      <c r="A32" s="6"/>
      <c r="B32" s="23" t="s">
        <v>1383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</row>
    <row r="33" spans="1:17" ht="12.75" customHeight="1" x14ac:dyDescent="0.2">
      <c r="A33" s="7" t="s">
        <v>6</v>
      </c>
      <c r="B33" s="8" t="s">
        <v>7</v>
      </c>
      <c r="C33" s="8" t="s">
        <v>8</v>
      </c>
      <c r="D33" s="8" t="s">
        <v>9</v>
      </c>
      <c r="E33" s="8" t="s">
        <v>10</v>
      </c>
      <c r="F33" s="8" t="s">
        <v>11</v>
      </c>
      <c r="G33" s="8" t="s">
        <v>12</v>
      </c>
      <c r="H33" s="8" t="s">
        <v>13</v>
      </c>
      <c r="I33" s="8" t="s">
        <v>14</v>
      </c>
      <c r="J33" s="8" t="s">
        <v>15</v>
      </c>
      <c r="K33" s="8" t="s">
        <v>16</v>
      </c>
      <c r="L33" s="8" t="s">
        <v>17</v>
      </c>
      <c r="M33" s="8" t="s">
        <v>18</v>
      </c>
      <c r="N33" s="8" t="s">
        <v>19</v>
      </c>
      <c r="O33" s="8" t="s">
        <v>20</v>
      </c>
      <c r="P33" s="8" t="s">
        <v>21</v>
      </c>
      <c r="Q33" s="8" t="s">
        <v>22</v>
      </c>
    </row>
    <row r="34" spans="1:17" ht="12.75" customHeight="1" x14ac:dyDescent="0.2">
      <c r="A34" s="6"/>
      <c r="B34" s="10" t="s">
        <v>1384</v>
      </c>
      <c r="C34" s="20" t="s">
        <v>330</v>
      </c>
      <c r="D34" s="20" t="s">
        <v>1147</v>
      </c>
      <c r="E34" s="20" t="s">
        <v>312</v>
      </c>
      <c r="F34" s="20" t="s">
        <v>409</v>
      </c>
      <c r="G34" s="20" t="s">
        <v>524</v>
      </c>
      <c r="H34" s="20">
        <f>(2769.66*($L$8))</f>
        <v>14817.680999999999</v>
      </c>
      <c r="I34" s="20">
        <f>(2800.37*($L$8))</f>
        <v>14981.979499999998</v>
      </c>
      <c r="J34" s="20">
        <f>(2818.79*($L$8))</f>
        <v>15080.526499999998</v>
      </c>
      <c r="K34" s="20">
        <f>(2867.91*($L$8))</f>
        <v>15343.318499999998</v>
      </c>
      <c r="L34" s="20">
        <f>(2898.61*($L$8))</f>
        <v>15507.5635</v>
      </c>
      <c r="M34" s="20">
        <f>(2935.45*($L$8))</f>
        <v>15704.657499999998</v>
      </c>
      <c r="N34" s="20">
        <f>(2978.44*($L$8))</f>
        <v>15934.653999999999</v>
      </c>
      <c r="O34" s="20">
        <f>(3039.84*($L$8))</f>
        <v>16263.144</v>
      </c>
      <c r="P34" s="20">
        <f>(3070.54*($L$8))</f>
        <v>16427.388999999999</v>
      </c>
      <c r="Q34" s="20">
        <f>(3193.35*($L$8))</f>
        <v>17084.422499999997</v>
      </c>
    </row>
    <row r="35" spans="1:17" ht="30" customHeight="1" x14ac:dyDescent="0.35">
      <c r="A35" s="6"/>
      <c r="B35" s="23" t="s">
        <v>1385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</row>
    <row r="36" spans="1:17" ht="12.75" customHeight="1" x14ac:dyDescent="0.2">
      <c r="A36" s="7" t="s">
        <v>6</v>
      </c>
      <c r="B36" s="8" t="s">
        <v>7</v>
      </c>
      <c r="C36" s="8" t="s">
        <v>8</v>
      </c>
      <c r="D36" s="8" t="s">
        <v>9</v>
      </c>
      <c r="E36" s="8" t="s">
        <v>10</v>
      </c>
      <c r="F36" s="8" t="s">
        <v>11</v>
      </c>
      <c r="G36" s="8" t="s">
        <v>12</v>
      </c>
      <c r="H36" s="8" t="s">
        <v>13</v>
      </c>
      <c r="I36" s="8" t="s">
        <v>14</v>
      </c>
      <c r="J36" s="8" t="s">
        <v>15</v>
      </c>
      <c r="K36" s="8" t="s">
        <v>16</v>
      </c>
      <c r="L36" s="8" t="s">
        <v>17</v>
      </c>
      <c r="M36" s="8" t="s">
        <v>18</v>
      </c>
      <c r="N36" s="8" t="s">
        <v>19</v>
      </c>
      <c r="O36" s="8" t="s">
        <v>20</v>
      </c>
      <c r="P36" s="8" t="s">
        <v>21</v>
      </c>
      <c r="Q36" s="8" t="s">
        <v>22</v>
      </c>
    </row>
    <row r="37" spans="1:17" ht="12.75" customHeight="1" x14ac:dyDescent="0.2">
      <c r="A37" s="6"/>
      <c r="B37" s="10" t="s">
        <v>1386</v>
      </c>
      <c r="C37" s="20" t="s">
        <v>150</v>
      </c>
      <c r="D37" s="20" t="s">
        <v>1387</v>
      </c>
      <c r="E37" s="20" t="s">
        <v>275</v>
      </c>
      <c r="F37" s="20" t="s">
        <v>300</v>
      </c>
      <c r="G37" s="20" t="s">
        <v>403</v>
      </c>
      <c r="H37" s="20">
        <f>(2554.94*($L$8))</f>
        <v>13668.929</v>
      </c>
      <c r="I37" s="20">
        <f>(2581.25*($L$8))</f>
        <v>13809.687499999998</v>
      </c>
      <c r="J37" s="20">
        <f>(2597.04*($L$8))</f>
        <v>13894.163999999999</v>
      </c>
      <c r="K37" s="20">
        <f>(2639.15*($L$8))</f>
        <v>14119.452499999999</v>
      </c>
      <c r="L37" s="20">
        <f>(2665.46*($L$8))</f>
        <v>14260.210999999999</v>
      </c>
      <c r="M37" s="20">
        <f>(2697.04*($L$8))</f>
        <v>14429.163999999999</v>
      </c>
      <c r="N37" s="20">
        <f>(2733.89*($L$8))</f>
        <v>14626.311499999998</v>
      </c>
      <c r="O37" s="20">
        <f>(2786.52*($L$8))</f>
        <v>14907.882</v>
      </c>
      <c r="P37" s="20">
        <f>(2812.83*($L$8))</f>
        <v>15048.6405</v>
      </c>
      <c r="Q37" s="20">
        <f>(2918.1*($L$8))</f>
        <v>15611.834999999999</v>
      </c>
    </row>
    <row r="38" spans="1:17" ht="30" customHeight="1" x14ac:dyDescent="0.35">
      <c r="A38" s="6"/>
      <c r="B38" s="23" t="s">
        <v>1388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</row>
    <row r="39" spans="1:17" ht="12.75" customHeight="1" x14ac:dyDescent="0.2">
      <c r="A39" s="7" t="s">
        <v>6</v>
      </c>
      <c r="B39" s="8" t="s">
        <v>7</v>
      </c>
      <c r="C39" s="8" t="s">
        <v>8</v>
      </c>
      <c r="D39" s="8" t="s">
        <v>9</v>
      </c>
      <c r="E39" s="8" t="s">
        <v>10</v>
      </c>
      <c r="F39" s="8" t="s">
        <v>11</v>
      </c>
      <c r="G39" s="8" t="s">
        <v>12</v>
      </c>
      <c r="H39" s="8" t="s">
        <v>13</v>
      </c>
      <c r="I39" s="8" t="s">
        <v>14</v>
      </c>
      <c r="J39" s="8" t="s">
        <v>15</v>
      </c>
      <c r="K39" s="8" t="s">
        <v>16</v>
      </c>
      <c r="L39" s="8" t="s">
        <v>17</v>
      </c>
      <c r="M39" s="8" t="s">
        <v>18</v>
      </c>
      <c r="N39" s="8" t="s">
        <v>19</v>
      </c>
      <c r="O39" s="8" t="s">
        <v>20</v>
      </c>
      <c r="P39" s="8" t="s">
        <v>21</v>
      </c>
      <c r="Q39" s="8" t="s">
        <v>22</v>
      </c>
    </row>
    <row r="40" spans="1:17" ht="12.75" customHeight="1" x14ac:dyDescent="0.2">
      <c r="A40" s="6"/>
      <c r="B40" s="10" t="s">
        <v>1389</v>
      </c>
      <c r="C40" s="20" t="s">
        <v>562</v>
      </c>
      <c r="D40" s="20" t="s">
        <v>1083</v>
      </c>
      <c r="E40" s="20" t="s">
        <v>983</v>
      </c>
      <c r="F40" s="20" t="s">
        <v>27</v>
      </c>
      <c r="G40" s="20" t="s">
        <v>48</v>
      </c>
      <c r="H40" s="20">
        <f>(2996.8*($L$8))</f>
        <v>16032.88</v>
      </c>
      <c r="I40" s="20">
        <f>(3049.43*($L$8))</f>
        <v>16314.450499999997</v>
      </c>
      <c r="J40" s="20">
        <f>(3081.01*($L$8))</f>
        <v>16483.4035</v>
      </c>
      <c r="K40" s="20">
        <f>(3165.22*($L$8))</f>
        <v>16933.926999999996</v>
      </c>
      <c r="L40" s="20">
        <f>(3217.85*($L$8))</f>
        <v>17215.497499999998</v>
      </c>
      <c r="M40" s="20">
        <f>(3281.01*($L$8))</f>
        <v>17553.4035</v>
      </c>
      <c r="N40" s="20">
        <f>(3354.69*($L$8))</f>
        <v>17947.591499999999</v>
      </c>
      <c r="O40" s="20">
        <f>(3459.96*($L$8))</f>
        <v>18510.786</v>
      </c>
      <c r="P40" s="20">
        <f>(3512.59*($L$8))</f>
        <v>18792.356499999998</v>
      </c>
      <c r="Q40" s="20">
        <f>(3723.11*($L$8))</f>
        <v>19918.638500000001</v>
      </c>
    </row>
    <row r="41" spans="1:17" ht="30" customHeight="1" x14ac:dyDescent="0.35">
      <c r="A41" s="6"/>
      <c r="B41" s="23" t="s">
        <v>1390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</row>
    <row r="42" spans="1:17" ht="12.75" customHeight="1" x14ac:dyDescent="0.2">
      <c r="A42" s="7" t="s">
        <v>6</v>
      </c>
      <c r="B42" s="8" t="s">
        <v>7</v>
      </c>
      <c r="C42" s="8" t="s">
        <v>8</v>
      </c>
      <c r="D42" s="8" t="s">
        <v>9</v>
      </c>
      <c r="E42" s="8" t="s">
        <v>10</v>
      </c>
      <c r="F42" s="8" t="s">
        <v>11</v>
      </c>
      <c r="G42" s="8" t="s">
        <v>12</v>
      </c>
      <c r="H42" s="8" t="s">
        <v>13</v>
      </c>
      <c r="I42" s="8" t="s">
        <v>14</v>
      </c>
      <c r="J42" s="8" t="s">
        <v>15</v>
      </c>
      <c r="K42" s="8" t="s">
        <v>16</v>
      </c>
      <c r="L42" s="8" t="s">
        <v>17</v>
      </c>
      <c r="M42" s="8" t="s">
        <v>18</v>
      </c>
      <c r="N42" s="8" t="s">
        <v>19</v>
      </c>
      <c r="O42" s="8" t="s">
        <v>20</v>
      </c>
      <c r="P42" s="8" t="s">
        <v>21</v>
      </c>
      <c r="Q42" s="8" t="s">
        <v>22</v>
      </c>
    </row>
    <row r="43" spans="1:17" ht="12.75" customHeight="1" x14ac:dyDescent="0.2">
      <c r="A43" s="6"/>
      <c r="B43" s="10" t="s">
        <v>1391</v>
      </c>
      <c r="C43" s="20" t="s">
        <v>226</v>
      </c>
      <c r="D43" s="20" t="s">
        <v>1247</v>
      </c>
      <c r="E43" s="20" t="s">
        <v>747</v>
      </c>
      <c r="F43" s="20" t="s">
        <v>27</v>
      </c>
      <c r="G43" s="20" t="s">
        <v>268</v>
      </c>
      <c r="H43" s="20">
        <f>(3158.82*($L$8))</f>
        <v>16899.686999999998</v>
      </c>
      <c r="I43" s="20">
        <f>(3193.91*($L$8))</f>
        <v>17087.4185</v>
      </c>
      <c r="J43" s="20">
        <f>(3214.96*($L$8))</f>
        <v>17200.036</v>
      </c>
      <c r="K43" s="20">
        <f>(3271.1*($L$8))</f>
        <v>17500.384999999998</v>
      </c>
      <c r="L43" s="20">
        <f>(3306.19*($L$8))</f>
        <v>17688.1165</v>
      </c>
      <c r="M43" s="20">
        <f>(3348.29*($L$8))</f>
        <v>17913.351499999997</v>
      </c>
      <c r="N43" s="20">
        <f>(3397.42*($L$8))</f>
        <v>18176.197</v>
      </c>
      <c r="O43" s="20">
        <f>(3467.59*($L$8))</f>
        <v>18551.606499999998</v>
      </c>
      <c r="P43" s="20">
        <f>(3502.68*($L$8))</f>
        <v>18739.337999999996</v>
      </c>
      <c r="Q43" s="20">
        <f>(3643.03*($L$8))</f>
        <v>19490.210500000001</v>
      </c>
    </row>
    <row r="44" spans="1:17" ht="30" customHeight="1" x14ac:dyDescent="0.35">
      <c r="A44" s="6"/>
      <c r="B44" s="23" t="s">
        <v>1392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5"/>
    </row>
    <row r="45" spans="1:17" ht="12.75" customHeight="1" x14ac:dyDescent="0.2">
      <c r="A45" s="7" t="s">
        <v>6</v>
      </c>
      <c r="B45" s="8" t="s">
        <v>7</v>
      </c>
      <c r="C45" s="8" t="s">
        <v>8</v>
      </c>
      <c r="D45" s="8" t="s">
        <v>9</v>
      </c>
      <c r="E45" s="8" t="s">
        <v>10</v>
      </c>
      <c r="F45" s="8" t="s">
        <v>11</v>
      </c>
      <c r="G45" s="8" t="s">
        <v>12</v>
      </c>
      <c r="H45" s="8" t="s">
        <v>13</v>
      </c>
      <c r="I45" s="8" t="s">
        <v>14</v>
      </c>
      <c r="J45" s="8" t="s">
        <v>15</v>
      </c>
      <c r="K45" s="8" t="s">
        <v>16</v>
      </c>
      <c r="L45" s="8" t="s">
        <v>17</v>
      </c>
      <c r="M45" s="8" t="s">
        <v>18</v>
      </c>
      <c r="N45" s="8" t="s">
        <v>19</v>
      </c>
      <c r="O45" s="8" t="s">
        <v>20</v>
      </c>
      <c r="P45" s="8" t="s">
        <v>21</v>
      </c>
      <c r="Q45" s="8" t="s">
        <v>22</v>
      </c>
    </row>
    <row r="46" spans="1:17" ht="12.75" customHeight="1" x14ac:dyDescent="0.2">
      <c r="A46" s="6"/>
      <c r="B46" s="16" t="s">
        <v>1427</v>
      </c>
      <c r="C46" s="20" t="s">
        <v>124</v>
      </c>
      <c r="D46" s="20" t="s">
        <v>1393</v>
      </c>
      <c r="E46" s="20" t="s">
        <v>1113</v>
      </c>
      <c r="F46" s="20" t="s">
        <v>27</v>
      </c>
      <c r="G46" s="20" t="s">
        <v>403</v>
      </c>
      <c r="H46" s="20">
        <f>(2778.49*($L$8))</f>
        <v>14864.921499999999</v>
      </c>
      <c r="I46" s="20">
        <f>(2804.8*($L$8))</f>
        <v>15005.68</v>
      </c>
      <c r="J46" s="20">
        <f>(2820.59*($L$8))</f>
        <v>15090.156499999999</v>
      </c>
      <c r="K46" s="20">
        <f>(2862.7*($L$8))</f>
        <v>15315.444999999998</v>
      </c>
      <c r="L46" s="20">
        <f>(2889.01*($L$8))</f>
        <v>15456.2035</v>
      </c>
      <c r="M46" s="20">
        <f>(2920.59*($L$8))</f>
        <v>15625.156499999999</v>
      </c>
      <c r="N46" s="20">
        <f>(2957.44*($L$8))</f>
        <v>15822.304</v>
      </c>
      <c r="O46" s="20">
        <f>(3010.07*($L$8))</f>
        <v>16103.8745</v>
      </c>
      <c r="P46" s="20">
        <f>(3036.38*($L$8))</f>
        <v>16244.633</v>
      </c>
      <c r="Q46" s="20">
        <f>(3141.65*($L$8))</f>
        <v>16807.827499999999</v>
      </c>
    </row>
    <row r="47" spans="1:17" ht="30" customHeight="1" x14ac:dyDescent="0.35">
      <c r="A47" s="6"/>
      <c r="B47" s="23" t="s">
        <v>1394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5"/>
    </row>
    <row r="48" spans="1:17" ht="12.75" customHeight="1" x14ac:dyDescent="0.2">
      <c r="A48" s="7" t="s">
        <v>6</v>
      </c>
      <c r="B48" s="8" t="s">
        <v>7</v>
      </c>
      <c r="C48" s="8" t="s">
        <v>8</v>
      </c>
      <c r="D48" s="8" t="s">
        <v>9</v>
      </c>
      <c r="E48" s="8" t="s">
        <v>10</v>
      </c>
      <c r="F48" s="8" t="s">
        <v>11</v>
      </c>
      <c r="G48" s="8" t="s">
        <v>12</v>
      </c>
      <c r="H48" s="8" t="s">
        <v>13</v>
      </c>
      <c r="I48" s="8" t="s">
        <v>14</v>
      </c>
      <c r="J48" s="8" t="s">
        <v>15</v>
      </c>
      <c r="K48" s="8" t="s">
        <v>16</v>
      </c>
      <c r="L48" s="8" t="s">
        <v>17</v>
      </c>
      <c r="M48" s="8" t="s">
        <v>18</v>
      </c>
      <c r="N48" s="8" t="s">
        <v>19</v>
      </c>
      <c r="O48" s="8" t="s">
        <v>20</v>
      </c>
      <c r="P48" s="8" t="s">
        <v>21</v>
      </c>
      <c r="Q48" s="8" t="s">
        <v>22</v>
      </c>
    </row>
    <row r="49" spans="1:17" ht="12.75" customHeight="1" x14ac:dyDescent="0.2">
      <c r="A49" s="6"/>
      <c r="B49" s="10" t="s">
        <v>1395</v>
      </c>
      <c r="C49" s="20" t="s">
        <v>1396</v>
      </c>
      <c r="D49" s="20" t="s">
        <v>1397</v>
      </c>
      <c r="E49" s="20" t="s">
        <v>150</v>
      </c>
      <c r="F49" s="20" t="s">
        <v>27</v>
      </c>
      <c r="G49" s="20" t="s">
        <v>236</v>
      </c>
      <c r="H49" s="20">
        <f>(1824.99*($L$8))</f>
        <v>9763.6965</v>
      </c>
      <c r="I49" s="20">
        <f>(1844.29*($L$8))</f>
        <v>9866.9514999999992</v>
      </c>
      <c r="J49" s="20">
        <f>(1855.87*($L$8))</f>
        <v>9928.9044999999987</v>
      </c>
      <c r="K49" s="20">
        <f>(1886.75*($L$8))</f>
        <v>10094.112499999999</v>
      </c>
      <c r="L49" s="20">
        <f>(1906.05*($L$8))</f>
        <v>10197.367499999998</v>
      </c>
      <c r="M49" s="20">
        <f>(1929.2*($L$8))</f>
        <v>10321.219999999999</v>
      </c>
      <c r="N49" s="20">
        <f>(1956.22*($L$8))</f>
        <v>10465.777</v>
      </c>
      <c r="O49" s="20">
        <f>(1994.82*($L$8))</f>
        <v>10672.286999999998</v>
      </c>
      <c r="P49" s="20">
        <f>(2014.12*($L$8))</f>
        <v>10775.541999999999</v>
      </c>
      <c r="Q49" s="20">
        <f>(2091.31*($L$8))</f>
        <v>11188.508499999998</v>
      </c>
    </row>
    <row r="50" spans="1:17" ht="12.75" customHeight="1" x14ac:dyDescent="0.2">
      <c r="A50" s="6"/>
      <c r="B50" s="10" t="s">
        <v>1398</v>
      </c>
      <c r="C50" s="20" t="s">
        <v>1396</v>
      </c>
      <c r="D50" s="20" t="s">
        <v>1397</v>
      </c>
      <c r="E50" s="20" t="s">
        <v>150</v>
      </c>
      <c r="F50" s="20" t="s">
        <v>27</v>
      </c>
      <c r="G50" s="20" t="s">
        <v>236</v>
      </c>
      <c r="H50" s="20">
        <f>(1995.75*($L$8))</f>
        <v>10677.262499999999</v>
      </c>
      <c r="I50" s="20">
        <f>(2015.05*($L$8))</f>
        <v>10780.5175</v>
      </c>
      <c r="J50" s="20">
        <f>(2026.63*($L$8))</f>
        <v>10842.470499999999</v>
      </c>
      <c r="K50" s="20">
        <f>(2057.5*($L$8))</f>
        <v>11007.625</v>
      </c>
      <c r="L50" s="20">
        <f>(2076.8*($L$8))</f>
        <v>11110.880000000001</v>
      </c>
      <c r="M50" s="20">
        <f>(2099.96*($L$8))</f>
        <v>11234.786</v>
      </c>
      <c r="N50" s="20">
        <f>(2126.98*($L$8))</f>
        <v>11379.342999999999</v>
      </c>
      <c r="O50" s="20">
        <f>(2165.57*($L$8))</f>
        <v>11585.799500000001</v>
      </c>
      <c r="P50" s="20">
        <f>(2184.87*($L$8))</f>
        <v>11689.054499999998</v>
      </c>
      <c r="Q50" s="20">
        <f>(2262.06*($L$8))</f>
        <v>12102.020999999999</v>
      </c>
    </row>
    <row r="51" spans="1:17" ht="30" customHeight="1" x14ac:dyDescent="0.35">
      <c r="A51" s="6"/>
      <c r="B51" s="23" t="s">
        <v>1399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5"/>
    </row>
    <row r="52" spans="1:17" ht="12.75" customHeight="1" x14ac:dyDescent="0.2">
      <c r="A52" s="7" t="s">
        <v>6</v>
      </c>
      <c r="B52" s="8" t="s">
        <v>7</v>
      </c>
      <c r="C52" s="8" t="s">
        <v>8</v>
      </c>
      <c r="D52" s="8" t="s">
        <v>9</v>
      </c>
      <c r="E52" s="8" t="s">
        <v>10</v>
      </c>
      <c r="F52" s="8" t="s">
        <v>11</v>
      </c>
      <c r="G52" s="8" t="s">
        <v>12</v>
      </c>
      <c r="H52" s="8" t="s">
        <v>13</v>
      </c>
      <c r="I52" s="8" t="s">
        <v>14</v>
      </c>
      <c r="J52" s="8" t="s">
        <v>15</v>
      </c>
      <c r="K52" s="8" t="s">
        <v>16</v>
      </c>
      <c r="L52" s="8" t="s">
        <v>17</v>
      </c>
      <c r="M52" s="8" t="s">
        <v>18</v>
      </c>
      <c r="N52" s="8" t="s">
        <v>19</v>
      </c>
      <c r="O52" s="8" t="s">
        <v>20</v>
      </c>
      <c r="P52" s="8" t="s">
        <v>21</v>
      </c>
      <c r="Q52" s="8" t="s">
        <v>22</v>
      </c>
    </row>
    <row r="53" spans="1:17" ht="12.75" customHeight="1" x14ac:dyDescent="0.2">
      <c r="A53" s="6"/>
      <c r="B53" s="10" t="s">
        <v>1400</v>
      </c>
      <c r="C53" s="20" t="s">
        <v>330</v>
      </c>
      <c r="D53" s="20" t="s">
        <v>644</v>
      </c>
      <c r="E53" s="20" t="s">
        <v>275</v>
      </c>
      <c r="F53" s="20" t="s">
        <v>27</v>
      </c>
      <c r="G53" s="20" t="s">
        <v>247</v>
      </c>
      <c r="H53" s="20">
        <f>(2802.22*($L$8))</f>
        <v>14991.876999999999</v>
      </c>
      <c r="I53" s="20">
        <f>(2832.92*($L$8))</f>
        <v>15156.121999999999</v>
      </c>
      <c r="J53" s="20">
        <f>(2851.34*($L$8))</f>
        <v>15254.669</v>
      </c>
      <c r="K53" s="20">
        <f>(2900.47*($L$8))</f>
        <v>15517.514499999997</v>
      </c>
      <c r="L53" s="20">
        <f>(2931.17*($L$8))</f>
        <v>15681.7595</v>
      </c>
      <c r="M53" s="20">
        <f>(2968.01*($L$8))</f>
        <v>15878.853499999999</v>
      </c>
      <c r="N53" s="20">
        <f>(3010.99*($L$8))</f>
        <v>16108.796499999999</v>
      </c>
      <c r="O53" s="20">
        <f>(3072.4*($L$8))</f>
        <v>16437.34</v>
      </c>
      <c r="P53" s="20">
        <f>(3103.1*($L$8))</f>
        <v>16601.584999999999</v>
      </c>
      <c r="Q53" s="20">
        <f>(3225.91*($L$8))</f>
        <v>17258.618499999997</v>
      </c>
    </row>
    <row r="54" spans="1:17" ht="30" customHeight="1" x14ac:dyDescent="0.35">
      <c r="A54" s="6"/>
      <c r="B54" s="23" t="s">
        <v>1401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5"/>
    </row>
    <row r="55" spans="1:17" ht="12.75" customHeight="1" x14ac:dyDescent="0.2">
      <c r="A55" s="7" t="s">
        <v>6</v>
      </c>
      <c r="B55" s="8" t="s">
        <v>7</v>
      </c>
      <c r="C55" s="8" t="s">
        <v>8</v>
      </c>
      <c r="D55" s="8" t="s">
        <v>9</v>
      </c>
      <c r="E55" s="8" t="s">
        <v>10</v>
      </c>
      <c r="F55" s="8" t="s">
        <v>11</v>
      </c>
      <c r="G55" s="8" t="s">
        <v>12</v>
      </c>
      <c r="H55" s="8" t="s">
        <v>13</v>
      </c>
      <c r="I55" s="8" t="s">
        <v>14</v>
      </c>
      <c r="J55" s="8" t="s">
        <v>15</v>
      </c>
      <c r="K55" s="8" t="s">
        <v>16</v>
      </c>
      <c r="L55" s="8" t="s">
        <v>17</v>
      </c>
      <c r="M55" s="8" t="s">
        <v>18</v>
      </c>
      <c r="N55" s="8" t="s">
        <v>19</v>
      </c>
      <c r="O55" s="8" t="s">
        <v>20</v>
      </c>
      <c r="P55" s="8" t="s">
        <v>21</v>
      </c>
      <c r="Q55" s="8" t="s">
        <v>22</v>
      </c>
    </row>
    <row r="56" spans="1:17" ht="12.75" customHeight="1" x14ac:dyDescent="0.2">
      <c r="A56" s="6"/>
      <c r="B56" s="10" t="s">
        <v>1402</v>
      </c>
      <c r="C56" s="20" t="s">
        <v>316</v>
      </c>
      <c r="D56" s="20" t="s">
        <v>208</v>
      </c>
      <c r="E56" s="20" t="s">
        <v>256</v>
      </c>
      <c r="F56" s="20" t="s">
        <v>27</v>
      </c>
      <c r="G56" s="20" t="s">
        <v>42</v>
      </c>
      <c r="H56" s="20">
        <f>(3537.35*($L$8))</f>
        <v>18924.822499999998</v>
      </c>
      <c r="I56" s="20">
        <f>(3598.75*($L$8))</f>
        <v>19253.3125</v>
      </c>
      <c r="J56" s="20">
        <f>(3635.6*($L$8))</f>
        <v>19450.46</v>
      </c>
      <c r="K56" s="20">
        <f>(3733.84*($L$8))</f>
        <v>19976.043999999998</v>
      </c>
      <c r="L56" s="20">
        <f>(3795.25*($L$8))</f>
        <v>20304.587499999998</v>
      </c>
      <c r="M56" s="20">
        <f>(3868.93*($L$8))</f>
        <v>20698.775499999996</v>
      </c>
      <c r="N56" s="20">
        <f>(3954.89*($L$8))</f>
        <v>21158.661499999998</v>
      </c>
      <c r="O56" s="20">
        <f>(4077.7*($L$8))</f>
        <v>21815.694999999996</v>
      </c>
      <c r="P56" s="20">
        <f>(4139.11*($L$8))</f>
        <v>22144.238499999996</v>
      </c>
      <c r="Q56" s="20">
        <f>(4384.72*($L$8))</f>
        <v>23458.252</v>
      </c>
    </row>
    <row r="57" spans="1:17" ht="30" customHeight="1" x14ac:dyDescent="0.35">
      <c r="A57" s="6"/>
      <c r="B57" s="23" t="s">
        <v>1403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5"/>
    </row>
    <row r="58" spans="1:17" ht="12.75" customHeight="1" x14ac:dyDescent="0.2">
      <c r="A58" s="7" t="s">
        <v>6</v>
      </c>
      <c r="B58" s="8" t="s">
        <v>7</v>
      </c>
      <c r="C58" s="8" t="s">
        <v>8</v>
      </c>
      <c r="D58" s="8" t="s">
        <v>9</v>
      </c>
      <c r="E58" s="8" t="s">
        <v>10</v>
      </c>
      <c r="F58" s="8" t="s">
        <v>11</v>
      </c>
      <c r="G58" s="8" t="s">
        <v>12</v>
      </c>
      <c r="H58" s="8" t="s">
        <v>13</v>
      </c>
      <c r="I58" s="8" t="s">
        <v>14</v>
      </c>
      <c r="J58" s="8" t="s">
        <v>15</v>
      </c>
      <c r="K58" s="8" t="s">
        <v>16</v>
      </c>
      <c r="L58" s="8" t="s">
        <v>17</v>
      </c>
      <c r="M58" s="8" t="s">
        <v>18</v>
      </c>
      <c r="N58" s="8" t="s">
        <v>19</v>
      </c>
      <c r="O58" s="8" t="s">
        <v>20</v>
      </c>
      <c r="P58" s="8" t="s">
        <v>21</v>
      </c>
      <c r="Q58" s="8" t="s">
        <v>22</v>
      </c>
    </row>
    <row r="59" spans="1:17" ht="12.75" customHeight="1" x14ac:dyDescent="0.2">
      <c r="A59" s="6"/>
      <c r="B59" s="10" t="s">
        <v>1404</v>
      </c>
      <c r="C59" s="20" t="s">
        <v>275</v>
      </c>
      <c r="D59" s="20" t="s">
        <v>1151</v>
      </c>
      <c r="E59" s="20" t="s">
        <v>1244</v>
      </c>
      <c r="F59" s="20" t="s">
        <v>27</v>
      </c>
      <c r="G59" s="20" t="s">
        <v>247</v>
      </c>
      <c r="H59" s="20">
        <f>(2126.66*($L$8))</f>
        <v>11377.630999999998</v>
      </c>
      <c r="I59" s="20">
        <f>(2157.36*($L$8))</f>
        <v>11541.876</v>
      </c>
      <c r="J59" s="20">
        <f>(2175.78*($L$8))</f>
        <v>11640.423000000001</v>
      </c>
      <c r="K59" s="20">
        <f>(2224.9*($L$8))</f>
        <v>11903.215</v>
      </c>
      <c r="L59" s="20">
        <f>(2255.6*($L$8))</f>
        <v>12067.46</v>
      </c>
      <c r="M59" s="20">
        <f>(2292.44*($L$8))</f>
        <v>12264.554</v>
      </c>
      <c r="N59" s="20">
        <f>(2335.43*($L$8))</f>
        <v>12494.550499999998</v>
      </c>
      <c r="O59" s="20">
        <f>(2396.83*($L$8))</f>
        <v>12823.040499999999</v>
      </c>
      <c r="P59" s="20">
        <f>(2427.53*($L$8))</f>
        <v>12987.2855</v>
      </c>
      <c r="Q59" s="20">
        <f>(2550.34*($L$8))</f>
        <v>13644.319</v>
      </c>
    </row>
    <row r="60" spans="1:17" ht="12.75" customHeight="1" x14ac:dyDescent="0.2">
      <c r="A60" s="6"/>
      <c r="B60" s="10" t="s">
        <v>1405</v>
      </c>
      <c r="C60" s="20" t="s">
        <v>275</v>
      </c>
      <c r="D60" s="20" t="s">
        <v>1151</v>
      </c>
      <c r="E60" s="20" t="s">
        <v>1244</v>
      </c>
      <c r="F60" s="20" t="s">
        <v>27</v>
      </c>
      <c r="G60" s="20" t="s">
        <v>247</v>
      </c>
      <c r="H60" s="20">
        <f>(2647.82*($L$8))</f>
        <v>14165.837</v>
      </c>
      <c r="I60" s="20">
        <f>(2678.52*($L$8))</f>
        <v>14330.081999999999</v>
      </c>
      <c r="J60" s="20">
        <f>(2696.94*($L$8))</f>
        <v>14428.628999999999</v>
      </c>
      <c r="K60" s="20">
        <f>(2746.07*($L$8))</f>
        <v>14691.4745</v>
      </c>
      <c r="L60" s="20">
        <f>(2776.77*($L$8))</f>
        <v>14855.719499999999</v>
      </c>
      <c r="M60" s="20">
        <f>(2813.61*($L$8))</f>
        <v>15052.8135</v>
      </c>
      <c r="N60" s="20">
        <f>(2856.59*($L$8))</f>
        <v>15282.7565</v>
      </c>
      <c r="O60" s="20">
        <f>(2918*($L$8))</f>
        <v>15611.3</v>
      </c>
      <c r="P60" s="20">
        <f>(2948.7*($L$8))</f>
        <v>15775.544999999998</v>
      </c>
      <c r="Q60" s="20">
        <f>(3071.51*($L$8))</f>
        <v>16432.5785</v>
      </c>
    </row>
    <row r="61" spans="1:17" ht="30" customHeight="1" x14ac:dyDescent="0.35">
      <c r="A61" s="6"/>
      <c r="B61" s="23" t="s">
        <v>1406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5"/>
    </row>
    <row r="62" spans="1:17" ht="12.75" customHeight="1" x14ac:dyDescent="0.2">
      <c r="A62" s="7" t="s">
        <v>6</v>
      </c>
      <c r="B62" s="8" t="s">
        <v>7</v>
      </c>
      <c r="C62" s="8" t="s">
        <v>8</v>
      </c>
      <c r="D62" s="8" t="s">
        <v>9</v>
      </c>
      <c r="E62" s="8" t="s">
        <v>10</v>
      </c>
      <c r="F62" s="8" t="s">
        <v>11</v>
      </c>
      <c r="G62" s="8" t="s">
        <v>12</v>
      </c>
      <c r="H62" s="8" t="s">
        <v>13</v>
      </c>
      <c r="I62" s="8" t="s">
        <v>14</v>
      </c>
      <c r="J62" s="8" t="s">
        <v>15</v>
      </c>
      <c r="K62" s="8" t="s">
        <v>16</v>
      </c>
      <c r="L62" s="8" t="s">
        <v>17</v>
      </c>
      <c r="M62" s="8" t="s">
        <v>18</v>
      </c>
      <c r="N62" s="8" t="s">
        <v>19</v>
      </c>
      <c r="O62" s="8" t="s">
        <v>20</v>
      </c>
      <c r="P62" s="8" t="s">
        <v>21</v>
      </c>
      <c r="Q62" s="8" t="s">
        <v>22</v>
      </c>
    </row>
    <row r="63" spans="1:17" ht="12.75" customHeight="1" x14ac:dyDescent="0.2">
      <c r="A63" s="6"/>
      <c r="B63" s="10" t="s">
        <v>1407</v>
      </c>
      <c r="C63" s="20" t="s">
        <v>209</v>
      </c>
      <c r="D63" s="20" t="s">
        <v>397</v>
      </c>
      <c r="E63" s="20" t="s">
        <v>209</v>
      </c>
      <c r="F63" s="20" t="s">
        <v>27</v>
      </c>
      <c r="G63" s="20" t="s">
        <v>524</v>
      </c>
      <c r="H63" s="20">
        <f>(1936.24*($L$8))</f>
        <v>10358.884</v>
      </c>
      <c r="I63" s="20">
        <f>(1962.56*($L$8))</f>
        <v>10499.696</v>
      </c>
      <c r="J63" s="20">
        <f>(1978.35*($L$8))</f>
        <v>10584.172499999999</v>
      </c>
      <c r="K63" s="20">
        <f>(2020.45*($L$8))</f>
        <v>10809.407499999999</v>
      </c>
      <c r="L63" s="20">
        <f>(2046.77*($L$8))</f>
        <v>10950.219499999999</v>
      </c>
      <c r="M63" s="20">
        <f>(2078.35*($L$8))</f>
        <v>11119.172499999999</v>
      </c>
      <c r="N63" s="20">
        <f>(2115.19*($L$8))</f>
        <v>11316.2665</v>
      </c>
      <c r="O63" s="20">
        <f>(2167.82*($L$8))</f>
        <v>11597.837</v>
      </c>
      <c r="P63" s="20">
        <f>(2194.14*($L$8))</f>
        <v>11738.648999999999</v>
      </c>
      <c r="Q63" s="20">
        <f>(2299.4*($L$8))</f>
        <v>12301.789999999999</v>
      </c>
    </row>
    <row r="64" spans="1:17" ht="12.75" customHeight="1" x14ac:dyDescent="0.2">
      <c r="A64" s="6"/>
      <c r="B64" s="10" t="s">
        <v>1408</v>
      </c>
      <c r="C64" s="20" t="s">
        <v>209</v>
      </c>
      <c r="D64" s="20" t="s">
        <v>397</v>
      </c>
      <c r="E64" s="20" t="s">
        <v>209</v>
      </c>
      <c r="F64" s="20" t="s">
        <v>27</v>
      </c>
      <c r="G64" s="20" t="s">
        <v>524</v>
      </c>
      <c r="H64" s="20">
        <f>(2427.07*($L$8))</f>
        <v>12984.824500000001</v>
      </c>
      <c r="I64" s="20">
        <f>(2453.39*($L$8))</f>
        <v>13125.636499999999</v>
      </c>
      <c r="J64" s="20">
        <f>(2469.18*($L$8))</f>
        <v>13210.112999999998</v>
      </c>
      <c r="K64" s="20">
        <f>(2511.28*($L$8))</f>
        <v>13435.348</v>
      </c>
      <c r="L64" s="20">
        <f>(2537.6*($L$8))</f>
        <v>13576.159999999998</v>
      </c>
      <c r="M64" s="20">
        <f>(2569.18*($L$8))</f>
        <v>13745.112999999998</v>
      </c>
      <c r="N64" s="20">
        <f>(2606.02*($L$8))</f>
        <v>13942.206999999999</v>
      </c>
      <c r="O64" s="20">
        <f>(2658.65*($L$8))</f>
        <v>14223.7775</v>
      </c>
      <c r="P64" s="20">
        <f>(2684.96*($L$8))</f>
        <v>14364.536</v>
      </c>
      <c r="Q64" s="20">
        <f>(2790.23*($L$8))</f>
        <v>14927.7305</v>
      </c>
    </row>
  </sheetData>
  <sheetProtection password="E4DE" sheet="1" objects="1" scenarios="1"/>
  <mergeCells count="24">
    <mergeCell ref="B51:Q51"/>
    <mergeCell ref="B54:Q54"/>
    <mergeCell ref="B57:Q57"/>
    <mergeCell ref="B61:Q61"/>
    <mergeCell ref="B7:K7"/>
    <mergeCell ref="B8:K8"/>
    <mergeCell ref="B32:Q32"/>
    <mergeCell ref="B35:Q35"/>
    <mergeCell ref="B38:Q38"/>
    <mergeCell ref="B41:Q41"/>
    <mergeCell ref="B44:Q44"/>
    <mergeCell ref="B47:Q47"/>
    <mergeCell ref="A12:Q12"/>
    <mergeCell ref="B13:Q13"/>
    <mergeCell ref="B16:Q16"/>
    <mergeCell ref="B19:Q19"/>
    <mergeCell ref="B23:Q23"/>
    <mergeCell ref="B29:Q29"/>
    <mergeCell ref="A1:Q6"/>
    <mergeCell ref="L7:Q7"/>
    <mergeCell ref="L8:Q8"/>
    <mergeCell ref="B9:Q9"/>
    <mergeCell ref="A10:Q10"/>
    <mergeCell ref="A11:Q11"/>
  </mergeCells>
  <conditionalFormatting sqref="A1:XFD1048576">
    <cfRule type="cellIs" dxfId="3" priority="2" operator="equal">
      <formula>0</formula>
    </cfRule>
    <cfRule type="cellIs" dxfId="2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5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1:R335"/>
  <sheetViews>
    <sheetView view="pageBreakPreview" topLeftCell="B1" zoomScaleNormal="100" zoomScaleSheetLayoutView="100" workbookViewId="0">
      <selection activeCell="B14" sqref="B14:Q14"/>
    </sheetView>
  </sheetViews>
  <sheetFormatPr defaultRowHeight="12.75" x14ac:dyDescent="0.2"/>
  <cols>
    <col min="1" max="1" width="42.85546875" style="2" hidden="1" customWidth="1"/>
    <col min="2" max="2" width="37.42578125" style="2" customWidth="1"/>
    <col min="3" max="3" width="7.7109375" style="22" customWidth="1"/>
    <col min="4" max="4" width="11.28515625" style="22" customWidth="1"/>
    <col min="5" max="7" width="7.7109375" style="22" customWidth="1"/>
    <col min="8" max="10" width="13.7109375" style="22" customWidth="1"/>
    <col min="11" max="11" width="13" style="22" customWidth="1"/>
    <col min="12" max="17" width="10" style="22" customWidth="1"/>
    <col min="18" max="18" width="9.140625" style="1"/>
    <col min="19" max="16384" width="9.140625" style="2"/>
  </cols>
  <sheetData>
    <row r="1" spans="1:17" ht="12.7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12.75" customHeight="1" x14ac:dyDescent="0.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12.7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ht="12.75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1:17" ht="12.75" customHeight="1" x14ac:dyDescent="0.2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1:17" ht="45.75" customHeight="1" x14ac:dyDescent="0.2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</row>
    <row r="7" spans="1:17" ht="12.75" customHeight="1" x14ac:dyDescent="0.25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3"/>
      <c r="L7" s="28">
        <v>44927</v>
      </c>
      <c r="M7" s="28"/>
      <c r="N7" s="28"/>
      <c r="O7" s="28"/>
      <c r="P7" s="28"/>
      <c r="Q7" s="28"/>
    </row>
    <row r="8" spans="1:17" ht="12.75" hidden="1" customHeight="1" x14ac:dyDescent="0.25">
      <c r="A8" s="27" t="s">
        <v>1</v>
      </c>
      <c r="B8" s="27"/>
      <c r="C8" s="27"/>
      <c r="D8" s="27"/>
      <c r="E8" s="27"/>
      <c r="F8" s="27"/>
      <c r="G8" s="27"/>
      <c r="H8" s="27"/>
      <c r="I8" s="27"/>
      <c r="J8" s="27"/>
      <c r="K8" s="3"/>
      <c r="L8" s="29">
        <v>5.35</v>
      </c>
      <c r="M8" s="29"/>
      <c r="N8" s="29"/>
      <c r="O8" s="29"/>
      <c r="P8" s="29"/>
      <c r="Q8" s="29"/>
    </row>
    <row r="9" spans="1:17" ht="12.75" customHeight="1" x14ac:dyDescent="0.2">
      <c r="A9" s="30" t="s">
        <v>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</row>
    <row r="10" spans="1:17" ht="12.75" customHeight="1" x14ac:dyDescent="0.2">
      <c r="A10" s="128" t="s">
        <v>1474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spans="1:17" ht="12.75" customHeight="1" x14ac:dyDescent="0.2">
      <c r="A11" s="31" t="s">
        <v>1409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</row>
    <row r="12" spans="1:17" ht="12.75" customHeight="1" x14ac:dyDescent="0.2">
      <c r="A12" s="31" t="s">
        <v>4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</row>
    <row r="13" spans="1:17" ht="12.75" customHeight="1" x14ac:dyDescent="0.2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 spans="1:17" ht="30" customHeight="1" x14ac:dyDescent="0.35">
      <c r="A14" s="6"/>
      <c r="B14" s="23" t="s">
        <v>1044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</row>
    <row r="15" spans="1:17" ht="12.75" customHeight="1" x14ac:dyDescent="0.2">
      <c r="A15" s="7" t="s">
        <v>6</v>
      </c>
      <c r="B15" s="8" t="s">
        <v>7</v>
      </c>
      <c r="C15" s="8" t="s">
        <v>8</v>
      </c>
      <c r="D15" s="8" t="s">
        <v>9</v>
      </c>
      <c r="E15" s="8" t="s">
        <v>10</v>
      </c>
      <c r="F15" s="8" t="s">
        <v>11</v>
      </c>
      <c r="G15" s="8" t="s">
        <v>12</v>
      </c>
      <c r="H15" s="8" t="s">
        <v>13</v>
      </c>
      <c r="I15" s="8" t="s">
        <v>14</v>
      </c>
      <c r="J15" s="8" t="s">
        <v>15</v>
      </c>
      <c r="K15" s="8" t="s">
        <v>16</v>
      </c>
      <c r="L15" s="8" t="s">
        <v>17</v>
      </c>
      <c r="M15" s="8" t="s">
        <v>18</v>
      </c>
      <c r="N15" s="8" t="s">
        <v>19</v>
      </c>
      <c r="O15" s="8" t="s">
        <v>20</v>
      </c>
      <c r="P15" s="8" t="s">
        <v>21</v>
      </c>
      <c r="Q15" s="9" t="s">
        <v>22</v>
      </c>
    </row>
    <row r="16" spans="1:17" ht="12.75" customHeight="1" x14ac:dyDescent="0.2">
      <c r="A16" s="6"/>
      <c r="B16" s="10" t="s">
        <v>1045</v>
      </c>
      <c r="C16" s="20" t="s">
        <v>137</v>
      </c>
      <c r="D16" s="20" t="s">
        <v>149</v>
      </c>
      <c r="E16" s="20" t="s">
        <v>312</v>
      </c>
      <c r="F16" s="20" t="s">
        <v>405</v>
      </c>
      <c r="G16" s="20" t="s">
        <v>42</v>
      </c>
      <c r="H16" s="20">
        <f>(4164.85*($L$8))</f>
        <v>22281.947500000002</v>
      </c>
      <c r="I16" s="20">
        <f>(4249.85*($L$8))</f>
        <v>22736.697500000002</v>
      </c>
      <c r="J16" s="20">
        <f>(4300.85*($L$8))</f>
        <v>23009.547500000001</v>
      </c>
      <c r="K16" s="20">
        <f>(4436.85*($L$8))</f>
        <v>23737.147499999999</v>
      </c>
      <c r="L16" s="20">
        <f>(4521.85*($L$8))</f>
        <v>24191.897499999999</v>
      </c>
      <c r="M16" s="20">
        <f>(4623.85*($L$8))</f>
        <v>24737.5975</v>
      </c>
      <c r="N16" s="20">
        <f>(4742.85*($L$8))</f>
        <v>25374.247500000001</v>
      </c>
      <c r="O16" s="20">
        <f>(4912.85*($L$8))</f>
        <v>26283.747500000001</v>
      </c>
      <c r="P16" s="20">
        <f>(4997.85*($L$8))</f>
        <v>26738.497500000001</v>
      </c>
      <c r="Q16" s="12">
        <f>(5337.85*($L$8))</f>
        <v>28557.497500000001</v>
      </c>
    </row>
    <row r="17" spans="1:17" ht="12.75" customHeight="1" x14ac:dyDescent="0.2">
      <c r="A17" s="6"/>
      <c r="B17" s="10" t="s">
        <v>1046</v>
      </c>
      <c r="C17" s="20" t="s">
        <v>292</v>
      </c>
      <c r="D17" s="20" t="s">
        <v>149</v>
      </c>
      <c r="E17" s="20" t="s">
        <v>312</v>
      </c>
      <c r="F17" s="20" t="s">
        <v>405</v>
      </c>
      <c r="G17" s="20" t="s">
        <v>152</v>
      </c>
      <c r="H17" s="20">
        <f>(4337.17*($L$8))</f>
        <v>23203.859499999999</v>
      </c>
      <c r="I17" s="20">
        <f>(4432.17*($L$8))</f>
        <v>23712.109499999999</v>
      </c>
      <c r="J17" s="20">
        <f>(4489.17*($L$8))</f>
        <v>24017.059499999999</v>
      </c>
      <c r="K17" s="20">
        <f>(4641.17*($L$8))</f>
        <v>24830.2595</v>
      </c>
      <c r="L17" s="20">
        <f>(4736.17*($L$8))</f>
        <v>25338.5095</v>
      </c>
      <c r="M17" s="20">
        <f>(4850.17*($L$8))</f>
        <v>25948.409499999998</v>
      </c>
      <c r="N17" s="20">
        <f>(4983.17*($L$8))</f>
        <v>26659.959499999997</v>
      </c>
      <c r="O17" s="20">
        <f>(5173.17*($L$8))</f>
        <v>27676.459499999997</v>
      </c>
      <c r="P17" s="20">
        <f>(5268.17*($L$8))</f>
        <v>28184.709499999997</v>
      </c>
      <c r="Q17" s="12">
        <f>(5648.17*($L$8))</f>
        <v>30217.709499999997</v>
      </c>
    </row>
    <row r="18" spans="1:17" ht="12.75" customHeight="1" x14ac:dyDescent="0.2">
      <c r="A18" s="6"/>
      <c r="B18" s="10" t="s">
        <v>1047</v>
      </c>
      <c r="C18" s="20" t="s">
        <v>273</v>
      </c>
      <c r="D18" s="20" t="s">
        <v>149</v>
      </c>
      <c r="E18" s="20" t="s">
        <v>312</v>
      </c>
      <c r="F18" s="20" t="s">
        <v>405</v>
      </c>
      <c r="G18" s="20" t="s">
        <v>154</v>
      </c>
      <c r="H18" s="20">
        <f>(4468.39*($L$8))</f>
        <v>23905.886500000001</v>
      </c>
      <c r="I18" s="20">
        <f>(4568.39*($L$8))</f>
        <v>24440.886500000001</v>
      </c>
      <c r="J18" s="20">
        <f>(4628.39*($L$8))</f>
        <v>24761.886500000001</v>
      </c>
      <c r="K18" s="20">
        <f>(4788.39*($L$8))</f>
        <v>25617.886500000001</v>
      </c>
      <c r="L18" s="20">
        <f>(4888.39*($L$8))</f>
        <v>26152.886500000001</v>
      </c>
      <c r="M18" s="20">
        <f>(5008.39*($L$8))</f>
        <v>26794.886500000001</v>
      </c>
      <c r="N18" s="20">
        <f>(5148.39*($L$8))</f>
        <v>27543.886500000001</v>
      </c>
      <c r="O18" s="20">
        <f>(5348.39*($L$8))</f>
        <v>28613.886500000001</v>
      </c>
      <c r="P18" s="20">
        <f>(5448.39*($L$8))</f>
        <v>29148.886500000001</v>
      </c>
      <c r="Q18" s="12">
        <f>(5848.39*($L$8))</f>
        <v>31288.886500000001</v>
      </c>
    </row>
    <row r="19" spans="1:17" ht="12.75" customHeight="1" x14ac:dyDescent="0.2">
      <c r="A19" s="6"/>
      <c r="B19" s="10" t="s">
        <v>1048</v>
      </c>
      <c r="C19" s="20" t="s">
        <v>278</v>
      </c>
      <c r="D19" s="20" t="s">
        <v>149</v>
      </c>
      <c r="E19" s="20" t="s">
        <v>312</v>
      </c>
      <c r="F19" s="20" t="s">
        <v>405</v>
      </c>
      <c r="G19" s="20" t="s">
        <v>157</v>
      </c>
      <c r="H19" s="20">
        <f>(4666.9*($L$8))</f>
        <v>24967.914999999997</v>
      </c>
      <c r="I19" s="20">
        <f>(4771.9*($L$8))</f>
        <v>25529.664999999997</v>
      </c>
      <c r="J19" s="20">
        <f>(4834.9*($L$8))</f>
        <v>25866.714999999997</v>
      </c>
      <c r="K19" s="20">
        <f>(5002.9*($L$8))</f>
        <v>26765.514999999996</v>
      </c>
      <c r="L19" s="20">
        <f>(5107.9*($L$8))</f>
        <v>27327.264999999996</v>
      </c>
      <c r="M19" s="20">
        <f>(5233.9*($L$8))</f>
        <v>28001.364999999998</v>
      </c>
      <c r="N19" s="20">
        <f>(5380.9*($L$8))</f>
        <v>28787.814999999995</v>
      </c>
      <c r="O19" s="20">
        <f>(5590.9*($L$8))</f>
        <v>29911.314999999995</v>
      </c>
      <c r="P19" s="20">
        <f>(5695.9*($L$8))</f>
        <v>30473.064999999995</v>
      </c>
      <c r="Q19" s="12">
        <f>(6115.9*($L$8))</f>
        <v>32720.064999999995</v>
      </c>
    </row>
    <row r="20" spans="1:17" ht="12.75" customHeight="1" x14ac:dyDescent="0.2">
      <c r="A20" s="6"/>
      <c r="B20" s="10" t="s">
        <v>1049</v>
      </c>
      <c r="C20" s="20" t="s">
        <v>280</v>
      </c>
      <c r="D20" s="20" t="s">
        <v>149</v>
      </c>
      <c r="E20" s="20" t="s">
        <v>312</v>
      </c>
      <c r="F20" s="20" t="s">
        <v>405</v>
      </c>
      <c r="G20" s="20" t="s">
        <v>163</v>
      </c>
      <c r="H20" s="20">
        <f>(4863.94*($L$8))</f>
        <v>26022.078999999998</v>
      </c>
      <c r="I20" s="20">
        <f>(4978.94*($L$8))</f>
        <v>26637.328999999998</v>
      </c>
      <c r="J20" s="20">
        <f>(5047.94*($L$8))</f>
        <v>27006.478999999996</v>
      </c>
      <c r="K20" s="20">
        <f>(5231.94*($L$8))</f>
        <v>27990.878999999997</v>
      </c>
      <c r="L20" s="20">
        <f>(5346.94*($L$8))</f>
        <v>28606.128999999997</v>
      </c>
      <c r="M20" s="20">
        <f>(5484.94*($L$8))</f>
        <v>29344.428999999996</v>
      </c>
      <c r="N20" s="20">
        <f>(5645.94*($L$8))</f>
        <v>30205.778999999995</v>
      </c>
      <c r="O20" s="20">
        <f>(5875.94*($L$8))</f>
        <v>31436.278999999995</v>
      </c>
      <c r="P20" s="20">
        <f>(5990.94*($L$8))</f>
        <v>32051.528999999995</v>
      </c>
      <c r="Q20" s="12">
        <f>(6450.94*($L$8))</f>
        <v>34512.528999999995</v>
      </c>
    </row>
    <row r="21" spans="1:17" ht="12.75" customHeight="1" x14ac:dyDescent="0.2">
      <c r="A21" s="6"/>
      <c r="B21" s="10" t="s">
        <v>1050</v>
      </c>
      <c r="C21" s="20" t="s">
        <v>236</v>
      </c>
      <c r="D21" s="20" t="s">
        <v>149</v>
      </c>
      <c r="E21" s="20" t="s">
        <v>312</v>
      </c>
      <c r="F21" s="20" t="s">
        <v>405</v>
      </c>
      <c r="G21" s="20" t="s">
        <v>182</v>
      </c>
      <c r="H21" s="20">
        <f>(4994.16*($L$8))</f>
        <v>26718.755999999998</v>
      </c>
      <c r="I21" s="20">
        <f>(5114.16*($L$8))</f>
        <v>27360.755999999998</v>
      </c>
      <c r="J21" s="20">
        <f>(5186.16*($L$8))</f>
        <v>27745.955999999998</v>
      </c>
      <c r="K21" s="20">
        <f>(5378.16*($L$8))</f>
        <v>28773.155999999999</v>
      </c>
      <c r="L21" s="20">
        <f>(5498.16*($L$8))</f>
        <v>29415.155999999999</v>
      </c>
      <c r="M21" s="20">
        <f>(5642.16*($L$8))</f>
        <v>30185.555999999997</v>
      </c>
      <c r="N21" s="20">
        <f>(5810.16*($L$8))</f>
        <v>31084.355999999996</v>
      </c>
      <c r="O21" s="20">
        <f>(6050.16*($L$8))</f>
        <v>32368.355999999996</v>
      </c>
      <c r="P21" s="20">
        <f>(6170.16*($L$8))</f>
        <v>33010.356</v>
      </c>
      <c r="Q21" s="12">
        <f>(6650.16*($L$8))</f>
        <v>35578.356</v>
      </c>
    </row>
    <row r="22" spans="1:17" ht="30" customHeight="1" x14ac:dyDescent="0.35">
      <c r="A22" s="6"/>
      <c r="B22" s="23" t="s">
        <v>1051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</row>
    <row r="23" spans="1:17" ht="12.75" customHeight="1" x14ac:dyDescent="0.2">
      <c r="A23" s="7" t="s">
        <v>6</v>
      </c>
      <c r="B23" s="8" t="s">
        <v>7</v>
      </c>
      <c r="C23" s="8" t="s">
        <v>8</v>
      </c>
      <c r="D23" s="8" t="s">
        <v>9</v>
      </c>
      <c r="E23" s="8" t="s">
        <v>10</v>
      </c>
      <c r="F23" s="8" t="s">
        <v>11</v>
      </c>
      <c r="G23" s="8" t="s">
        <v>12</v>
      </c>
      <c r="H23" s="8" t="s">
        <v>13</v>
      </c>
      <c r="I23" s="8" t="s">
        <v>14</v>
      </c>
      <c r="J23" s="8" t="s">
        <v>15</v>
      </c>
      <c r="K23" s="8" t="s">
        <v>16</v>
      </c>
      <c r="L23" s="8" t="s">
        <v>17</v>
      </c>
      <c r="M23" s="8" t="s">
        <v>18</v>
      </c>
      <c r="N23" s="8" t="s">
        <v>19</v>
      </c>
      <c r="O23" s="8" t="s">
        <v>20</v>
      </c>
      <c r="P23" s="8" t="s">
        <v>21</v>
      </c>
      <c r="Q23" s="9" t="s">
        <v>22</v>
      </c>
    </row>
    <row r="24" spans="1:17" ht="12.75" customHeight="1" x14ac:dyDescent="0.2">
      <c r="A24" s="6"/>
      <c r="B24" s="10" t="s">
        <v>1052</v>
      </c>
      <c r="C24" s="20" t="s">
        <v>137</v>
      </c>
      <c r="D24" s="20" t="s">
        <v>464</v>
      </c>
      <c r="E24" s="20" t="s">
        <v>256</v>
      </c>
      <c r="F24" s="20" t="s">
        <v>652</v>
      </c>
      <c r="G24" s="20" t="s">
        <v>166</v>
      </c>
      <c r="H24" s="20">
        <f>(4288.85*($L$8))</f>
        <v>22945.3475</v>
      </c>
      <c r="I24" s="20">
        <f>(4378.85*($L$8))</f>
        <v>23426.8475</v>
      </c>
      <c r="J24" s="20">
        <f>(4432.85*($L$8))</f>
        <v>23715.747500000001</v>
      </c>
      <c r="K24" s="20">
        <f>(4576.85*($L$8))</f>
        <v>24486.147499999999</v>
      </c>
      <c r="L24" s="20">
        <f>(4666.85*($L$8))</f>
        <v>24967.647499999999</v>
      </c>
      <c r="M24" s="20">
        <f>(4774.85*($L$8))</f>
        <v>25545.447500000002</v>
      </c>
      <c r="N24" s="20">
        <f>(4900.85*($L$8))</f>
        <v>26219.547500000001</v>
      </c>
      <c r="O24" s="20">
        <f>(5080.85*($L$8))</f>
        <v>27182.547500000001</v>
      </c>
      <c r="P24" s="20">
        <f>(5170.85*($L$8))</f>
        <v>27664.047500000001</v>
      </c>
      <c r="Q24" s="12">
        <f>(5530.85*($L$8))</f>
        <v>29590.047500000001</v>
      </c>
    </row>
    <row r="25" spans="1:17" ht="12.75" customHeight="1" x14ac:dyDescent="0.2">
      <c r="A25" s="6"/>
      <c r="B25" s="10" t="s">
        <v>1053</v>
      </c>
      <c r="C25" s="20" t="s">
        <v>292</v>
      </c>
      <c r="D25" s="20" t="s">
        <v>464</v>
      </c>
      <c r="E25" s="20" t="s">
        <v>256</v>
      </c>
      <c r="F25" s="20" t="s">
        <v>652</v>
      </c>
      <c r="G25" s="20" t="s">
        <v>154</v>
      </c>
      <c r="H25" s="20">
        <f>(4470.92*($L$8))</f>
        <v>23919.421999999999</v>
      </c>
      <c r="I25" s="20">
        <f>(4570.92*($L$8))</f>
        <v>24454.421999999999</v>
      </c>
      <c r="J25" s="20">
        <f>(4630.92*($L$8))</f>
        <v>24775.421999999999</v>
      </c>
      <c r="K25" s="20">
        <f>(4790.92*($L$8))</f>
        <v>25631.421999999999</v>
      </c>
      <c r="L25" s="20">
        <f>(4890.92*($L$8))</f>
        <v>26166.421999999999</v>
      </c>
      <c r="M25" s="20">
        <f>(5010.92*($L$8))</f>
        <v>26808.421999999999</v>
      </c>
      <c r="N25" s="20">
        <f>(5150.92*($L$8))</f>
        <v>27557.421999999999</v>
      </c>
      <c r="O25" s="20">
        <f>(5350.92*($L$8))</f>
        <v>28627.421999999999</v>
      </c>
      <c r="P25" s="20">
        <f>(5450.92*($L$8))</f>
        <v>29162.421999999999</v>
      </c>
      <c r="Q25" s="12">
        <f>(5850.92*($L$8))</f>
        <v>31302.421999999999</v>
      </c>
    </row>
    <row r="26" spans="1:17" ht="12.75" customHeight="1" x14ac:dyDescent="0.2">
      <c r="A26" s="6"/>
      <c r="B26" s="10" t="s">
        <v>1054</v>
      </c>
      <c r="C26" s="20" t="s">
        <v>273</v>
      </c>
      <c r="D26" s="20" t="s">
        <v>464</v>
      </c>
      <c r="E26" s="20" t="s">
        <v>256</v>
      </c>
      <c r="F26" s="20" t="s">
        <v>652</v>
      </c>
      <c r="G26" s="20" t="s">
        <v>157</v>
      </c>
      <c r="H26" s="20">
        <f>(4591.6*($L$8))</f>
        <v>24565.06</v>
      </c>
      <c r="I26" s="20">
        <f>(4696.6*($L$8))</f>
        <v>25126.81</v>
      </c>
      <c r="J26" s="20">
        <f>(4759.6*($L$8))</f>
        <v>25463.86</v>
      </c>
      <c r="K26" s="20">
        <f>(4927.6*($L$8))</f>
        <v>26362.66</v>
      </c>
      <c r="L26" s="20">
        <f>(5032.6*($L$8))</f>
        <v>26924.41</v>
      </c>
      <c r="M26" s="20">
        <f>(5158.6*($L$8))</f>
        <v>27598.51</v>
      </c>
      <c r="N26" s="20">
        <f>(5305.6*($L$8))</f>
        <v>28384.959999999999</v>
      </c>
      <c r="O26" s="20">
        <f>(5515.6*($L$8))</f>
        <v>29508.46</v>
      </c>
      <c r="P26" s="20">
        <f>(5620.6*($L$8))</f>
        <v>30070.21</v>
      </c>
      <c r="Q26" s="12">
        <f>(6040.6*($L$8))</f>
        <v>32317.21</v>
      </c>
    </row>
    <row r="27" spans="1:17" ht="12.75" customHeight="1" x14ac:dyDescent="0.2">
      <c r="A27" s="6"/>
      <c r="B27" s="10" t="s">
        <v>1055</v>
      </c>
      <c r="C27" s="20" t="s">
        <v>278</v>
      </c>
      <c r="D27" s="20" t="s">
        <v>464</v>
      </c>
      <c r="E27" s="20" t="s">
        <v>256</v>
      </c>
      <c r="F27" s="20" t="s">
        <v>652</v>
      </c>
      <c r="G27" s="20" t="s">
        <v>160</v>
      </c>
      <c r="H27" s="20">
        <f>(4794.03*($L$8))</f>
        <v>25648.060499999996</v>
      </c>
      <c r="I27" s="20">
        <f>(4904.03*($L$8))</f>
        <v>26236.560499999996</v>
      </c>
      <c r="J27" s="20">
        <f>(4970.03*($L$8))</f>
        <v>26589.660499999998</v>
      </c>
      <c r="K27" s="20">
        <f>(5146.03*($L$8))</f>
        <v>27531.260499999997</v>
      </c>
      <c r="L27" s="20">
        <f>(5256.03*($L$8))</f>
        <v>28119.760499999997</v>
      </c>
      <c r="M27" s="20">
        <f>(5388.03*($L$8))</f>
        <v>28825.960499999997</v>
      </c>
      <c r="N27" s="20">
        <f>(5542.03*($L$8))</f>
        <v>29649.860499999995</v>
      </c>
      <c r="O27" s="20">
        <f>(5762.03*($L$8))</f>
        <v>30826.860499999995</v>
      </c>
      <c r="P27" s="20">
        <f>(5872.03*($L$8))</f>
        <v>31415.360499999995</v>
      </c>
      <c r="Q27" s="12">
        <f>(6312.03*($L$8))</f>
        <v>33769.360499999995</v>
      </c>
    </row>
    <row r="28" spans="1:17" ht="12.75" customHeight="1" x14ac:dyDescent="0.2">
      <c r="A28" s="6"/>
      <c r="B28" s="10" t="s">
        <v>1056</v>
      </c>
      <c r="C28" s="20" t="s">
        <v>280</v>
      </c>
      <c r="D28" s="20" t="s">
        <v>464</v>
      </c>
      <c r="E28" s="20" t="s">
        <v>256</v>
      </c>
      <c r="F28" s="20" t="s">
        <v>652</v>
      </c>
      <c r="G28" s="20" t="s">
        <v>163</v>
      </c>
      <c r="H28" s="20">
        <f>(4975.41*($L$8))</f>
        <v>26618.443499999998</v>
      </c>
      <c r="I28" s="20">
        <f>(5090.41*($L$8))</f>
        <v>27233.693499999998</v>
      </c>
      <c r="J28" s="20">
        <f>(5159.41*($L$8))</f>
        <v>27602.843499999999</v>
      </c>
      <c r="K28" s="20">
        <f>(5343.41*($L$8))</f>
        <v>28587.243499999997</v>
      </c>
      <c r="L28" s="20">
        <f>(5458.41*($L$8))</f>
        <v>29202.493499999997</v>
      </c>
      <c r="M28" s="20">
        <f>(5596.41*($L$8))</f>
        <v>29940.793499999996</v>
      </c>
      <c r="N28" s="20">
        <f>(5757.41*($L$8))</f>
        <v>30802.143499999998</v>
      </c>
      <c r="O28" s="20">
        <f>(5987.41*($L$8))</f>
        <v>32032.643499999998</v>
      </c>
      <c r="P28" s="20">
        <f>(6102.41*($L$8))</f>
        <v>32647.893499999998</v>
      </c>
      <c r="Q28" s="12">
        <f>(6562.41*($L$8))</f>
        <v>35108.893499999998</v>
      </c>
    </row>
    <row r="29" spans="1:17" ht="12.75" customHeight="1" x14ac:dyDescent="0.2">
      <c r="A29" s="6"/>
      <c r="B29" s="10" t="s">
        <v>1057</v>
      </c>
      <c r="C29" s="20" t="s">
        <v>236</v>
      </c>
      <c r="D29" s="20" t="s">
        <v>464</v>
      </c>
      <c r="E29" s="20" t="s">
        <v>256</v>
      </c>
      <c r="F29" s="20" t="s">
        <v>652</v>
      </c>
      <c r="G29" s="20" t="s">
        <v>182</v>
      </c>
      <c r="H29" s="20">
        <f>(5162.94*($L$8))</f>
        <v>27621.728999999996</v>
      </c>
      <c r="I29" s="20">
        <f>(5282.94*($L$8))</f>
        <v>28263.728999999996</v>
      </c>
      <c r="J29" s="20">
        <f>(5354.94*($L$8))</f>
        <v>28648.928999999996</v>
      </c>
      <c r="K29" s="20">
        <f>(5546.94*($L$8))</f>
        <v>29676.128999999997</v>
      </c>
      <c r="L29" s="20">
        <f>(5666.94*($L$8))</f>
        <v>30318.128999999997</v>
      </c>
      <c r="M29" s="20">
        <f>(5810.94*($L$8))</f>
        <v>31088.528999999995</v>
      </c>
      <c r="N29" s="20">
        <f>(5978.94*($L$8))</f>
        <v>31987.328999999994</v>
      </c>
      <c r="O29" s="20">
        <f>(6218.94*($L$8))</f>
        <v>33271.328999999998</v>
      </c>
      <c r="P29" s="20">
        <f>(6338.94*($L$8))</f>
        <v>33913.328999999998</v>
      </c>
      <c r="Q29" s="12">
        <f>(6818.94*($L$8))</f>
        <v>36481.328999999998</v>
      </c>
    </row>
    <row r="30" spans="1:17" ht="30" customHeight="1" x14ac:dyDescent="0.35">
      <c r="A30" s="6"/>
      <c r="B30" s="23" t="s">
        <v>1451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</row>
    <row r="31" spans="1:17" ht="12.75" customHeight="1" x14ac:dyDescent="0.2">
      <c r="A31" s="7" t="s">
        <v>6</v>
      </c>
      <c r="B31" s="8" t="s">
        <v>7</v>
      </c>
      <c r="C31" s="8" t="s">
        <v>8</v>
      </c>
      <c r="D31" s="8" t="s">
        <v>9</v>
      </c>
      <c r="E31" s="8" t="s">
        <v>10</v>
      </c>
      <c r="F31" s="8" t="s">
        <v>11</v>
      </c>
      <c r="G31" s="8" t="s">
        <v>12</v>
      </c>
      <c r="H31" s="8" t="s">
        <v>13</v>
      </c>
      <c r="I31" s="8" t="s">
        <v>14</v>
      </c>
      <c r="J31" s="8" t="s">
        <v>15</v>
      </c>
      <c r="K31" s="8" t="s">
        <v>16</v>
      </c>
      <c r="L31" s="8" t="s">
        <v>17</v>
      </c>
      <c r="M31" s="8" t="s">
        <v>18</v>
      </c>
      <c r="N31" s="8" t="s">
        <v>19</v>
      </c>
      <c r="O31" s="8" t="s">
        <v>20</v>
      </c>
      <c r="P31" s="8" t="s">
        <v>21</v>
      </c>
      <c r="Q31" s="9" t="s">
        <v>22</v>
      </c>
    </row>
    <row r="32" spans="1:17" ht="12.75" customHeight="1" x14ac:dyDescent="0.2">
      <c r="A32" s="6"/>
      <c r="B32" s="10" t="s">
        <v>1058</v>
      </c>
      <c r="C32" s="20" t="s">
        <v>245</v>
      </c>
      <c r="D32" s="20" t="s">
        <v>149</v>
      </c>
      <c r="E32" s="20" t="s">
        <v>256</v>
      </c>
      <c r="F32" s="20" t="s">
        <v>1059</v>
      </c>
      <c r="G32" s="20" t="s">
        <v>152</v>
      </c>
      <c r="H32" s="20">
        <f>(4228.73*($L$8))</f>
        <v>22623.705499999996</v>
      </c>
      <c r="I32" s="20">
        <f>(4318.23*($L$8))</f>
        <v>23102.530499999997</v>
      </c>
      <c r="J32" s="20">
        <f>(4371.93*($L$8))</f>
        <v>23389.825499999999</v>
      </c>
      <c r="K32" s="20">
        <f>(4515.13*($L$8))</f>
        <v>24155.945499999998</v>
      </c>
      <c r="L32" s="20">
        <f>(4604.63*($L$8))</f>
        <v>24634.770499999999</v>
      </c>
      <c r="M32" s="20">
        <f>(4712.03*($L$8))</f>
        <v>25209.360499999995</v>
      </c>
      <c r="N32" s="20">
        <f>(4837.33*($L$8))</f>
        <v>25879.715499999998</v>
      </c>
      <c r="O32" s="20">
        <f>(5016.33*($L$8))</f>
        <v>26837.365499999996</v>
      </c>
      <c r="P32" s="20">
        <f>(5105.83*($L$8))</f>
        <v>27316.190499999997</v>
      </c>
      <c r="Q32" s="12">
        <f>(5463.83*($L$8))</f>
        <v>29231.490499999996</v>
      </c>
    </row>
    <row r="33" spans="1:17" ht="12.75" customHeight="1" x14ac:dyDescent="0.2">
      <c r="A33" s="6"/>
      <c r="B33" s="10" t="s">
        <v>1060</v>
      </c>
      <c r="C33" s="20" t="s">
        <v>1061</v>
      </c>
      <c r="D33" s="20" t="s">
        <v>149</v>
      </c>
      <c r="E33" s="20" t="s">
        <v>256</v>
      </c>
      <c r="F33" s="20" t="s">
        <v>1059</v>
      </c>
      <c r="G33" s="20" t="s">
        <v>243</v>
      </c>
      <c r="H33" s="20">
        <f>(5529.3*($L$8))</f>
        <v>29581.754999999997</v>
      </c>
      <c r="I33" s="20">
        <f>(5655.8*($L$8))</f>
        <v>30258.53</v>
      </c>
      <c r="J33" s="20">
        <f>(5731.7*($L$8))</f>
        <v>30664.594999999998</v>
      </c>
      <c r="K33" s="20">
        <f>(5934.1*($L$8))</f>
        <v>31747.435000000001</v>
      </c>
      <c r="L33" s="20">
        <f>(6060.6*($L$8))</f>
        <v>32424.21</v>
      </c>
      <c r="M33" s="20">
        <f>(6212.4*($L$8))</f>
        <v>33236.339999999997</v>
      </c>
      <c r="N33" s="20">
        <f>(6389.5*($L$8))</f>
        <v>34183.824999999997</v>
      </c>
      <c r="O33" s="20">
        <f>(6642.5*($L$8))</f>
        <v>35537.375</v>
      </c>
      <c r="P33" s="20">
        <f>(6769*($L$8))</f>
        <v>36214.149999999994</v>
      </c>
      <c r="Q33" s="12">
        <f>(7275*($L$8))</f>
        <v>38921.25</v>
      </c>
    </row>
    <row r="34" spans="1:17" ht="12.75" customHeight="1" x14ac:dyDescent="0.2">
      <c r="A34" s="6"/>
      <c r="B34" s="10" t="s">
        <v>1062</v>
      </c>
      <c r="C34" s="20" t="s">
        <v>1063</v>
      </c>
      <c r="D34" s="20" t="s">
        <v>149</v>
      </c>
      <c r="E34" s="20" t="s">
        <v>256</v>
      </c>
      <c r="F34" s="20" t="s">
        <v>1059</v>
      </c>
      <c r="G34" s="20" t="s">
        <v>1064</v>
      </c>
      <c r="H34" s="20">
        <f>(5542.16*($L$8))</f>
        <v>29650.555999999997</v>
      </c>
      <c r="I34" s="20">
        <f>(5681.96*($L$8))</f>
        <v>30398.485999999997</v>
      </c>
      <c r="J34" s="20">
        <f>(5765.84*($L$8))</f>
        <v>30847.243999999999</v>
      </c>
      <c r="K34" s="20">
        <f>(5989.52*($L$8))</f>
        <v>32043.932000000001</v>
      </c>
      <c r="L34" s="20">
        <f>(6129.32*($L$8))</f>
        <v>32791.861999999994</v>
      </c>
      <c r="M34" s="20">
        <f>(6297.08*($L$8))</f>
        <v>33689.377999999997</v>
      </c>
      <c r="N34" s="20">
        <f>(6492.8*($L$8))</f>
        <v>34736.479999999996</v>
      </c>
      <c r="O34" s="20">
        <f>(6772.4*($L$8))</f>
        <v>36232.339999999997</v>
      </c>
      <c r="P34" s="20">
        <f>(6912.2*($L$8))</f>
        <v>36980.269999999997</v>
      </c>
      <c r="Q34" s="12">
        <f>(7471.4*($L$8))</f>
        <v>39971.99</v>
      </c>
    </row>
    <row r="35" spans="1:17" ht="12.75" customHeight="1" x14ac:dyDescent="0.2">
      <c r="A35" s="6"/>
      <c r="B35" s="10" t="s">
        <v>1065</v>
      </c>
      <c r="C35" s="20" t="s">
        <v>1066</v>
      </c>
      <c r="D35" s="20" t="s">
        <v>149</v>
      </c>
      <c r="E35" s="20" t="s">
        <v>256</v>
      </c>
      <c r="F35" s="20" t="s">
        <v>1059</v>
      </c>
      <c r="G35" s="20" t="s">
        <v>283</v>
      </c>
      <c r="H35" s="20">
        <f>(6170.49*($L$8))</f>
        <v>33012.121499999994</v>
      </c>
      <c r="I35" s="20">
        <f>(6331.89*($L$8))</f>
        <v>33875.611499999999</v>
      </c>
      <c r="J35" s="20">
        <f>(6428.73*($L$8))</f>
        <v>34393.705499999996</v>
      </c>
      <c r="K35" s="20">
        <f>(6686.97*($L$8))</f>
        <v>35775.289499999999</v>
      </c>
      <c r="L35" s="20">
        <f>(6848.37*($L$8))</f>
        <v>36638.779499999997</v>
      </c>
      <c r="M35" s="20">
        <f>(7042.05*($L$8))</f>
        <v>37674.967499999999</v>
      </c>
      <c r="N35" s="20">
        <f>(7268.01*($L$8))</f>
        <v>38883.853499999997</v>
      </c>
      <c r="O35" s="20">
        <f>(7590.81*($L$8))</f>
        <v>40610.833500000001</v>
      </c>
      <c r="P35" s="20">
        <f>(7752.21*($L$8))</f>
        <v>41474.323499999999</v>
      </c>
      <c r="Q35" s="12">
        <f>(8397.81*($L$8))</f>
        <v>44928.283499999998</v>
      </c>
    </row>
    <row r="36" spans="1:17" ht="12.75" customHeight="1" x14ac:dyDescent="0.2">
      <c r="A36" s="6"/>
      <c r="B36" s="10" t="s">
        <v>1067</v>
      </c>
      <c r="C36" s="20" t="s">
        <v>1068</v>
      </c>
      <c r="D36" s="20" t="s">
        <v>149</v>
      </c>
      <c r="E36" s="20" t="s">
        <v>256</v>
      </c>
      <c r="F36" s="20" t="s">
        <v>1059</v>
      </c>
      <c r="G36" s="20" t="s">
        <v>728</v>
      </c>
      <c r="H36" s="20">
        <f>(6444.39*($L$8))</f>
        <v>34477.486499999999</v>
      </c>
      <c r="I36" s="20">
        <f>(6605.79*($L$8))</f>
        <v>35340.976499999997</v>
      </c>
      <c r="J36" s="20">
        <f>(6702.63*($L$8))</f>
        <v>35859.070500000002</v>
      </c>
      <c r="K36" s="20">
        <f>(6960.87*($L$8))</f>
        <v>37240.654499999997</v>
      </c>
      <c r="L36" s="20">
        <f>(7122.27*($L$8))</f>
        <v>38104.144500000002</v>
      </c>
      <c r="M36" s="20">
        <f>(7315.95*($L$8))</f>
        <v>39140.332499999997</v>
      </c>
      <c r="N36" s="20">
        <f>(7541.91*($L$8))</f>
        <v>40349.218499999995</v>
      </c>
      <c r="O36" s="20">
        <f>(7864.71*($L$8))</f>
        <v>42076.198499999999</v>
      </c>
      <c r="P36" s="20">
        <f>(8026.11*($L$8))</f>
        <v>42939.688499999997</v>
      </c>
      <c r="Q36" s="12">
        <f>(8671.71*($L$8))</f>
        <v>46393.648499999996</v>
      </c>
    </row>
    <row r="37" spans="1:17" ht="12.75" customHeight="1" x14ac:dyDescent="0.2">
      <c r="A37" s="6"/>
      <c r="B37" s="10" t="s">
        <v>1069</v>
      </c>
      <c r="C37" s="20" t="s">
        <v>505</v>
      </c>
      <c r="D37" s="20" t="s">
        <v>149</v>
      </c>
      <c r="E37" s="20" t="s">
        <v>256</v>
      </c>
      <c r="F37" s="20" t="s">
        <v>1059</v>
      </c>
      <c r="G37" s="20" t="s">
        <v>286</v>
      </c>
      <c r="H37" s="20">
        <f>(6698.72*($L$8))</f>
        <v>35838.152000000002</v>
      </c>
      <c r="I37" s="20">
        <f>(6868.62*($L$8))</f>
        <v>36747.116999999998</v>
      </c>
      <c r="J37" s="20">
        <f>(6970.56*($L$8))</f>
        <v>37292.495999999999</v>
      </c>
      <c r="K37" s="20">
        <f>(7242.4*($L$8))</f>
        <v>38746.839999999997</v>
      </c>
      <c r="L37" s="20">
        <f>(7412.3*($L$8))</f>
        <v>39655.805</v>
      </c>
      <c r="M37" s="20">
        <f>(7616.18*($L$8))</f>
        <v>40746.563000000002</v>
      </c>
      <c r="N37" s="20">
        <f>(7854.04*($L$8))</f>
        <v>42019.113999999994</v>
      </c>
      <c r="O37" s="20">
        <f>(8193.84*($L$8))</f>
        <v>43837.043999999994</v>
      </c>
      <c r="P37" s="20">
        <f>(8363.74*($L$8))</f>
        <v>44746.008999999998</v>
      </c>
      <c r="Q37" s="12">
        <f>(9043.34*($L$8))</f>
        <v>48381.868999999999</v>
      </c>
    </row>
    <row r="38" spans="1:17" ht="12.75" customHeight="1" x14ac:dyDescent="0.2">
      <c r="A38" s="6"/>
      <c r="B38" s="10" t="s">
        <v>1070</v>
      </c>
      <c r="C38" s="20" t="s">
        <v>671</v>
      </c>
      <c r="D38" s="20" t="s">
        <v>149</v>
      </c>
      <c r="E38" s="20" t="s">
        <v>256</v>
      </c>
      <c r="F38" s="20" t="s">
        <v>1059</v>
      </c>
      <c r="G38" s="20" t="s">
        <v>1071</v>
      </c>
      <c r="H38" s="20">
        <f>(6866.7*($L$8))</f>
        <v>36736.844999999994</v>
      </c>
      <c r="I38" s="20">
        <f>(7054.7*($L$8))</f>
        <v>37742.644999999997</v>
      </c>
      <c r="J38" s="20">
        <f>(7167.5*($L$8))</f>
        <v>38346.125</v>
      </c>
      <c r="K38" s="20">
        <f>(7468.3*($L$8))</f>
        <v>39955.404999999999</v>
      </c>
      <c r="L38" s="20">
        <f>(7656.3*($L$8))</f>
        <v>40961.205000000002</v>
      </c>
      <c r="M38" s="20">
        <f>(7881.9*($L$8))</f>
        <v>42168.164999999994</v>
      </c>
      <c r="N38" s="20">
        <f>(8145.1*($L$8))</f>
        <v>43576.284999999996</v>
      </c>
      <c r="O38" s="20">
        <f>(8521.1*($L$8))</f>
        <v>45587.885000000002</v>
      </c>
      <c r="P38" s="20">
        <f>(8709.1*($L$8))</f>
        <v>46593.684999999998</v>
      </c>
      <c r="Q38" s="12">
        <f>(9461.1*($L$8))</f>
        <v>50616.885000000002</v>
      </c>
    </row>
    <row r="39" spans="1:17" ht="12.75" customHeight="1" x14ac:dyDescent="0.2">
      <c r="A39" s="6"/>
      <c r="B39" s="10" t="s">
        <v>1072</v>
      </c>
      <c r="C39" s="20" t="s">
        <v>537</v>
      </c>
      <c r="D39" s="20" t="s">
        <v>149</v>
      </c>
      <c r="E39" s="20" t="s">
        <v>256</v>
      </c>
      <c r="F39" s="20" t="s">
        <v>1059</v>
      </c>
      <c r="G39" s="20" t="s">
        <v>289</v>
      </c>
      <c r="H39" s="20">
        <f>(7549.72*($L$8))</f>
        <v>40391.002</v>
      </c>
      <c r="I39" s="20">
        <f>(7753.72*($L$8))</f>
        <v>41482.402000000002</v>
      </c>
      <c r="J39" s="20">
        <f>(7876.12*($L$8))</f>
        <v>42137.241999999998</v>
      </c>
      <c r="K39" s="20">
        <f>(8202.52*($L$8))</f>
        <v>43883.481999999996</v>
      </c>
      <c r="L39" s="20">
        <f>(8406.52*($L$8))</f>
        <v>44974.881999999998</v>
      </c>
      <c r="M39" s="20">
        <f>(8651.32*($L$8))</f>
        <v>46284.561999999998</v>
      </c>
      <c r="N39" s="20">
        <f>(8936.92*($L$8))</f>
        <v>47812.521999999997</v>
      </c>
      <c r="O39" s="20">
        <f>(9344.92*($L$8))</f>
        <v>49995.322</v>
      </c>
      <c r="P39" s="20">
        <f>(9548.92*($L$8))</f>
        <v>51086.721999999994</v>
      </c>
      <c r="Q39" s="12">
        <f>(10364.92*($L$8))</f>
        <v>55452.322</v>
      </c>
    </row>
    <row r="40" spans="1:17" ht="30" customHeight="1" x14ac:dyDescent="0.35">
      <c r="A40" s="6"/>
      <c r="B40" s="23" t="s">
        <v>1452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</row>
    <row r="41" spans="1:17" ht="12.75" customHeight="1" x14ac:dyDescent="0.2">
      <c r="A41" s="7" t="s">
        <v>6</v>
      </c>
      <c r="B41" s="8" t="s">
        <v>7</v>
      </c>
      <c r="C41" s="8" t="s">
        <v>8</v>
      </c>
      <c r="D41" s="8" t="s">
        <v>9</v>
      </c>
      <c r="E41" s="8" t="s">
        <v>10</v>
      </c>
      <c r="F41" s="8" t="s">
        <v>11</v>
      </c>
      <c r="G41" s="8" t="s">
        <v>12</v>
      </c>
      <c r="H41" s="8" t="s">
        <v>13</v>
      </c>
      <c r="I41" s="8" t="s">
        <v>14</v>
      </c>
      <c r="J41" s="8" t="s">
        <v>15</v>
      </c>
      <c r="K41" s="8" t="s">
        <v>16</v>
      </c>
      <c r="L41" s="8" t="s">
        <v>17</v>
      </c>
      <c r="M41" s="8" t="s">
        <v>18</v>
      </c>
      <c r="N41" s="8" t="s">
        <v>19</v>
      </c>
      <c r="O41" s="8" t="s">
        <v>20</v>
      </c>
      <c r="P41" s="8" t="s">
        <v>21</v>
      </c>
      <c r="Q41" s="9" t="s">
        <v>22</v>
      </c>
    </row>
    <row r="42" spans="1:17" ht="12.75" customHeight="1" x14ac:dyDescent="0.2">
      <c r="A42" s="6"/>
      <c r="B42" s="10" t="s">
        <v>1073</v>
      </c>
      <c r="C42" s="20" t="s">
        <v>245</v>
      </c>
      <c r="D42" s="20" t="s">
        <v>149</v>
      </c>
      <c r="E42" s="20" t="s">
        <v>256</v>
      </c>
      <c r="F42" s="20" t="s">
        <v>1059</v>
      </c>
      <c r="G42" s="20" t="s">
        <v>152</v>
      </c>
      <c r="H42" s="20">
        <f>(4228.73*($L$8))</f>
        <v>22623.705499999996</v>
      </c>
      <c r="I42" s="20">
        <f>(4318.23*($L$8))</f>
        <v>23102.530499999997</v>
      </c>
      <c r="J42" s="20">
        <f>(4371.93*($L$8))</f>
        <v>23389.825499999999</v>
      </c>
      <c r="K42" s="20">
        <f>(4515.13*($L$8))</f>
        <v>24155.945499999998</v>
      </c>
      <c r="L42" s="20">
        <f>(4604.63*($L$8))</f>
        <v>24634.770499999999</v>
      </c>
      <c r="M42" s="20">
        <f>(4712.03*($L$8))</f>
        <v>25209.360499999995</v>
      </c>
      <c r="N42" s="20">
        <f>(4837.33*($L$8))</f>
        <v>25879.715499999998</v>
      </c>
      <c r="O42" s="20">
        <f>(5016.33*($L$8))</f>
        <v>26837.365499999996</v>
      </c>
      <c r="P42" s="20">
        <f>(5105.83*($L$8))</f>
        <v>27316.190499999997</v>
      </c>
      <c r="Q42" s="12">
        <f>(5463.83*($L$8))</f>
        <v>29231.490499999996</v>
      </c>
    </row>
    <row r="43" spans="1:17" ht="12.75" customHeight="1" x14ac:dyDescent="0.2">
      <c r="A43" s="6"/>
      <c r="B43" s="10" t="s">
        <v>1074</v>
      </c>
      <c r="C43" s="20" t="s">
        <v>1061</v>
      </c>
      <c r="D43" s="20" t="s">
        <v>149</v>
      </c>
      <c r="E43" s="20" t="s">
        <v>256</v>
      </c>
      <c r="F43" s="20" t="s">
        <v>1059</v>
      </c>
      <c r="G43" s="20" t="s">
        <v>243</v>
      </c>
      <c r="H43" s="20">
        <f>(5529.3*($L$8))</f>
        <v>29581.754999999997</v>
      </c>
      <c r="I43" s="20">
        <f>(5655.8*($L$8))</f>
        <v>30258.53</v>
      </c>
      <c r="J43" s="20">
        <f>(5731.7*($L$8))</f>
        <v>30664.594999999998</v>
      </c>
      <c r="K43" s="20">
        <f>(5934.1*($L$8))</f>
        <v>31747.435000000001</v>
      </c>
      <c r="L43" s="20">
        <f>(6060.6*($L$8))</f>
        <v>32424.21</v>
      </c>
      <c r="M43" s="20">
        <f>(6212.4*($L$8))</f>
        <v>33236.339999999997</v>
      </c>
      <c r="N43" s="20">
        <f>(6389.5*($L$8))</f>
        <v>34183.824999999997</v>
      </c>
      <c r="O43" s="20">
        <f>(6642.5*($L$8))</f>
        <v>35537.375</v>
      </c>
      <c r="P43" s="20">
        <f>(6769*($L$8))</f>
        <v>36214.149999999994</v>
      </c>
      <c r="Q43" s="12">
        <f>(7275*($L$8))</f>
        <v>38921.25</v>
      </c>
    </row>
    <row r="44" spans="1:17" ht="12.75" customHeight="1" x14ac:dyDescent="0.2">
      <c r="A44" s="6"/>
      <c r="B44" s="10" t="s">
        <v>1075</v>
      </c>
      <c r="C44" s="20" t="s">
        <v>1063</v>
      </c>
      <c r="D44" s="20" t="s">
        <v>149</v>
      </c>
      <c r="E44" s="20" t="s">
        <v>256</v>
      </c>
      <c r="F44" s="20" t="s">
        <v>1059</v>
      </c>
      <c r="G44" s="20" t="s">
        <v>1064</v>
      </c>
      <c r="H44" s="20">
        <f>(5542.16*($L$8))</f>
        <v>29650.555999999997</v>
      </c>
      <c r="I44" s="20">
        <f>(5681.96*($L$8))</f>
        <v>30398.485999999997</v>
      </c>
      <c r="J44" s="20">
        <f>(5765.84*($L$8))</f>
        <v>30847.243999999999</v>
      </c>
      <c r="K44" s="20">
        <f>(5989.52*($L$8))</f>
        <v>32043.932000000001</v>
      </c>
      <c r="L44" s="20">
        <f>(6129.32*($L$8))</f>
        <v>32791.861999999994</v>
      </c>
      <c r="M44" s="20">
        <f>(6297.08*($L$8))</f>
        <v>33689.377999999997</v>
      </c>
      <c r="N44" s="20">
        <f>(6492.8*($L$8))</f>
        <v>34736.479999999996</v>
      </c>
      <c r="O44" s="20">
        <f>(6772.4*($L$8))</f>
        <v>36232.339999999997</v>
      </c>
      <c r="P44" s="20">
        <f>(6912.2*($L$8))</f>
        <v>36980.269999999997</v>
      </c>
      <c r="Q44" s="12">
        <f>(7471.4*($L$8))</f>
        <v>39971.99</v>
      </c>
    </row>
    <row r="45" spans="1:17" ht="12.75" customHeight="1" x14ac:dyDescent="0.2">
      <c r="A45" s="6"/>
      <c r="B45" s="10" t="s">
        <v>1076</v>
      </c>
      <c r="C45" s="20" t="s">
        <v>1066</v>
      </c>
      <c r="D45" s="20" t="s">
        <v>149</v>
      </c>
      <c r="E45" s="20" t="s">
        <v>256</v>
      </c>
      <c r="F45" s="20" t="s">
        <v>1059</v>
      </c>
      <c r="G45" s="20" t="s">
        <v>283</v>
      </c>
      <c r="H45" s="20">
        <f>(6170.49*($L$8))</f>
        <v>33012.121499999994</v>
      </c>
      <c r="I45" s="20">
        <f>(6331.89*($L$8))</f>
        <v>33875.611499999999</v>
      </c>
      <c r="J45" s="20">
        <f>(6428.73*($L$8))</f>
        <v>34393.705499999996</v>
      </c>
      <c r="K45" s="20">
        <f>(6686.97*($L$8))</f>
        <v>35775.289499999999</v>
      </c>
      <c r="L45" s="20">
        <f>(6848.37*($L$8))</f>
        <v>36638.779499999997</v>
      </c>
      <c r="M45" s="20">
        <f>(7042.05*($L$8))</f>
        <v>37674.967499999999</v>
      </c>
      <c r="N45" s="20">
        <f>(7268.01*($L$8))</f>
        <v>38883.853499999997</v>
      </c>
      <c r="O45" s="20">
        <f>(7590.81*($L$8))</f>
        <v>40610.833500000001</v>
      </c>
      <c r="P45" s="20">
        <f>(7752.21*($L$8))</f>
        <v>41474.323499999999</v>
      </c>
      <c r="Q45" s="12">
        <f>(8397.81*($L$8))</f>
        <v>44928.283499999998</v>
      </c>
    </row>
    <row r="46" spans="1:17" ht="12.75" customHeight="1" x14ac:dyDescent="0.2">
      <c r="A46" s="6"/>
      <c r="B46" s="10" t="s">
        <v>1077</v>
      </c>
      <c r="C46" s="20" t="s">
        <v>1068</v>
      </c>
      <c r="D46" s="20" t="s">
        <v>149</v>
      </c>
      <c r="E46" s="20" t="s">
        <v>256</v>
      </c>
      <c r="F46" s="20" t="s">
        <v>1059</v>
      </c>
      <c r="G46" s="20" t="s">
        <v>728</v>
      </c>
      <c r="H46" s="20">
        <f>(6444.39*($L$8))</f>
        <v>34477.486499999999</v>
      </c>
      <c r="I46" s="20">
        <f>(6605.79*($L$8))</f>
        <v>35340.976499999997</v>
      </c>
      <c r="J46" s="20">
        <f>(6702.63*($L$8))</f>
        <v>35859.070500000002</v>
      </c>
      <c r="K46" s="20">
        <f>(6960.87*($L$8))</f>
        <v>37240.654499999997</v>
      </c>
      <c r="L46" s="20">
        <f>(7122.27*($L$8))</f>
        <v>38104.144500000002</v>
      </c>
      <c r="M46" s="20">
        <f>(7315.95*($L$8))</f>
        <v>39140.332499999997</v>
      </c>
      <c r="N46" s="20">
        <f>(7541.91*($L$8))</f>
        <v>40349.218499999995</v>
      </c>
      <c r="O46" s="20">
        <f>(7864.71*($L$8))</f>
        <v>42076.198499999999</v>
      </c>
      <c r="P46" s="20">
        <f>(8026.11*($L$8))</f>
        <v>42939.688499999997</v>
      </c>
      <c r="Q46" s="12">
        <f>(8671.71*($L$8))</f>
        <v>46393.648499999996</v>
      </c>
    </row>
    <row r="47" spans="1:17" ht="12.75" customHeight="1" x14ac:dyDescent="0.2">
      <c r="A47" s="6"/>
      <c r="B47" s="10" t="s">
        <v>1078</v>
      </c>
      <c r="C47" s="20" t="s">
        <v>505</v>
      </c>
      <c r="D47" s="20" t="s">
        <v>149</v>
      </c>
      <c r="E47" s="20" t="s">
        <v>256</v>
      </c>
      <c r="F47" s="20" t="s">
        <v>1059</v>
      </c>
      <c r="G47" s="20" t="s">
        <v>286</v>
      </c>
      <c r="H47" s="20">
        <f>(6698.72*($L$8))</f>
        <v>35838.152000000002</v>
      </c>
      <c r="I47" s="20">
        <f>(6868.62*($L$8))</f>
        <v>36747.116999999998</v>
      </c>
      <c r="J47" s="20">
        <f>(6970.56*($L$8))</f>
        <v>37292.495999999999</v>
      </c>
      <c r="K47" s="20">
        <f>(7242.4*($L$8))</f>
        <v>38746.839999999997</v>
      </c>
      <c r="L47" s="20">
        <f>(7412.3*($L$8))</f>
        <v>39655.805</v>
      </c>
      <c r="M47" s="20">
        <f>(7616.18*($L$8))</f>
        <v>40746.563000000002</v>
      </c>
      <c r="N47" s="20">
        <f>(7854.04*($L$8))</f>
        <v>42019.113999999994</v>
      </c>
      <c r="O47" s="20">
        <f>(8193.84*($L$8))</f>
        <v>43837.043999999994</v>
      </c>
      <c r="P47" s="20">
        <f>(8363.74*($L$8))</f>
        <v>44746.008999999998</v>
      </c>
      <c r="Q47" s="12">
        <f>(9043.34*($L$8))</f>
        <v>48381.868999999999</v>
      </c>
    </row>
    <row r="48" spans="1:17" ht="12.75" customHeight="1" x14ac:dyDescent="0.2">
      <c r="A48" s="6"/>
      <c r="B48" s="10" t="s">
        <v>1079</v>
      </c>
      <c r="C48" s="20" t="s">
        <v>671</v>
      </c>
      <c r="D48" s="20" t="s">
        <v>149</v>
      </c>
      <c r="E48" s="20" t="s">
        <v>256</v>
      </c>
      <c r="F48" s="20" t="s">
        <v>1059</v>
      </c>
      <c r="G48" s="20" t="s">
        <v>1071</v>
      </c>
      <c r="H48" s="20">
        <f>(6866.7*($L$8))</f>
        <v>36736.844999999994</v>
      </c>
      <c r="I48" s="20">
        <f>(7054.7*($L$8))</f>
        <v>37742.644999999997</v>
      </c>
      <c r="J48" s="20">
        <f>(7167.5*($L$8))</f>
        <v>38346.125</v>
      </c>
      <c r="K48" s="20">
        <f>(7468.3*($L$8))</f>
        <v>39955.404999999999</v>
      </c>
      <c r="L48" s="20">
        <f>(7656.3*($L$8))</f>
        <v>40961.205000000002</v>
      </c>
      <c r="M48" s="20">
        <f>(7881.9*($L$8))</f>
        <v>42168.164999999994</v>
      </c>
      <c r="N48" s="20">
        <f>(8145.1*($L$8))</f>
        <v>43576.284999999996</v>
      </c>
      <c r="O48" s="20">
        <f>(8521.1*($L$8))</f>
        <v>45587.885000000002</v>
      </c>
      <c r="P48" s="20">
        <f>(8709.1*($L$8))</f>
        <v>46593.684999999998</v>
      </c>
      <c r="Q48" s="12">
        <f>(9461.1*($L$8))</f>
        <v>50616.885000000002</v>
      </c>
    </row>
    <row r="49" spans="1:17" ht="12.75" customHeight="1" x14ac:dyDescent="0.2">
      <c r="A49" s="6"/>
      <c r="B49" s="10" t="s">
        <v>1080</v>
      </c>
      <c r="C49" s="20" t="s">
        <v>537</v>
      </c>
      <c r="D49" s="20" t="s">
        <v>149</v>
      </c>
      <c r="E49" s="20" t="s">
        <v>256</v>
      </c>
      <c r="F49" s="20" t="s">
        <v>1059</v>
      </c>
      <c r="G49" s="20" t="s">
        <v>289</v>
      </c>
      <c r="H49" s="20">
        <f>(7549.72*($L$8))</f>
        <v>40391.002</v>
      </c>
      <c r="I49" s="20">
        <f>(7753.72*($L$8))</f>
        <v>41482.402000000002</v>
      </c>
      <c r="J49" s="20">
        <f>(7876.12*($L$8))</f>
        <v>42137.241999999998</v>
      </c>
      <c r="K49" s="20">
        <f>(8202.52*($L$8))</f>
        <v>43883.481999999996</v>
      </c>
      <c r="L49" s="20">
        <f>(8406.52*($L$8))</f>
        <v>44974.881999999998</v>
      </c>
      <c r="M49" s="20">
        <f>(8651.32*($L$8))</f>
        <v>46284.561999999998</v>
      </c>
      <c r="N49" s="20">
        <f>(8936.92*($L$8))</f>
        <v>47812.521999999997</v>
      </c>
      <c r="O49" s="20">
        <f>(9344.92*($L$8))</f>
        <v>49995.322</v>
      </c>
      <c r="P49" s="20">
        <f>(9548.92*($L$8))</f>
        <v>51086.721999999994</v>
      </c>
      <c r="Q49" s="12">
        <f>(10364.92*($L$8))</f>
        <v>55452.322</v>
      </c>
    </row>
    <row r="50" spans="1:17" ht="30" customHeight="1" x14ac:dyDescent="0.35">
      <c r="A50" s="6"/>
      <c r="B50" s="23" t="s">
        <v>1081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5"/>
    </row>
    <row r="51" spans="1:17" ht="12.75" customHeight="1" x14ac:dyDescent="0.2">
      <c r="A51" s="7" t="s">
        <v>6</v>
      </c>
      <c r="B51" s="8" t="s">
        <v>7</v>
      </c>
      <c r="C51" s="8" t="s">
        <v>8</v>
      </c>
      <c r="D51" s="8" t="s">
        <v>9</v>
      </c>
      <c r="E51" s="8" t="s">
        <v>10</v>
      </c>
      <c r="F51" s="8" t="s">
        <v>11</v>
      </c>
      <c r="G51" s="8" t="s">
        <v>12</v>
      </c>
      <c r="H51" s="8" t="s">
        <v>13</v>
      </c>
      <c r="I51" s="8" t="s">
        <v>14</v>
      </c>
      <c r="J51" s="8" t="s">
        <v>15</v>
      </c>
      <c r="K51" s="8" t="s">
        <v>16</v>
      </c>
      <c r="L51" s="8" t="s">
        <v>17</v>
      </c>
      <c r="M51" s="8" t="s">
        <v>18</v>
      </c>
      <c r="N51" s="8" t="s">
        <v>19</v>
      </c>
      <c r="O51" s="8" t="s">
        <v>20</v>
      </c>
      <c r="P51" s="8" t="s">
        <v>21</v>
      </c>
      <c r="Q51" s="9" t="s">
        <v>22</v>
      </c>
    </row>
    <row r="52" spans="1:17" ht="12.75" customHeight="1" x14ac:dyDescent="0.2">
      <c r="A52" s="6"/>
      <c r="B52" s="10" t="s">
        <v>1082</v>
      </c>
      <c r="C52" s="20" t="s">
        <v>273</v>
      </c>
      <c r="D52" s="20" t="s">
        <v>1083</v>
      </c>
      <c r="E52" s="20" t="s">
        <v>1084</v>
      </c>
      <c r="F52" s="20" t="s">
        <v>383</v>
      </c>
      <c r="G52" s="20" t="s">
        <v>234</v>
      </c>
      <c r="H52" s="20">
        <f>(6472.8*($L$8))</f>
        <v>34629.479999999996</v>
      </c>
      <c r="I52" s="20">
        <f>(6622.8*($L$8))</f>
        <v>35431.979999999996</v>
      </c>
      <c r="J52" s="20">
        <f>(6712.8*($L$8))</f>
        <v>35913.479999999996</v>
      </c>
      <c r="K52" s="20">
        <f>(6952.8*($L$8))</f>
        <v>37197.479999999996</v>
      </c>
      <c r="L52" s="20">
        <f>(7102.8*($L$8))</f>
        <v>37999.979999999996</v>
      </c>
      <c r="M52" s="20">
        <f>(7282.8*($L$8))</f>
        <v>38962.979999999996</v>
      </c>
      <c r="N52" s="20">
        <f>(7492.8*($L$8))</f>
        <v>40086.479999999996</v>
      </c>
      <c r="O52" s="20">
        <f>(7792.8*($L$8))</f>
        <v>41691.479999999996</v>
      </c>
      <c r="P52" s="20">
        <f>(7942.8*($L$8))</f>
        <v>42493.979999999996</v>
      </c>
      <c r="Q52" s="12">
        <f>(8542.8*($L$8))</f>
        <v>45703.979999999996</v>
      </c>
    </row>
    <row r="53" spans="1:17" ht="12.75" customHeight="1" x14ac:dyDescent="0.2">
      <c r="A53" s="6"/>
      <c r="B53" s="10" t="s">
        <v>1085</v>
      </c>
      <c r="C53" s="20" t="s">
        <v>278</v>
      </c>
      <c r="D53" s="20" t="s">
        <v>1083</v>
      </c>
      <c r="E53" s="20" t="s">
        <v>1084</v>
      </c>
      <c r="F53" s="20" t="s">
        <v>383</v>
      </c>
      <c r="G53" s="20" t="s">
        <v>477</v>
      </c>
      <c r="H53" s="20">
        <f>(6687.37*($L$8))</f>
        <v>35777.429499999998</v>
      </c>
      <c r="I53" s="20">
        <f>(6847.37*($L$8))</f>
        <v>36633.429499999998</v>
      </c>
      <c r="J53" s="20">
        <f>(6943.37*($L$8))</f>
        <v>37147.029499999997</v>
      </c>
      <c r="K53" s="20">
        <f>(7199.37*($L$8))</f>
        <v>38516.629499999995</v>
      </c>
      <c r="L53" s="20">
        <f>(7359.37*($L$8))</f>
        <v>39372.629499999995</v>
      </c>
      <c r="M53" s="20">
        <f>(7551.37*($L$8))</f>
        <v>40399.8295</v>
      </c>
      <c r="N53" s="20">
        <f>(7775.37*($L$8))</f>
        <v>41598.229499999994</v>
      </c>
      <c r="O53" s="20">
        <f>(8095.37*($L$8))</f>
        <v>43310.229499999994</v>
      </c>
      <c r="P53" s="20">
        <f>(8255.37*($L$8))</f>
        <v>44166.229500000001</v>
      </c>
      <c r="Q53" s="12">
        <f>(8895.37*($L$8))</f>
        <v>47590.229500000001</v>
      </c>
    </row>
    <row r="54" spans="1:17" ht="12.75" customHeight="1" x14ac:dyDescent="0.2">
      <c r="A54" s="6"/>
      <c r="B54" s="10" t="s">
        <v>1086</v>
      </c>
      <c r="C54" s="20" t="s">
        <v>280</v>
      </c>
      <c r="D54" s="20" t="s">
        <v>1083</v>
      </c>
      <c r="E54" s="20" t="s">
        <v>1084</v>
      </c>
      <c r="F54" s="20" t="s">
        <v>383</v>
      </c>
      <c r="G54" s="20" t="s">
        <v>243</v>
      </c>
      <c r="H54" s="20">
        <f>(6869.33*($L$8))</f>
        <v>36750.915499999996</v>
      </c>
      <c r="I54" s="20">
        <f>(7039.33*($L$8))</f>
        <v>37660.415499999996</v>
      </c>
      <c r="J54" s="20">
        <f>(7141.33*($L$8))</f>
        <v>38206.1155</v>
      </c>
      <c r="K54" s="20">
        <f>(7413.33*($L$8))</f>
        <v>39661.315499999997</v>
      </c>
      <c r="L54" s="20">
        <f>(7583.33*($L$8))</f>
        <v>40570.815499999997</v>
      </c>
      <c r="M54" s="20">
        <f>(7787.33*($L$8))</f>
        <v>41662.215499999998</v>
      </c>
      <c r="N54" s="20">
        <f>(8025.33*($L$8))</f>
        <v>42935.515499999994</v>
      </c>
      <c r="O54" s="20">
        <f>(8365.33*($L$8))</f>
        <v>44754.515499999994</v>
      </c>
      <c r="P54" s="20">
        <f>(8535.33*($L$8))</f>
        <v>45664.015499999994</v>
      </c>
      <c r="Q54" s="12">
        <f>(9215.33*($L$8))</f>
        <v>49302.015499999994</v>
      </c>
    </row>
    <row r="55" spans="1:17" ht="12.75" customHeight="1" x14ac:dyDescent="0.2">
      <c r="A55" s="6"/>
      <c r="B55" s="10" t="s">
        <v>1087</v>
      </c>
      <c r="C55" s="20" t="s">
        <v>236</v>
      </c>
      <c r="D55" s="20" t="s">
        <v>1083</v>
      </c>
      <c r="E55" s="20" t="s">
        <v>1084</v>
      </c>
      <c r="F55" s="20" t="s">
        <v>383</v>
      </c>
      <c r="G55" s="20" t="s">
        <v>1064</v>
      </c>
      <c r="H55" s="20">
        <f>(7052.52*($L$8))</f>
        <v>37730.981999999996</v>
      </c>
      <c r="I55" s="20">
        <f>(7227.52*($L$8))</f>
        <v>38667.231999999996</v>
      </c>
      <c r="J55" s="20">
        <f>(7332.52*($L$8))</f>
        <v>39228.981999999996</v>
      </c>
      <c r="K55" s="20">
        <f>(7612.52*($L$8))</f>
        <v>40726.981999999996</v>
      </c>
      <c r="L55" s="20">
        <f>(7787.52*($L$8))</f>
        <v>41663.231999999996</v>
      </c>
      <c r="M55" s="20">
        <f>(7997.52*($L$8))</f>
        <v>42786.731999999996</v>
      </c>
      <c r="N55" s="20">
        <f>(8242.52*($L$8))</f>
        <v>44097.481999999996</v>
      </c>
      <c r="O55" s="20">
        <f>(8592.52*($L$8))</f>
        <v>45969.981999999996</v>
      </c>
      <c r="P55" s="20">
        <f>(8767.52*($L$8))</f>
        <v>46906.231999999996</v>
      </c>
      <c r="Q55" s="12">
        <f>(9467.52*($L$8))</f>
        <v>50651.231999999996</v>
      </c>
    </row>
    <row r="56" spans="1:17" ht="12.75" customHeight="1" x14ac:dyDescent="0.2">
      <c r="A56" s="6"/>
      <c r="B56" s="10" t="s">
        <v>1088</v>
      </c>
      <c r="C56" s="20" t="s">
        <v>282</v>
      </c>
      <c r="D56" s="20" t="s">
        <v>1083</v>
      </c>
      <c r="E56" s="20" t="s">
        <v>1084</v>
      </c>
      <c r="F56" s="20" t="s">
        <v>383</v>
      </c>
      <c r="G56" s="20" t="s">
        <v>283</v>
      </c>
      <c r="H56" s="20">
        <f>(7306.65*($L$8))</f>
        <v>39090.577499999992</v>
      </c>
      <c r="I56" s="20">
        <f>(7486.65*($L$8))</f>
        <v>40053.577499999992</v>
      </c>
      <c r="J56" s="20">
        <f>(7594.65*($L$8))</f>
        <v>40631.377499999995</v>
      </c>
      <c r="K56" s="20">
        <f>(7882.65*($L$8))</f>
        <v>42172.177499999998</v>
      </c>
      <c r="L56" s="20">
        <f>(8062.65*($L$8))</f>
        <v>43135.177499999998</v>
      </c>
      <c r="M56" s="20">
        <f>(8278.65*($L$8))</f>
        <v>44290.777499999997</v>
      </c>
      <c r="N56" s="20">
        <f>(8530.65*($L$8))</f>
        <v>45638.977499999994</v>
      </c>
      <c r="O56" s="20">
        <f>(8890.65*($L$8))</f>
        <v>47564.977499999994</v>
      </c>
      <c r="P56" s="20">
        <f>(9070.65*($L$8))</f>
        <v>48527.977499999994</v>
      </c>
      <c r="Q56" s="12">
        <f>(9790.65*($L$8))</f>
        <v>52379.977499999994</v>
      </c>
    </row>
    <row r="57" spans="1:17" ht="30" customHeight="1" x14ac:dyDescent="0.35">
      <c r="A57" s="6"/>
      <c r="B57" s="23" t="s">
        <v>1089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5"/>
    </row>
    <row r="58" spans="1:17" ht="12.75" customHeight="1" x14ac:dyDescent="0.2">
      <c r="A58" s="7" t="s">
        <v>6</v>
      </c>
      <c r="B58" s="8" t="s">
        <v>7</v>
      </c>
      <c r="C58" s="8" t="s">
        <v>8</v>
      </c>
      <c r="D58" s="8" t="s">
        <v>9</v>
      </c>
      <c r="E58" s="8" t="s">
        <v>10</v>
      </c>
      <c r="F58" s="8" t="s">
        <v>11</v>
      </c>
      <c r="G58" s="8" t="s">
        <v>12</v>
      </c>
      <c r="H58" s="8" t="s">
        <v>13</v>
      </c>
      <c r="I58" s="8" t="s">
        <v>14</v>
      </c>
      <c r="J58" s="8" t="s">
        <v>15</v>
      </c>
      <c r="K58" s="8" t="s">
        <v>16</v>
      </c>
      <c r="L58" s="8" t="s">
        <v>17</v>
      </c>
      <c r="M58" s="8" t="s">
        <v>18</v>
      </c>
      <c r="N58" s="8" t="s">
        <v>19</v>
      </c>
      <c r="O58" s="8" t="s">
        <v>20</v>
      </c>
      <c r="P58" s="8" t="s">
        <v>21</v>
      </c>
      <c r="Q58" s="9" t="s">
        <v>22</v>
      </c>
    </row>
    <row r="59" spans="1:17" ht="12.75" customHeight="1" x14ac:dyDescent="0.2">
      <c r="A59" s="6"/>
      <c r="B59" s="10" t="s">
        <v>1090</v>
      </c>
      <c r="C59" s="20" t="s">
        <v>137</v>
      </c>
      <c r="D59" s="20" t="s">
        <v>464</v>
      </c>
      <c r="E59" s="20" t="s">
        <v>256</v>
      </c>
      <c r="F59" s="20" t="s">
        <v>652</v>
      </c>
      <c r="G59" s="20" t="s">
        <v>166</v>
      </c>
      <c r="H59" s="20">
        <f>(4402.41*($L$8))</f>
        <v>23552.893499999998</v>
      </c>
      <c r="I59" s="20">
        <f>(4492.41*($L$8))</f>
        <v>24034.393499999998</v>
      </c>
      <c r="J59" s="20">
        <f>(4546.41*($L$8))</f>
        <v>24323.293499999996</v>
      </c>
      <c r="K59" s="20">
        <f>(4690.41*($L$8))</f>
        <v>25093.693499999998</v>
      </c>
      <c r="L59" s="20">
        <f>(4780.41*($L$8))</f>
        <v>25575.193499999998</v>
      </c>
      <c r="M59" s="20">
        <f>(4888.41*($L$8))</f>
        <v>26152.993499999997</v>
      </c>
      <c r="N59" s="20">
        <f>(5014.41*($L$8))</f>
        <v>26827.093499999999</v>
      </c>
      <c r="O59" s="20">
        <f>(5194.41*($L$8))</f>
        <v>27790.093499999999</v>
      </c>
      <c r="P59" s="20">
        <f>(5284.41*($L$8))</f>
        <v>28271.593499999999</v>
      </c>
      <c r="Q59" s="12">
        <f>(5644.41*($L$8))</f>
        <v>30197.593499999995</v>
      </c>
    </row>
    <row r="60" spans="1:17" ht="12.75" customHeight="1" x14ac:dyDescent="0.2">
      <c r="A60" s="6"/>
      <c r="B60" s="10" t="s">
        <v>1091</v>
      </c>
      <c r="C60" s="20" t="s">
        <v>292</v>
      </c>
      <c r="D60" s="20" t="s">
        <v>464</v>
      </c>
      <c r="E60" s="20" t="s">
        <v>256</v>
      </c>
      <c r="F60" s="20" t="s">
        <v>652</v>
      </c>
      <c r="G60" s="20" t="s">
        <v>154</v>
      </c>
      <c r="H60" s="20">
        <f>(4615.7*($L$8))</f>
        <v>24693.994999999999</v>
      </c>
      <c r="I60" s="20">
        <f>(4715.7*($L$8))</f>
        <v>25228.994999999999</v>
      </c>
      <c r="J60" s="20">
        <f>(4775.7*($L$8))</f>
        <v>25549.994999999999</v>
      </c>
      <c r="K60" s="20">
        <f>(4935.7*($L$8))</f>
        <v>26405.994999999999</v>
      </c>
      <c r="L60" s="20">
        <f>(5035.7*($L$8))</f>
        <v>26940.994999999999</v>
      </c>
      <c r="M60" s="20">
        <f>(5155.7*($L$8))</f>
        <v>27582.994999999999</v>
      </c>
      <c r="N60" s="20">
        <f>(5295.7*($L$8))</f>
        <v>28331.994999999995</v>
      </c>
      <c r="O60" s="20">
        <f>(5495.7*($L$8))</f>
        <v>29401.994999999995</v>
      </c>
      <c r="P60" s="20">
        <f>(5595.7*($L$8))</f>
        <v>29936.994999999995</v>
      </c>
      <c r="Q60" s="12">
        <f>(5995.7*($L$8))</f>
        <v>32076.994999999995</v>
      </c>
    </row>
    <row r="61" spans="1:17" ht="12.75" customHeight="1" x14ac:dyDescent="0.2">
      <c r="A61" s="6"/>
      <c r="B61" s="10" t="s">
        <v>1092</v>
      </c>
      <c r="C61" s="20" t="s">
        <v>273</v>
      </c>
      <c r="D61" s="20" t="s">
        <v>464</v>
      </c>
      <c r="E61" s="20" t="s">
        <v>256</v>
      </c>
      <c r="F61" s="20" t="s">
        <v>652</v>
      </c>
      <c r="G61" s="20" t="s">
        <v>157</v>
      </c>
      <c r="H61" s="20">
        <f>(4930.62*($L$8))</f>
        <v>26378.816999999999</v>
      </c>
      <c r="I61" s="20">
        <f>(5035.62*($L$8))</f>
        <v>26940.566999999999</v>
      </c>
      <c r="J61" s="20">
        <f>(5098.62*($L$8))</f>
        <v>27277.616999999998</v>
      </c>
      <c r="K61" s="20">
        <f>(5266.62*($L$8))</f>
        <v>28176.416999999998</v>
      </c>
      <c r="L61" s="20">
        <f>(5371.62*($L$8))</f>
        <v>28738.166999999998</v>
      </c>
      <c r="M61" s="20">
        <f>(5497.62*($L$8))</f>
        <v>29412.266999999996</v>
      </c>
      <c r="N61" s="20">
        <f>(5644.62*($L$8))</f>
        <v>30198.716999999997</v>
      </c>
      <c r="O61" s="20">
        <f>(5854.62*($L$8))</f>
        <v>31322.216999999997</v>
      </c>
      <c r="P61" s="20">
        <f>(5959.62*($L$8))</f>
        <v>31883.966999999997</v>
      </c>
      <c r="Q61" s="12">
        <f>(6379.62*($L$8))</f>
        <v>34130.966999999997</v>
      </c>
    </row>
    <row r="62" spans="1:17" ht="12.75" customHeight="1" x14ac:dyDescent="0.2">
      <c r="A62" s="6"/>
      <c r="B62" s="10" t="s">
        <v>1093</v>
      </c>
      <c r="C62" s="20" t="s">
        <v>278</v>
      </c>
      <c r="D62" s="20" t="s">
        <v>464</v>
      </c>
      <c r="E62" s="20" t="s">
        <v>256</v>
      </c>
      <c r="F62" s="20" t="s">
        <v>652</v>
      </c>
      <c r="G62" s="20" t="s">
        <v>160</v>
      </c>
      <c r="H62" s="20">
        <f>(4968.71*($L$8))</f>
        <v>26582.5985</v>
      </c>
      <c r="I62" s="20">
        <f>(5078.71*($L$8))</f>
        <v>27171.0985</v>
      </c>
      <c r="J62" s="20">
        <f>(5144.71*($L$8))</f>
        <v>27524.198499999999</v>
      </c>
      <c r="K62" s="20">
        <f>(5320.71*($L$8))</f>
        <v>28465.798499999997</v>
      </c>
      <c r="L62" s="20">
        <f>(5430.71*($L$8))</f>
        <v>29054.298499999997</v>
      </c>
      <c r="M62" s="20">
        <f>(5562.71*($L$8))</f>
        <v>29760.498499999998</v>
      </c>
      <c r="N62" s="20">
        <f>(5716.71*($L$8))</f>
        <v>30584.398499999999</v>
      </c>
      <c r="O62" s="20">
        <f>(5936.71*($L$8))</f>
        <v>31761.398499999999</v>
      </c>
      <c r="P62" s="20">
        <f>(6046.71*($L$8))</f>
        <v>32349.898499999999</v>
      </c>
      <c r="Q62" s="12">
        <f>(6486.71*($L$8))</f>
        <v>34703.898499999996</v>
      </c>
    </row>
    <row r="63" spans="1:17" ht="12.75" customHeight="1" x14ac:dyDescent="0.2">
      <c r="A63" s="6"/>
      <c r="B63" s="10" t="s">
        <v>1094</v>
      </c>
      <c r="C63" s="20" t="s">
        <v>280</v>
      </c>
      <c r="D63" s="20" t="s">
        <v>464</v>
      </c>
      <c r="E63" s="20" t="s">
        <v>256</v>
      </c>
      <c r="F63" s="20" t="s">
        <v>652</v>
      </c>
      <c r="G63" s="20" t="s">
        <v>163</v>
      </c>
      <c r="H63" s="20">
        <f>(5161.31*($L$8))</f>
        <v>27613.0085</v>
      </c>
      <c r="I63" s="20">
        <f>(5276.31*($L$8))</f>
        <v>28228.2585</v>
      </c>
      <c r="J63" s="20">
        <f>(5345.31*($L$8))</f>
        <v>28597.408500000001</v>
      </c>
      <c r="K63" s="20">
        <f>(5529.31*($L$8))</f>
        <v>29581.808499999999</v>
      </c>
      <c r="L63" s="20">
        <f>(5644.31*($L$8))</f>
        <v>30197.058499999999</v>
      </c>
      <c r="M63" s="20">
        <f>(5782.31*($L$8))</f>
        <v>30935.358499999998</v>
      </c>
      <c r="N63" s="20">
        <f>(5943.31*($L$8))</f>
        <v>31796.708500000001</v>
      </c>
      <c r="O63" s="20">
        <f>(6173.31*($L$8))</f>
        <v>33027.208500000001</v>
      </c>
      <c r="P63" s="20">
        <f>(6288.31*($L$8))</f>
        <v>33642.458500000001</v>
      </c>
      <c r="Q63" s="12">
        <f>(6748.31*($L$8))</f>
        <v>36103.458500000001</v>
      </c>
    </row>
    <row r="64" spans="1:17" ht="12.75" customHeight="1" x14ac:dyDescent="0.2">
      <c r="A64" s="6"/>
      <c r="B64" s="10" t="s">
        <v>1095</v>
      </c>
      <c r="C64" s="20" t="s">
        <v>236</v>
      </c>
      <c r="D64" s="20" t="s">
        <v>464</v>
      </c>
      <c r="E64" s="20" t="s">
        <v>256</v>
      </c>
      <c r="F64" s="20" t="s">
        <v>652</v>
      </c>
      <c r="G64" s="20" t="s">
        <v>182</v>
      </c>
      <c r="H64" s="20">
        <f>(5350.14*($L$8))</f>
        <v>28623.249</v>
      </c>
      <c r="I64" s="20">
        <f>(5470.14*($L$8))</f>
        <v>29265.249</v>
      </c>
      <c r="J64" s="20">
        <f>(5542.14*($L$8))</f>
        <v>29650.449000000001</v>
      </c>
      <c r="K64" s="20">
        <f>(5734.14*($L$8))</f>
        <v>30677.649000000001</v>
      </c>
      <c r="L64" s="20">
        <f>(5854.14*($L$8))</f>
        <v>31319.649000000001</v>
      </c>
      <c r="M64" s="20">
        <f>(5998.14*($L$8))</f>
        <v>32090.048999999999</v>
      </c>
      <c r="N64" s="20">
        <f>(6166.14*($L$8))</f>
        <v>32988.849000000002</v>
      </c>
      <c r="O64" s="20">
        <f>(6406.14*($L$8))</f>
        <v>34272.849000000002</v>
      </c>
      <c r="P64" s="20">
        <f>(6526.14*($L$8))</f>
        <v>34914.849000000002</v>
      </c>
      <c r="Q64" s="12">
        <f>(7006.14*($L$8))</f>
        <v>37482.849000000002</v>
      </c>
    </row>
    <row r="65" spans="1:17" ht="12.75" customHeight="1" x14ac:dyDescent="0.2">
      <c r="A65" s="6"/>
      <c r="B65" s="10" t="s">
        <v>1096</v>
      </c>
      <c r="C65" s="20" t="s">
        <v>1097</v>
      </c>
      <c r="D65" s="20" t="s">
        <v>1098</v>
      </c>
      <c r="E65" s="20" t="s">
        <v>256</v>
      </c>
      <c r="F65" s="20" t="s">
        <v>652</v>
      </c>
      <c r="G65" s="20" t="s">
        <v>166</v>
      </c>
      <c r="H65" s="20">
        <f>(4143.39*($L$8))</f>
        <v>22167.136500000001</v>
      </c>
      <c r="I65" s="20">
        <f>(4223.39*($L$8))</f>
        <v>22595.136500000001</v>
      </c>
      <c r="J65" s="20">
        <f>(4271.39*($L$8))</f>
        <v>22851.9365</v>
      </c>
      <c r="K65" s="20">
        <f>(4399.39*($L$8))</f>
        <v>23536.736499999999</v>
      </c>
      <c r="L65" s="20">
        <f>(4479.39*($L$8))</f>
        <v>23964.736499999999</v>
      </c>
      <c r="M65" s="20">
        <f>(4575.39*($L$8))</f>
        <v>24478.336500000001</v>
      </c>
      <c r="N65" s="20">
        <f>(4687.39*($L$8))</f>
        <v>25077.536499999998</v>
      </c>
      <c r="O65" s="20">
        <f>(4847.39*($L$8))</f>
        <v>25933.536499999998</v>
      </c>
      <c r="P65" s="20">
        <f>(4927.39*($L$8))</f>
        <v>26361.536499999998</v>
      </c>
      <c r="Q65" s="12">
        <f>(5247.39*($L$8))</f>
        <v>28073.536499999998</v>
      </c>
    </row>
    <row r="66" spans="1:17" ht="30" customHeight="1" x14ac:dyDescent="0.35">
      <c r="A66" s="6"/>
      <c r="B66" s="23" t="s">
        <v>1099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5"/>
    </row>
    <row r="67" spans="1:17" ht="12.75" customHeight="1" x14ac:dyDescent="0.2">
      <c r="A67" s="7" t="s">
        <v>6</v>
      </c>
      <c r="B67" s="8" t="s">
        <v>7</v>
      </c>
      <c r="C67" s="8" t="s">
        <v>8</v>
      </c>
      <c r="D67" s="8" t="s">
        <v>9</v>
      </c>
      <c r="E67" s="8" t="s">
        <v>10</v>
      </c>
      <c r="F67" s="8" t="s">
        <v>11</v>
      </c>
      <c r="G67" s="8" t="s">
        <v>12</v>
      </c>
      <c r="H67" s="8" t="s">
        <v>13</v>
      </c>
      <c r="I67" s="8" t="s">
        <v>14</v>
      </c>
      <c r="J67" s="8" t="s">
        <v>15</v>
      </c>
      <c r="K67" s="8" t="s">
        <v>16</v>
      </c>
      <c r="L67" s="8" t="s">
        <v>17</v>
      </c>
      <c r="M67" s="8" t="s">
        <v>18</v>
      </c>
      <c r="N67" s="8" t="s">
        <v>19</v>
      </c>
      <c r="O67" s="8" t="s">
        <v>20</v>
      </c>
      <c r="P67" s="8" t="s">
        <v>21</v>
      </c>
      <c r="Q67" s="9" t="s">
        <v>22</v>
      </c>
    </row>
    <row r="68" spans="1:17" ht="12.75" customHeight="1" x14ac:dyDescent="0.2">
      <c r="A68" s="6"/>
      <c r="B68" s="10" t="s">
        <v>1100</v>
      </c>
      <c r="C68" s="20" t="s">
        <v>747</v>
      </c>
      <c r="D68" s="20" t="s">
        <v>1101</v>
      </c>
      <c r="E68" s="20" t="s">
        <v>150</v>
      </c>
      <c r="F68" s="20" t="s">
        <v>300</v>
      </c>
      <c r="G68" s="20" t="s">
        <v>28</v>
      </c>
      <c r="H68" s="20">
        <f>(3201.89*($L$8))</f>
        <v>17130.111499999999</v>
      </c>
      <c r="I68" s="20">
        <f>(3245.89*($L$8))</f>
        <v>17365.511499999997</v>
      </c>
      <c r="J68" s="20">
        <f>(3272.29*($L$8))</f>
        <v>17506.751499999998</v>
      </c>
      <c r="K68" s="20">
        <f>(3342.69*($L$8))</f>
        <v>17883.391499999998</v>
      </c>
      <c r="L68" s="20">
        <f>(3386.69*($L$8))</f>
        <v>18118.791499999999</v>
      </c>
      <c r="M68" s="20">
        <f>(3439.49*($L$8))</f>
        <v>18401.271499999999</v>
      </c>
      <c r="N68" s="20">
        <f>(3501.09*($L$8))</f>
        <v>18730.8315</v>
      </c>
      <c r="O68" s="20">
        <f>(3589.09*($L$8))</f>
        <v>19201.6315</v>
      </c>
      <c r="P68" s="20">
        <f>(3633.09*($L$8))</f>
        <v>19437.031500000001</v>
      </c>
      <c r="Q68" s="12">
        <f>(3809.09*($L$8))</f>
        <v>20378.6315</v>
      </c>
    </row>
    <row r="69" spans="1:17" ht="12.75" customHeight="1" x14ac:dyDescent="0.2">
      <c r="A69" s="6"/>
      <c r="B69" s="10" t="s">
        <v>1102</v>
      </c>
      <c r="C69" s="20" t="s">
        <v>747</v>
      </c>
      <c r="D69" s="20" t="s">
        <v>1103</v>
      </c>
      <c r="E69" s="20" t="s">
        <v>150</v>
      </c>
      <c r="F69" s="20" t="s">
        <v>300</v>
      </c>
      <c r="G69" s="20" t="s">
        <v>247</v>
      </c>
      <c r="H69" s="20">
        <f>(3554.13*($L$8))</f>
        <v>19014.595499999999</v>
      </c>
      <c r="I69" s="20">
        <f>(3594.13*($L$8))</f>
        <v>19228.595499999999</v>
      </c>
      <c r="J69" s="20">
        <f>(3618.13*($L$8))</f>
        <v>19356.995500000001</v>
      </c>
      <c r="K69" s="20">
        <f>(3682.13*($L$8))</f>
        <v>19699.395499999999</v>
      </c>
      <c r="L69" s="20">
        <f>(3722.13*($L$8))</f>
        <v>19913.395499999999</v>
      </c>
      <c r="M69" s="20">
        <f>(3770.13*($L$8))</f>
        <v>20170.195499999998</v>
      </c>
      <c r="N69" s="20">
        <f>(3826.13*($L$8))</f>
        <v>20469.7955</v>
      </c>
      <c r="O69" s="20">
        <f>(3906.13*($L$8))</f>
        <v>20897.7955</v>
      </c>
      <c r="P69" s="20">
        <f>(3946.13*($L$8))</f>
        <v>21111.7955</v>
      </c>
      <c r="Q69" s="12">
        <f>(4106.13*($L$8))</f>
        <v>21967.7955</v>
      </c>
    </row>
    <row r="70" spans="1:17" ht="30" customHeight="1" x14ac:dyDescent="0.35">
      <c r="A70" s="6"/>
      <c r="B70" s="23" t="s">
        <v>1104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5"/>
    </row>
    <row r="71" spans="1:17" ht="12.75" customHeight="1" x14ac:dyDescent="0.2">
      <c r="A71" s="7" t="s">
        <v>6</v>
      </c>
      <c r="B71" s="8" t="s">
        <v>7</v>
      </c>
      <c r="C71" s="8" t="s">
        <v>8</v>
      </c>
      <c r="D71" s="8" t="s">
        <v>9</v>
      </c>
      <c r="E71" s="8" t="s">
        <v>10</v>
      </c>
      <c r="F71" s="8" t="s">
        <v>11</v>
      </c>
      <c r="G71" s="8" t="s">
        <v>12</v>
      </c>
      <c r="H71" s="8" t="s">
        <v>13</v>
      </c>
      <c r="I71" s="8" t="s">
        <v>14</v>
      </c>
      <c r="J71" s="8" t="s">
        <v>15</v>
      </c>
      <c r="K71" s="8" t="s">
        <v>16</v>
      </c>
      <c r="L71" s="8" t="s">
        <v>17</v>
      </c>
      <c r="M71" s="8" t="s">
        <v>18</v>
      </c>
      <c r="N71" s="8" t="s">
        <v>19</v>
      </c>
      <c r="O71" s="8" t="s">
        <v>20</v>
      </c>
      <c r="P71" s="8" t="s">
        <v>21</v>
      </c>
      <c r="Q71" s="9" t="s">
        <v>22</v>
      </c>
    </row>
    <row r="72" spans="1:17" ht="12.75" customHeight="1" x14ac:dyDescent="0.2">
      <c r="A72" s="6"/>
      <c r="B72" s="10" t="s">
        <v>1105</v>
      </c>
      <c r="C72" s="20" t="s">
        <v>87</v>
      </c>
      <c r="D72" s="20" t="s">
        <v>149</v>
      </c>
      <c r="E72" s="20" t="s">
        <v>275</v>
      </c>
      <c r="F72" s="20" t="s">
        <v>210</v>
      </c>
      <c r="G72" s="20" t="s">
        <v>262</v>
      </c>
      <c r="H72" s="20">
        <f>(5844.28*($L$8))</f>
        <v>31266.897999999997</v>
      </c>
      <c r="I72" s="20">
        <f>(5939.28*($L$8))</f>
        <v>31775.147999999997</v>
      </c>
      <c r="J72" s="20">
        <f>(5996.28*($L$8))</f>
        <v>32080.097999999998</v>
      </c>
      <c r="K72" s="20">
        <f>(6148.28*($L$8))</f>
        <v>32893.297999999995</v>
      </c>
      <c r="L72" s="20">
        <f>(6243.28*($L$8))</f>
        <v>33401.547999999995</v>
      </c>
      <c r="M72" s="20">
        <f>(6357.28*($L$8))</f>
        <v>34011.447999999997</v>
      </c>
      <c r="N72" s="20">
        <f>(6490.28*($L$8))</f>
        <v>34722.998</v>
      </c>
      <c r="O72" s="20">
        <f>(6680.28*($L$8))</f>
        <v>35739.498</v>
      </c>
      <c r="P72" s="20">
        <f>(6775.28*($L$8))</f>
        <v>36247.748</v>
      </c>
      <c r="Q72" s="12">
        <f>(7155.28*($L$8))</f>
        <v>38280.748</v>
      </c>
    </row>
    <row r="73" spans="1:17" ht="12.75" customHeight="1" x14ac:dyDescent="0.2">
      <c r="A73" s="6"/>
      <c r="B73" s="10" t="s">
        <v>1106</v>
      </c>
      <c r="C73" s="20" t="s">
        <v>79</v>
      </c>
      <c r="D73" s="20" t="s">
        <v>149</v>
      </c>
      <c r="E73" s="20" t="s">
        <v>828</v>
      </c>
      <c r="F73" s="20" t="s">
        <v>27</v>
      </c>
      <c r="G73" s="20" t="s">
        <v>268</v>
      </c>
      <c r="H73" s="20">
        <f>(3321.7*($L$8))</f>
        <v>17771.094999999998</v>
      </c>
      <c r="I73" s="20">
        <f>(3361.7*($L$8))</f>
        <v>17985.094999999998</v>
      </c>
      <c r="J73" s="20">
        <f>(3385.7*($L$8))</f>
        <v>18113.494999999999</v>
      </c>
      <c r="K73" s="20">
        <f>(3449.7*($L$8))</f>
        <v>18455.894999999997</v>
      </c>
      <c r="L73" s="20">
        <f>(3489.7*($L$8))</f>
        <v>18669.894999999997</v>
      </c>
      <c r="M73" s="20">
        <f>(3537.7*($L$8))</f>
        <v>18926.694999999996</v>
      </c>
      <c r="N73" s="20">
        <f>(3593.7*($L$8))</f>
        <v>19226.294999999998</v>
      </c>
      <c r="O73" s="20">
        <f>(3673.7*($L$8))</f>
        <v>19654.294999999998</v>
      </c>
      <c r="P73" s="20">
        <f>(3713.7*($L$8))</f>
        <v>19868.294999999998</v>
      </c>
      <c r="Q73" s="12">
        <f>(3873.7*($L$8))</f>
        <v>20724.294999999998</v>
      </c>
    </row>
    <row r="74" spans="1:17" ht="12.75" customHeight="1" x14ac:dyDescent="0.2">
      <c r="A74" s="6"/>
      <c r="B74" s="10" t="s">
        <v>1107</v>
      </c>
      <c r="C74" s="20" t="s">
        <v>87</v>
      </c>
      <c r="D74" s="20" t="s">
        <v>149</v>
      </c>
      <c r="E74" s="20" t="s">
        <v>275</v>
      </c>
      <c r="F74" s="20" t="s">
        <v>210</v>
      </c>
      <c r="G74" s="20" t="s">
        <v>262</v>
      </c>
      <c r="H74" s="20">
        <f>(5677.84*($L$8))</f>
        <v>30376.444</v>
      </c>
      <c r="I74" s="20">
        <f>(5772.84*($L$8))</f>
        <v>30884.694</v>
      </c>
      <c r="J74" s="20">
        <f>(5829.84*($L$8))</f>
        <v>31189.644</v>
      </c>
      <c r="K74" s="20">
        <f>(5981.84*($L$8))</f>
        <v>32002.843999999997</v>
      </c>
      <c r="L74" s="20">
        <f>(6076.84*($L$8))</f>
        <v>32511.093999999997</v>
      </c>
      <c r="M74" s="20">
        <f>(6190.84*($L$8))</f>
        <v>33120.993999999999</v>
      </c>
      <c r="N74" s="20">
        <f>(6323.84*($L$8))</f>
        <v>33832.544000000002</v>
      </c>
      <c r="O74" s="20">
        <f>(6513.84*($L$8))</f>
        <v>34849.044000000002</v>
      </c>
      <c r="P74" s="20">
        <f>(6608.84*($L$8))</f>
        <v>35357.294000000002</v>
      </c>
      <c r="Q74" s="12">
        <f>(6988.84*($L$8))</f>
        <v>37390.294000000002</v>
      </c>
    </row>
    <row r="75" spans="1:17" ht="12.75" customHeight="1" x14ac:dyDescent="0.2">
      <c r="A75" s="6"/>
      <c r="B75" s="10" t="s">
        <v>1108</v>
      </c>
      <c r="C75" s="20" t="s">
        <v>273</v>
      </c>
      <c r="D75" s="20" t="s">
        <v>149</v>
      </c>
      <c r="E75" s="20" t="s">
        <v>1109</v>
      </c>
      <c r="F75" s="20" t="s">
        <v>210</v>
      </c>
      <c r="G75" s="20" t="s">
        <v>42</v>
      </c>
      <c r="H75" s="20">
        <f>(7507.4*($L$8))</f>
        <v>40164.589999999997</v>
      </c>
      <c r="I75" s="20">
        <f>(7602.4*($L$8))</f>
        <v>40672.839999999997</v>
      </c>
      <c r="J75" s="20">
        <f>(7659.4*($L$8))</f>
        <v>40977.789999999994</v>
      </c>
      <c r="K75" s="20">
        <f>(7811.4*($L$8))</f>
        <v>41790.99</v>
      </c>
      <c r="L75" s="20">
        <f>(7906.4*($L$8))</f>
        <v>42299.24</v>
      </c>
      <c r="M75" s="20">
        <f>(8020.4*($L$8))</f>
        <v>42909.139999999992</v>
      </c>
      <c r="N75" s="20">
        <f>(8153.4*($L$8))</f>
        <v>43620.689999999995</v>
      </c>
      <c r="O75" s="20">
        <f>(8343.4*($L$8))</f>
        <v>44637.189999999995</v>
      </c>
      <c r="P75" s="20">
        <f>(8438.4*($L$8))</f>
        <v>45145.439999999995</v>
      </c>
      <c r="Q75" s="12">
        <f>(8818.4*($L$8))</f>
        <v>47178.439999999995</v>
      </c>
    </row>
    <row r="76" spans="1:17" ht="12.75" customHeight="1" x14ac:dyDescent="0.2">
      <c r="A76" s="6"/>
      <c r="B76" s="10" t="s">
        <v>1110</v>
      </c>
      <c r="C76" s="20" t="s">
        <v>273</v>
      </c>
      <c r="D76" s="20" t="s">
        <v>149</v>
      </c>
      <c r="E76" s="20" t="s">
        <v>1109</v>
      </c>
      <c r="F76" s="20" t="s">
        <v>210</v>
      </c>
      <c r="G76" s="20" t="s">
        <v>262</v>
      </c>
      <c r="H76" s="20">
        <f>(7319.96*($L$8))</f>
        <v>39161.786</v>
      </c>
      <c r="I76" s="20">
        <f>(7409.96*($L$8))</f>
        <v>39643.286</v>
      </c>
      <c r="J76" s="20">
        <f>(7463.96*($L$8))</f>
        <v>39932.185999999994</v>
      </c>
      <c r="K76" s="20">
        <f>(7607.96*($L$8))</f>
        <v>40702.585999999996</v>
      </c>
      <c r="L76" s="20">
        <f>(7697.96*($L$8))</f>
        <v>41184.085999999996</v>
      </c>
      <c r="M76" s="20">
        <f>(7805.96*($L$8))</f>
        <v>41761.885999999999</v>
      </c>
      <c r="N76" s="20">
        <f>(7931.96*($L$8))</f>
        <v>42435.985999999997</v>
      </c>
      <c r="O76" s="20">
        <f>(8111.96*($L$8))</f>
        <v>43398.985999999997</v>
      </c>
      <c r="P76" s="20">
        <f>(8201.96*($L$8))</f>
        <v>43880.48599999999</v>
      </c>
      <c r="Q76" s="12">
        <f>(8561.96*($L$8))</f>
        <v>45806.48599999999</v>
      </c>
    </row>
    <row r="77" spans="1:17" ht="30" customHeight="1" x14ac:dyDescent="0.35">
      <c r="A77" s="6"/>
      <c r="B77" s="23" t="s">
        <v>1111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5"/>
    </row>
    <row r="78" spans="1:17" ht="12.75" customHeight="1" x14ac:dyDescent="0.2">
      <c r="A78" s="7" t="s">
        <v>6</v>
      </c>
      <c r="B78" s="8" t="s">
        <v>7</v>
      </c>
      <c r="C78" s="8" t="s">
        <v>8</v>
      </c>
      <c r="D78" s="8" t="s">
        <v>9</v>
      </c>
      <c r="E78" s="8" t="s">
        <v>10</v>
      </c>
      <c r="F78" s="8" t="s">
        <v>11</v>
      </c>
      <c r="G78" s="8" t="s">
        <v>12</v>
      </c>
      <c r="H78" s="8" t="s">
        <v>13</v>
      </c>
      <c r="I78" s="8" t="s">
        <v>14</v>
      </c>
      <c r="J78" s="8" t="s">
        <v>15</v>
      </c>
      <c r="K78" s="8" t="s">
        <v>16</v>
      </c>
      <c r="L78" s="8" t="s">
        <v>17</v>
      </c>
      <c r="M78" s="8" t="s">
        <v>18</v>
      </c>
      <c r="N78" s="8" t="s">
        <v>19</v>
      </c>
      <c r="O78" s="8" t="s">
        <v>20</v>
      </c>
      <c r="P78" s="8" t="s">
        <v>21</v>
      </c>
      <c r="Q78" s="9" t="s">
        <v>22</v>
      </c>
    </row>
    <row r="79" spans="1:17" ht="12.75" customHeight="1" x14ac:dyDescent="0.2">
      <c r="A79" s="6"/>
      <c r="B79" s="10" t="s">
        <v>1112</v>
      </c>
      <c r="C79" s="20" t="s">
        <v>1113</v>
      </c>
      <c r="D79" s="20" t="s">
        <v>1114</v>
      </c>
      <c r="E79" s="20" t="s">
        <v>312</v>
      </c>
      <c r="F79" s="20" t="s">
        <v>409</v>
      </c>
      <c r="G79" s="20" t="s">
        <v>35</v>
      </c>
      <c r="H79" s="11" t="s">
        <v>1429</v>
      </c>
      <c r="I79" s="11" t="s">
        <v>1430</v>
      </c>
      <c r="J79" s="11" t="s">
        <v>1431</v>
      </c>
      <c r="K79" s="11" t="s">
        <v>1432</v>
      </c>
      <c r="L79" s="32">
        <f>(5269*($L$8))</f>
        <v>28189.149999999998</v>
      </c>
      <c r="M79" s="33"/>
      <c r="N79" s="33"/>
      <c r="O79" s="33"/>
      <c r="P79" s="33"/>
      <c r="Q79" s="34"/>
    </row>
    <row r="80" spans="1:17" ht="12.75" customHeight="1" x14ac:dyDescent="0.2">
      <c r="A80" s="6"/>
      <c r="B80" s="10" t="s">
        <v>1115</v>
      </c>
      <c r="C80" s="20" t="s">
        <v>1113</v>
      </c>
      <c r="D80" s="20" t="s">
        <v>1114</v>
      </c>
      <c r="E80" s="20" t="s">
        <v>312</v>
      </c>
      <c r="F80" s="20" t="s">
        <v>409</v>
      </c>
      <c r="G80" s="20" t="s">
        <v>247</v>
      </c>
      <c r="H80" s="20">
        <f>(3039.39*($L$8))</f>
        <v>16260.736499999999</v>
      </c>
      <c r="I80" s="20">
        <f>(3069.39*($L$8))</f>
        <v>16421.236499999999</v>
      </c>
      <c r="J80" s="20">
        <f>(3087.39*($L$8))</f>
        <v>16517.536499999998</v>
      </c>
      <c r="K80" s="20">
        <f>(3135.39*($L$8))</f>
        <v>16774.336499999998</v>
      </c>
      <c r="L80" s="20">
        <f>(3165.39*($L$8))</f>
        <v>16934.836499999998</v>
      </c>
      <c r="M80" s="20">
        <f>(3201.39*($L$8))</f>
        <v>17127.4365</v>
      </c>
      <c r="N80" s="20">
        <f>(3243.39*($L$8))</f>
        <v>17352.136499999997</v>
      </c>
      <c r="O80" s="20">
        <f>(3303.39*($L$8))</f>
        <v>17673.136499999997</v>
      </c>
      <c r="P80" s="20">
        <f>(3333.39*($L$8))</f>
        <v>17833.636499999997</v>
      </c>
      <c r="Q80" s="12">
        <f>(3453.39*($L$8))</f>
        <v>18475.636499999997</v>
      </c>
    </row>
    <row r="81" spans="1:17" ht="30" customHeight="1" x14ac:dyDescent="0.35">
      <c r="A81" s="6"/>
      <c r="B81" s="23" t="s">
        <v>1116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5"/>
    </row>
    <row r="82" spans="1:17" ht="12.75" customHeight="1" x14ac:dyDescent="0.2">
      <c r="A82" s="7" t="s">
        <v>6</v>
      </c>
      <c r="B82" s="8" t="s">
        <v>7</v>
      </c>
      <c r="C82" s="8" t="s">
        <v>8</v>
      </c>
      <c r="D82" s="8" t="s">
        <v>9</v>
      </c>
      <c r="E82" s="8" t="s">
        <v>10</v>
      </c>
      <c r="F82" s="8" t="s">
        <v>11</v>
      </c>
      <c r="G82" s="8" t="s">
        <v>12</v>
      </c>
      <c r="H82" s="8" t="s">
        <v>13</v>
      </c>
      <c r="I82" s="8" t="s">
        <v>14</v>
      </c>
      <c r="J82" s="8" t="s">
        <v>15</v>
      </c>
      <c r="K82" s="8" t="s">
        <v>16</v>
      </c>
      <c r="L82" s="8" t="s">
        <v>17</v>
      </c>
      <c r="M82" s="8" t="s">
        <v>18</v>
      </c>
      <c r="N82" s="8" t="s">
        <v>19</v>
      </c>
      <c r="O82" s="8" t="s">
        <v>20</v>
      </c>
      <c r="P82" s="8" t="s">
        <v>21</v>
      </c>
      <c r="Q82" s="9" t="s">
        <v>22</v>
      </c>
    </row>
    <row r="83" spans="1:17" ht="12.75" customHeight="1" x14ac:dyDescent="0.2">
      <c r="A83" s="6"/>
      <c r="B83" s="10" t="s">
        <v>1117</v>
      </c>
      <c r="C83" s="20" t="s">
        <v>137</v>
      </c>
      <c r="D83" s="20" t="s">
        <v>1011</v>
      </c>
      <c r="E83" s="20" t="s">
        <v>330</v>
      </c>
      <c r="F83" s="20" t="s">
        <v>698</v>
      </c>
      <c r="G83" s="20" t="s">
        <v>54</v>
      </c>
      <c r="H83" s="20">
        <f>(5076.4*($L$8))</f>
        <v>27158.739999999998</v>
      </c>
      <c r="I83" s="20">
        <f>(5136.4*($L$8))</f>
        <v>27479.739999999998</v>
      </c>
      <c r="J83" s="20">
        <f>(5172.4*($L$8))</f>
        <v>27672.339999999997</v>
      </c>
      <c r="K83" s="20">
        <f>(5268.4*($L$8))</f>
        <v>28185.939999999995</v>
      </c>
      <c r="L83" s="20">
        <f>(5328.4*($L$8))</f>
        <v>28506.939999999995</v>
      </c>
      <c r="M83" s="20">
        <f>(5400.4*($L$8))</f>
        <v>28892.139999999996</v>
      </c>
      <c r="N83" s="20">
        <f>(5484.4*($L$8))</f>
        <v>29341.539999999997</v>
      </c>
      <c r="O83" s="20">
        <f>(5604.4*($L$8))</f>
        <v>29983.539999999997</v>
      </c>
      <c r="P83" s="20">
        <f>(5664.4*($L$8))</f>
        <v>30304.539999999997</v>
      </c>
      <c r="Q83" s="12">
        <f>(5904.4*($L$8))</f>
        <v>31588.539999999997</v>
      </c>
    </row>
    <row r="84" spans="1:17" ht="12.75" customHeight="1" x14ac:dyDescent="0.2">
      <c r="A84" s="6"/>
      <c r="B84" s="10" t="s">
        <v>1118</v>
      </c>
      <c r="C84" s="20" t="s">
        <v>292</v>
      </c>
      <c r="D84" s="20" t="s">
        <v>1011</v>
      </c>
      <c r="E84" s="20" t="s">
        <v>330</v>
      </c>
      <c r="F84" s="20" t="s">
        <v>698</v>
      </c>
      <c r="G84" s="20" t="s">
        <v>38</v>
      </c>
      <c r="H84" s="20">
        <f>(5283.75*($L$8))</f>
        <v>28268.062499999996</v>
      </c>
      <c r="I84" s="20">
        <f>(5353.75*($L$8))</f>
        <v>28642.562499999996</v>
      </c>
      <c r="J84" s="20">
        <f>(5395.75*($L$8))</f>
        <v>28867.262499999997</v>
      </c>
      <c r="K84" s="20">
        <f>(5507.75*($L$8))</f>
        <v>29466.462499999998</v>
      </c>
      <c r="L84" s="20">
        <f>(5577.75*($L$8))</f>
        <v>29840.962499999998</v>
      </c>
      <c r="M84" s="20">
        <f>(5661.75*($L$8))</f>
        <v>30290.362499999999</v>
      </c>
      <c r="N84" s="20">
        <f>(5759.75*($L$8))</f>
        <v>30814.662499999999</v>
      </c>
      <c r="O84" s="20">
        <f>(5899.75*($L$8))</f>
        <v>31563.662499999999</v>
      </c>
      <c r="P84" s="20">
        <f>(5969.75*($L$8))</f>
        <v>31938.162499999999</v>
      </c>
      <c r="Q84" s="12">
        <f>(6249.75*($L$8))</f>
        <v>33436.162499999999</v>
      </c>
    </row>
    <row r="85" spans="1:17" ht="12.75" customHeight="1" x14ac:dyDescent="0.2">
      <c r="A85" s="6"/>
      <c r="B85" s="10" t="s">
        <v>1119</v>
      </c>
      <c r="C85" s="20" t="s">
        <v>273</v>
      </c>
      <c r="D85" s="20" t="s">
        <v>1011</v>
      </c>
      <c r="E85" s="20" t="s">
        <v>330</v>
      </c>
      <c r="F85" s="20" t="s">
        <v>698</v>
      </c>
      <c r="G85" s="20" t="s">
        <v>60</v>
      </c>
      <c r="H85" s="20">
        <f>(5444.31*($L$8))</f>
        <v>29127.058499999999</v>
      </c>
      <c r="I85" s="20">
        <f>(5519.31*($L$8))</f>
        <v>29528.308499999999</v>
      </c>
      <c r="J85" s="20">
        <f>(5564.31*($L$8))</f>
        <v>29769.058499999999</v>
      </c>
      <c r="K85" s="20">
        <f>(5684.31*($L$8))</f>
        <v>30411.058499999999</v>
      </c>
      <c r="L85" s="20">
        <f>(5759.31*($L$8))</f>
        <v>30812.308499999999</v>
      </c>
      <c r="M85" s="20">
        <f>(5849.31*($L$8))</f>
        <v>31293.808499999999</v>
      </c>
      <c r="N85" s="20">
        <f>(5954.31*($L$8))</f>
        <v>31855.558499999999</v>
      </c>
      <c r="O85" s="20">
        <f>(6104.31*($L$8))</f>
        <v>32658.058499999999</v>
      </c>
      <c r="P85" s="20">
        <f>(6179.31*($L$8))</f>
        <v>33059.308499999999</v>
      </c>
      <c r="Q85" s="12">
        <f>(6479.31*($L$8))</f>
        <v>34664.308499999999</v>
      </c>
    </row>
    <row r="86" spans="1:17" ht="12.75" customHeight="1" x14ac:dyDescent="0.2">
      <c r="A86" s="6"/>
      <c r="B86" s="10" t="s">
        <v>1120</v>
      </c>
      <c r="C86" s="20" t="s">
        <v>278</v>
      </c>
      <c r="D86" s="20" t="s">
        <v>1011</v>
      </c>
      <c r="E86" s="20" t="s">
        <v>330</v>
      </c>
      <c r="F86" s="20" t="s">
        <v>698</v>
      </c>
      <c r="G86" s="20" t="s">
        <v>42</v>
      </c>
      <c r="H86" s="20">
        <f>(5606.44*($L$8))</f>
        <v>29994.453999999994</v>
      </c>
      <c r="I86" s="20">
        <f>(5686.44*($L$8))</f>
        <v>30422.453999999994</v>
      </c>
      <c r="J86" s="20">
        <f>(5734.44*($L$8))</f>
        <v>30679.253999999997</v>
      </c>
      <c r="K86" s="20">
        <f>(5862.44*($L$8))</f>
        <v>31364.053999999996</v>
      </c>
      <c r="L86" s="20">
        <f>(5942.44*($L$8))</f>
        <v>31792.053999999996</v>
      </c>
      <c r="M86" s="20">
        <f>(6038.44*($L$8))</f>
        <v>32305.653999999995</v>
      </c>
      <c r="N86" s="20">
        <f>(6150.44*($L$8))</f>
        <v>32904.853999999992</v>
      </c>
      <c r="O86" s="20">
        <f>(6310.44*($L$8))</f>
        <v>33760.853999999992</v>
      </c>
      <c r="P86" s="20">
        <f>(6390.44*($L$8))</f>
        <v>34188.853999999992</v>
      </c>
      <c r="Q86" s="12">
        <f>(6710.44*($L$8))</f>
        <v>35900.853999999992</v>
      </c>
    </row>
    <row r="87" spans="1:17" ht="12.75" customHeight="1" x14ac:dyDescent="0.2">
      <c r="A87" s="6"/>
      <c r="B87" s="10" t="s">
        <v>1121</v>
      </c>
      <c r="C87" s="20" t="s">
        <v>280</v>
      </c>
      <c r="D87" s="20" t="s">
        <v>1011</v>
      </c>
      <c r="E87" s="20" t="s">
        <v>330</v>
      </c>
      <c r="F87" s="20" t="s">
        <v>698</v>
      </c>
      <c r="G87" s="20" t="s">
        <v>262</v>
      </c>
      <c r="H87" s="20">
        <f>(5773.52*($L$8))</f>
        <v>30888.331999999999</v>
      </c>
      <c r="I87" s="20">
        <f>(5858.52*($L$8))</f>
        <v>31343.081999999999</v>
      </c>
      <c r="J87" s="20">
        <f>(5909.52*($L$8))</f>
        <v>31615.932000000001</v>
      </c>
      <c r="K87" s="20">
        <f>(6045.52*($L$8))</f>
        <v>32343.531999999999</v>
      </c>
      <c r="L87" s="20">
        <f>(6130.52*($L$8))</f>
        <v>32798.281999999999</v>
      </c>
      <c r="M87" s="20">
        <f>(6232.52*($L$8))</f>
        <v>33343.982000000004</v>
      </c>
      <c r="N87" s="20">
        <f>(6351.52*($L$8))</f>
        <v>33980.631999999998</v>
      </c>
      <c r="O87" s="20">
        <f>(6521.52*($L$8))</f>
        <v>34890.131999999998</v>
      </c>
      <c r="P87" s="20">
        <f>(6606.52*($L$8))</f>
        <v>35344.881999999998</v>
      </c>
      <c r="Q87" s="12">
        <f>(6946.52*($L$8))</f>
        <v>37163.881999999998</v>
      </c>
    </row>
    <row r="88" spans="1:17" ht="12.75" customHeight="1" x14ac:dyDescent="0.2">
      <c r="A88" s="6"/>
      <c r="B88" s="10" t="s">
        <v>1122</v>
      </c>
      <c r="C88" s="20" t="s">
        <v>236</v>
      </c>
      <c r="D88" s="20" t="s">
        <v>1011</v>
      </c>
      <c r="E88" s="20" t="s">
        <v>330</v>
      </c>
      <c r="F88" s="20" t="s">
        <v>698</v>
      </c>
      <c r="G88" s="20" t="s">
        <v>152</v>
      </c>
      <c r="H88" s="20">
        <f>(5938.24*($L$8))</f>
        <v>31769.583999999995</v>
      </c>
      <c r="I88" s="20">
        <f>(6028.24*($L$8))</f>
        <v>32251.083999999995</v>
      </c>
      <c r="J88" s="20">
        <f>(6082.24*($L$8))</f>
        <v>32539.983999999997</v>
      </c>
      <c r="K88" s="20">
        <f>(6226.24*($L$8))</f>
        <v>33310.383999999998</v>
      </c>
      <c r="L88" s="20">
        <f>(6316.24*($L$8))</f>
        <v>33791.883999999998</v>
      </c>
      <c r="M88" s="20">
        <f>(6424.24*($L$8))</f>
        <v>34369.683999999994</v>
      </c>
      <c r="N88" s="20">
        <f>(6550.24*($L$8))</f>
        <v>35043.784</v>
      </c>
      <c r="O88" s="20">
        <f>(6730.24*($L$8))</f>
        <v>36006.784</v>
      </c>
      <c r="P88" s="20">
        <f>(6820.24*($L$8))</f>
        <v>36488.284</v>
      </c>
      <c r="Q88" s="12">
        <f>(7180.24*($L$8))</f>
        <v>38414.284</v>
      </c>
    </row>
    <row r="89" spans="1:17" ht="30" customHeight="1" x14ac:dyDescent="0.35">
      <c r="A89" s="6"/>
      <c r="B89" s="23" t="s">
        <v>1123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5"/>
    </row>
    <row r="90" spans="1:17" ht="12.75" customHeight="1" x14ac:dyDescent="0.2">
      <c r="A90" s="7" t="s">
        <v>6</v>
      </c>
      <c r="B90" s="8" t="s">
        <v>7</v>
      </c>
      <c r="C90" s="8" t="s">
        <v>8</v>
      </c>
      <c r="D90" s="8" t="s">
        <v>9</v>
      </c>
      <c r="E90" s="8" t="s">
        <v>10</v>
      </c>
      <c r="F90" s="8" t="s">
        <v>11</v>
      </c>
      <c r="G90" s="8" t="s">
        <v>12</v>
      </c>
      <c r="H90" s="8" t="s">
        <v>13</v>
      </c>
      <c r="I90" s="8" t="s">
        <v>14</v>
      </c>
      <c r="J90" s="8" t="s">
        <v>15</v>
      </c>
      <c r="K90" s="8" t="s">
        <v>16</v>
      </c>
      <c r="L90" s="8" t="s">
        <v>17</v>
      </c>
      <c r="M90" s="8" t="s">
        <v>18</v>
      </c>
      <c r="N90" s="8" t="s">
        <v>19</v>
      </c>
      <c r="O90" s="8" t="s">
        <v>20</v>
      </c>
      <c r="P90" s="8" t="s">
        <v>21</v>
      </c>
      <c r="Q90" s="9" t="s">
        <v>22</v>
      </c>
    </row>
    <row r="91" spans="1:17" ht="12.75" customHeight="1" x14ac:dyDescent="0.2">
      <c r="A91" s="6"/>
      <c r="B91" s="10" t="s">
        <v>1124</v>
      </c>
      <c r="C91" s="20" t="s">
        <v>137</v>
      </c>
      <c r="D91" s="20" t="s">
        <v>149</v>
      </c>
      <c r="E91" s="20" t="s">
        <v>275</v>
      </c>
      <c r="F91" s="20" t="s">
        <v>405</v>
      </c>
      <c r="G91" s="20" t="s">
        <v>163</v>
      </c>
      <c r="H91" s="20">
        <f>(5256.09*($L$8))</f>
        <v>28120.0815</v>
      </c>
      <c r="I91" s="20">
        <f>(5371.09*($L$8))</f>
        <v>28735.3315</v>
      </c>
      <c r="J91" s="20">
        <f>(5440.09*($L$8))</f>
        <v>29104.481499999998</v>
      </c>
      <c r="K91" s="20">
        <f>(5624.09*($L$8))</f>
        <v>30088.8815</v>
      </c>
      <c r="L91" s="20">
        <f>(5739.09*($L$8))</f>
        <v>30704.1315</v>
      </c>
      <c r="M91" s="20">
        <f>(5877.09*($L$8))</f>
        <v>31442.431499999999</v>
      </c>
      <c r="N91" s="20">
        <f>(6038.09*($L$8))</f>
        <v>32303.781499999997</v>
      </c>
      <c r="O91" s="20">
        <f>(6268.09*($L$8))</f>
        <v>33534.281499999997</v>
      </c>
      <c r="P91" s="20">
        <f>(6383.09*($L$8))</f>
        <v>34149.531499999997</v>
      </c>
      <c r="Q91" s="12">
        <f>(6843.09*($L$8))</f>
        <v>36610.531499999997</v>
      </c>
    </row>
    <row r="92" spans="1:17" ht="12.75" customHeight="1" x14ac:dyDescent="0.2">
      <c r="A92" s="6"/>
      <c r="B92" s="10" t="s">
        <v>1125</v>
      </c>
      <c r="C92" s="20" t="s">
        <v>292</v>
      </c>
      <c r="D92" s="20" t="s">
        <v>149</v>
      </c>
      <c r="E92" s="20" t="s">
        <v>275</v>
      </c>
      <c r="F92" s="20" t="s">
        <v>405</v>
      </c>
      <c r="G92" s="20" t="s">
        <v>182</v>
      </c>
      <c r="H92" s="20">
        <f>(5492.64*($L$8))</f>
        <v>29385.624</v>
      </c>
      <c r="I92" s="20">
        <f>(5612.64*($L$8))</f>
        <v>30027.624</v>
      </c>
      <c r="J92" s="20">
        <f>(5684.64*($L$8))</f>
        <v>30412.824000000001</v>
      </c>
      <c r="K92" s="20">
        <f>(5876.64*($L$8))</f>
        <v>31440.024000000001</v>
      </c>
      <c r="L92" s="20">
        <f>(5996.64*($L$8))</f>
        <v>32082.024000000001</v>
      </c>
      <c r="M92" s="20">
        <f>(6140.64*($L$8))</f>
        <v>32852.423999999999</v>
      </c>
      <c r="N92" s="20">
        <f>(6308.64*($L$8))</f>
        <v>33751.224000000002</v>
      </c>
      <c r="O92" s="20">
        <f>(6548.64*($L$8))</f>
        <v>35035.224000000002</v>
      </c>
      <c r="P92" s="20">
        <f>(6668.64*($L$8))</f>
        <v>35677.224000000002</v>
      </c>
      <c r="Q92" s="12">
        <f>(7148.64*($L$8))</f>
        <v>38245.224000000002</v>
      </c>
    </row>
    <row r="93" spans="1:17" ht="12.75" customHeight="1" x14ac:dyDescent="0.2">
      <c r="A93" s="6"/>
      <c r="B93" s="10" t="s">
        <v>1126</v>
      </c>
      <c r="C93" s="20" t="s">
        <v>273</v>
      </c>
      <c r="D93" s="20" t="s">
        <v>149</v>
      </c>
      <c r="E93" s="20" t="s">
        <v>275</v>
      </c>
      <c r="F93" s="20" t="s">
        <v>405</v>
      </c>
      <c r="G93" s="20" t="s">
        <v>185</v>
      </c>
      <c r="H93" s="20">
        <f>(5742.4*($L$8))</f>
        <v>30721.839999999997</v>
      </c>
      <c r="I93" s="20">
        <f>(5867.4*($L$8))</f>
        <v>31390.589999999997</v>
      </c>
      <c r="J93" s="20">
        <f>(5942.4*($L$8))</f>
        <v>31791.839999999997</v>
      </c>
      <c r="K93" s="20">
        <f>(6142.4*($L$8))</f>
        <v>32861.839999999997</v>
      </c>
      <c r="L93" s="20">
        <f>(6267.4*($L$8))</f>
        <v>33530.589999999997</v>
      </c>
      <c r="M93" s="20">
        <f>(6417.4*($L$8))</f>
        <v>34333.089999999997</v>
      </c>
      <c r="N93" s="20">
        <f>(6592.4*($L$8))</f>
        <v>35269.339999999997</v>
      </c>
      <c r="O93" s="20">
        <f>(6842.4*($L$8))</f>
        <v>36606.839999999997</v>
      </c>
      <c r="P93" s="20">
        <f>(6967.4*($L$8))</f>
        <v>37275.589999999997</v>
      </c>
      <c r="Q93" s="12">
        <f>(7467.4*($L$8))</f>
        <v>39950.589999999997</v>
      </c>
    </row>
    <row r="94" spans="1:17" ht="12.75" customHeight="1" x14ac:dyDescent="0.2">
      <c r="A94" s="6"/>
      <c r="B94" s="10" t="s">
        <v>1127</v>
      </c>
      <c r="C94" s="20" t="s">
        <v>278</v>
      </c>
      <c r="D94" s="20" t="s">
        <v>149</v>
      </c>
      <c r="E94" s="20" t="s">
        <v>275</v>
      </c>
      <c r="F94" s="20" t="s">
        <v>405</v>
      </c>
      <c r="G94" s="20" t="s">
        <v>229</v>
      </c>
      <c r="H94" s="20">
        <f>(6000.35*($L$8))</f>
        <v>32101.872500000001</v>
      </c>
      <c r="I94" s="20">
        <f>(6135.35*($L$8))</f>
        <v>32824.122499999998</v>
      </c>
      <c r="J94" s="20">
        <f>(6216.35*($L$8))</f>
        <v>33257.472499999996</v>
      </c>
      <c r="K94" s="20">
        <f>(6432.35*($L$8))</f>
        <v>34413.072500000002</v>
      </c>
      <c r="L94" s="20">
        <f>(6567.35*($L$8))</f>
        <v>35135.322500000002</v>
      </c>
      <c r="M94" s="20">
        <f>(6729.35*($L$8))</f>
        <v>36002.022499999999</v>
      </c>
      <c r="N94" s="20">
        <f>(6918.35*($L$8))</f>
        <v>37013.172500000001</v>
      </c>
      <c r="O94" s="20">
        <f>(7188.35*($L$8))</f>
        <v>38457.672500000001</v>
      </c>
      <c r="P94" s="20">
        <f>(7323.35*($L$8))</f>
        <v>39179.922500000001</v>
      </c>
      <c r="Q94" s="12">
        <f>(7863.35*($L$8))</f>
        <v>42068.922500000001</v>
      </c>
    </row>
    <row r="95" spans="1:17" ht="12.75" customHeight="1" x14ac:dyDescent="0.2">
      <c r="A95" s="6"/>
      <c r="B95" s="10" t="s">
        <v>1128</v>
      </c>
      <c r="C95" s="20" t="s">
        <v>280</v>
      </c>
      <c r="D95" s="20" t="s">
        <v>149</v>
      </c>
      <c r="E95" s="20" t="s">
        <v>275</v>
      </c>
      <c r="F95" s="20" t="s">
        <v>405</v>
      </c>
      <c r="G95" s="20" t="s">
        <v>231</v>
      </c>
      <c r="H95" s="20">
        <f>(6396.11*($L$8))</f>
        <v>34219.188499999997</v>
      </c>
      <c r="I95" s="20">
        <f>(6536.11*($L$8))</f>
        <v>34968.188499999997</v>
      </c>
      <c r="J95" s="20">
        <f>(6620.11*($L$8))</f>
        <v>35417.588499999998</v>
      </c>
      <c r="K95" s="20">
        <f>(6844.11*($L$8))</f>
        <v>36615.988499999992</v>
      </c>
      <c r="L95" s="20">
        <f>(6984.11*($L$8))</f>
        <v>37364.988499999992</v>
      </c>
      <c r="M95" s="20">
        <f>(7152.11*($L$8))</f>
        <v>38263.788499999995</v>
      </c>
      <c r="N95" s="20">
        <f>(7348.11*($L$8))</f>
        <v>39312.388499999994</v>
      </c>
      <c r="O95" s="20">
        <f>(7628.11*($L$8))</f>
        <v>40810.388499999994</v>
      </c>
      <c r="P95" s="20">
        <f>(7768.11*($L$8))</f>
        <v>41559.388499999994</v>
      </c>
      <c r="Q95" s="12">
        <f>(8328.11*($L$8))</f>
        <v>44555.388500000001</v>
      </c>
    </row>
    <row r="96" spans="1:17" ht="12.75" customHeight="1" x14ac:dyDescent="0.2">
      <c r="A96" s="6"/>
      <c r="B96" s="10" t="s">
        <v>1129</v>
      </c>
      <c r="C96" s="20" t="s">
        <v>236</v>
      </c>
      <c r="D96" s="20" t="s">
        <v>149</v>
      </c>
      <c r="E96" s="20" t="s">
        <v>275</v>
      </c>
      <c r="F96" s="20" t="s">
        <v>405</v>
      </c>
      <c r="G96" s="20" t="s">
        <v>237</v>
      </c>
      <c r="H96" s="20">
        <f>(6651.62*($L$8))</f>
        <v>35586.166999999994</v>
      </c>
      <c r="I96" s="20">
        <f>(6801.62*($L$8))</f>
        <v>36388.666999999994</v>
      </c>
      <c r="J96" s="20">
        <f>(6891.62*($L$8))</f>
        <v>36870.166999999994</v>
      </c>
      <c r="K96" s="20">
        <f>(7131.62*($L$8))</f>
        <v>38154.166999999994</v>
      </c>
      <c r="L96" s="20">
        <f>(7281.62*($L$8))</f>
        <v>38956.666999999994</v>
      </c>
      <c r="M96" s="20">
        <f>(7461.62*($L$8))</f>
        <v>39919.666999999994</v>
      </c>
      <c r="N96" s="20">
        <f>(7671.62*($L$8))</f>
        <v>41043.166999999994</v>
      </c>
      <c r="O96" s="20">
        <f>(7971.62*($L$8))</f>
        <v>42648.166999999994</v>
      </c>
      <c r="P96" s="20">
        <f>(8121.62*($L$8))</f>
        <v>43450.666999999994</v>
      </c>
      <c r="Q96" s="12">
        <f>(8721.62*($L$8))</f>
        <v>46660.667000000001</v>
      </c>
    </row>
    <row r="97" spans="1:17" ht="12.75" customHeight="1" x14ac:dyDescent="0.2">
      <c r="A97" s="6"/>
      <c r="B97" s="10" t="s">
        <v>1130</v>
      </c>
      <c r="C97" s="20" t="s">
        <v>79</v>
      </c>
      <c r="D97" s="20" t="s">
        <v>397</v>
      </c>
      <c r="E97" s="20" t="s">
        <v>246</v>
      </c>
      <c r="F97" s="20" t="s">
        <v>27</v>
      </c>
      <c r="G97" s="20" t="s">
        <v>218</v>
      </c>
      <c r="H97" s="20">
        <f>(2175.45*($L$8))</f>
        <v>11638.657499999998</v>
      </c>
      <c r="I97" s="20">
        <f>(2205.45*($L$8))</f>
        <v>11799.157499999998</v>
      </c>
      <c r="J97" s="20">
        <f>(2223.45*($L$8))</f>
        <v>11895.457499999999</v>
      </c>
      <c r="K97" s="20">
        <f>(2271.45*($L$8))</f>
        <v>12152.257499999998</v>
      </c>
      <c r="L97" s="20">
        <f>(2301.45*($L$8))</f>
        <v>12312.757499999998</v>
      </c>
      <c r="M97" s="20">
        <f>(2337.45*($L$8))</f>
        <v>12505.357499999998</v>
      </c>
      <c r="N97" s="20">
        <f>(2379.45*($L$8))</f>
        <v>12730.057499999999</v>
      </c>
      <c r="O97" s="20">
        <f>(2439.45*($L$8))</f>
        <v>13051.057499999999</v>
      </c>
      <c r="P97" s="20">
        <f>(2469.45*($L$8))</f>
        <v>13211.557499999999</v>
      </c>
      <c r="Q97" s="12">
        <f>(2589.45*($L$8))</f>
        <v>13853.557499999999</v>
      </c>
    </row>
    <row r="98" spans="1:17" ht="12.75" customHeight="1" x14ac:dyDescent="0.2">
      <c r="A98" s="6"/>
      <c r="B98" s="10" t="s">
        <v>1131</v>
      </c>
      <c r="C98" s="20" t="s">
        <v>79</v>
      </c>
      <c r="D98" s="20" t="s">
        <v>149</v>
      </c>
      <c r="E98" s="20" t="s">
        <v>246</v>
      </c>
      <c r="F98" s="20" t="s">
        <v>27</v>
      </c>
      <c r="G98" s="20" t="s">
        <v>403</v>
      </c>
      <c r="H98" s="20">
        <f>(2226.38*($L$8))</f>
        <v>11911.133</v>
      </c>
      <c r="I98" s="20">
        <f>(2252.38*($L$8))</f>
        <v>12050.233</v>
      </c>
      <c r="J98" s="20">
        <f>(2267.98*($L$8))</f>
        <v>12133.692999999999</v>
      </c>
      <c r="K98" s="20">
        <f>(2309.58*($L$8))</f>
        <v>12356.252999999999</v>
      </c>
      <c r="L98" s="20">
        <f>(2335.58*($L$8))</f>
        <v>12495.352999999999</v>
      </c>
      <c r="M98" s="20">
        <f>(2366.78*($L$8))</f>
        <v>12662.273000000001</v>
      </c>
      <c r="N98" s="20">
        <f>(2403.18*($L$8))</f>
        <v>12857.012999999999</v>
      </c>
      <c r="O98" s="20">
        <f>(2455.18*($L$8))</f>
        <v>13135.212999999998</v>
      </c>
      <c r="P98" s="20">
        <f>(2481.18*($L$8))</f>
        <v>13274.312999999998</v>
      </c>
      <c r="Q98" s="12">
        <f>(2585.18*($L$8))</f>
        <v>13830.712999999998</v>
      </c>
    </row>
    <row r="99" spans="1:17" ht="12.75" customHeight="1" x14ac:dyDescent="0.2">
      <c r="A99" s="6"/>
      <c r="B99" s="10" t="s">
        <v>1132</v>
      </c>
      <c r="C99" s="20" t="s">
        <v>333</v>
      </c>
      <c r="D99" s="20" t="s">
        <v>397</v>
      </c>
      <c r="E99" s="20" t="s">
        <v>246</v>
      </c>
      <c r="F99" s="20" t="s">
        <v>27</v>
      </c>
      <c r="G99" s="20" t="s">
        <v>403</v>
      </c>
      <c r="H99" s="20">
        <f>(2193.42*($L$8))</f>
        <v>11734.797</v>
      </c>
      <c r="I99" s="20">
        <f>(2223.42*($L$8))</f>
        <v>11895.297</v>
      </c>
      <c r="J99" s="20">
        <f>(2241.42*($L$8))</f>
        <v>11991.597</v>
      </c>
      <c r="K99" s="20">
        <f>(2289.42*($L$8))</f>
        <v>12248.396999999999</v>
      </c>
      <c r="L99" s="20">
        <f>(2319.42*($L$8))</f>
        <v>12408.896999999999</v>
      </c>
      <c r="M99" s="20">
        <f>(2355.42*($L$8))</f>
        <v>12601.496999999999</v>
      </c>
      <c r="N99" s="20">
        <f>(2397.42*($L$8))</f>
        <v>12826.197</v>
      </c>
      <c r="O99" s="20">
        <f>(2457.42*($L$8))</f>
        <v>13147.197</v>
      </c>
      <c r="P99" s="20">
        <f>(2487.42*($L$8))</f>
        <v>13307.697</v>
      </c>
      <c r="Q99" s="12">
        <f>(2607.42*($L$8))</f>
        <v>13949.697</v>
      </c>
    </row>
    <row r="100" spans="1:17" ht="12.75" customHeight="1" x14ac:dyDescent="0.2">
      <c r="A100" s="6"/>
      <c r="B100" s="10" t="s">
        <v>1133</v>
      </c>
      <c r="C100" s="20" t="s">
        <v>333</v>
      </c>
      <c r="D100" s="20" t="s">
        <v>149</v>
      </c>
      <c r="E100" s="20" t="s">
        <v>246</v>
      </c>
      <c r="F100" s="20" t="s">
        <v>27</v>
      </c>
      <c r="G100" s="20" t="s">
        <v>524</v>
      </c>
      <c r="H100" s="20">
        <f>(2466.71*($L$8))</f>
        <v>13196.898499999999</v>
      </c>
      <c r="I100" s="20">
        <f>(2496.71*($L$8))</f>
        <v>13357.398499999999</v>
      </c>
      <c r="J100" s="20">
        <f>(2514.71*($L$8))</f>
        <v>13453.698499999999</v>
      </c>
      <c r="K100" s="20">
        <f>(2562.71*($L$8))</f>
        <v>13710.4985</v>
      </c>
      <c r="L100" s="20">
        <f>(2592.71*($L$8))</f>
        <v>13870.9985</v>
      </c>
      <c r="M100" s="20">
        <f>(2628.71*($L$8))</f>
        <v>14063.5985</v>
      </c>
      <c r="N100" s="20">
        <f>(2670.71*($L$8))</f>
        <v>14288.298499999999</v>
      </c>
      <c r="O100" s="20">
        <f>(2730.71*($L$8))</f>
        <v>14609.298499999999</v>
      </c>
      <c r="P100" s="20">
        <f>(2760.71*($L$8))</f>
        <v>14769.798499999999</v>
      </c>
      <c r="Q100" s="12">
        <f>(2880.71*($L$8))</f>
        <v>15411.798499999999</v>
      </c>
    </row>
    <row r="101" spans="1:17" ht="12.75" customHeight="1" x14ac:dyDescent="0.2">
      <c r="A101" s="6"/>
      <c r="B101" s="10" t="s">
        <v>1134</v>
      </c>
      <c r="C101" s="20" t="s">
        <v>385</v>
      </c>
      <c r="D101" s="20" t="s">
        <v>397</v>
      </c>
      <c r="E101" s="20" t="s">
        <v>246</v>
      </c>
      <c r="F101" s="20" t="s">
        <v>27</v>
      </c>
      <c r="G101" s="20" t="s">
        <v>524</v>
      </c>
      <c r="H101" s="20">
        <f>(2386.39*($L$8))</f>
        <v>12767.186499999998</v>
      </c>
      <c r="I101" s="20">
        <f>(2419.39*($L$8))</f>
        <v>12943.736499999999</v>
      </c>
      <c r="J101" s="20">
        <f>(2439.19*($L$8))</f>
        <v>13049.666499999999</v>
      </c>
      <c r="K101" s="20">
        <f>(2491.99*($L$8))</f>
        <v>13332.146499999997</v>
      </c>
      <c r="L101" s="20">
        <f>(2524.99*($L$8))</f>
        <v>13508.696499999998</v>
      </c>
      <c r="M101" s="20">
        <f>(2564.59*($L$8))</f>
        <v>13720.556500000001</v>
      </c>
      <c r="N101" s="20">
        <f>(2610.79*($L$8))</f>
        <v>13967.726499999999</v>
      </c>
      <c r="O101" s="20">
        <f>(2676.79*($L$8))</f>
        <v>14320.826499999999</v>
      </c>
      <c r="P101" s="20">
        <f>(2709.79*($L$8))</f>
        <v>14497.376499999998</v>
      </c>
      <c r="Q101" s="12">
        <f>(2841.79*($L$8))</f>
        <v>15203.576499999999</v>
      </c>
    </row>
    <row r="102" spans="1:17" ht="12.75" customHeight="1" x14ac:dyDescent="0.2">
      <c r="A102" s="6"/>
      <c r="B102" s="10" t="s">
        <v>1135</v>
      </c>
      <c r="C102" s="20" t="s">
        <v>385</v>
      </c>
      <c r="D102" s="20" t="s">
        <v>149</v>
      </c>
      <c r="E102" s="20" t="s">
        <v>246</v>
      </c>
      <c r="F102" s="20" t="s">
        <v>27</v>
      </c>
      <c r="G102" s="20" t="s">
        <v>247</v>
      </c>
      <c r="H102" s="20">
        <f>(2572.44*($L$8))</f>
        <v>13762.554</v>
      </c>
      <c r="I102" s="20">
        <f>(2605.44*($L$8))</f>
        <v>13939.103999999999</v>
      </c>
      <c r="J102" s="20">
        <f>(2625.24*($L$8))</f>
        <v>14045.033999999998</v>
      </c>
      <c r="K102" s="20">
        <f>(2678.04*($L$8))</f>
        <v>14327.513999999999</v>
      </c>
      <c r="L102" s="20">
        <f>(2711.04*($L$8))</f>
        <v>14504.063999999998</v>
      </c>
      <c r="M102" s="20">
        <f>(2750.64*($L$8))</f>
        <v>14715.923999999999</v>
      </c>
      <c r="N102" s="20">
        <f>(2796.84*($L$8))</f>
        <v>14963.093999999999</v>
      </c>
      <c r="O102" s="20">
        <f>(2862.84*($L$8))</f>
        <v>15316.194</v>
      </c>
      <c r="P102" s="20">
        <f>(2895.84*($L$8))</f>
        <v>15492.744000000001</v>
      </c>
      <c r="Q102" s="12">
        <f>(3027.84*($L$8))</f>
        <v>16198.944</v>
      </c>
    </row>
    <row r="103" spans="1:17" ht="12.75" customHeight="1" x14ac:dyDescent="0.2">
      <c r="A103" s="6"/>
      <c r="B103" s="10" t="s">
        <v>1136</v>
      </c>
      <c r="C103" s="20" t="s">
        <v>135</v>
      </c>
      <c r="D103" s="20" t="s">
        <v>397</v>
      </c>
      <c r="E103" s="20" t="s">
        <v>246</v>
      </c>
      <c r="F103" s="20" t="s">
        <v>27</v>
      </c>
      <c r="G103" s="20" t="s">
        <v>247</v>
      </c>
      <c r="H103" s="20">
        <f>(2473.26*($L$8))</f>
        <v>13231.941000000001</v>
      </c>
      <c r="I103" s="20">
        <f>(2510.26*($L$8))</f>
        <v>13429.891</v>
      </c>
      <c r="J103" s="20">
        <f>(2532.46*($L$8))</f>
        <v>13548.661</v>
      </c>
      <c r="K103" s="20">
        <f>(2591.66*($L$8))</f>
        <v>13865.380999999998</v>
      </c>
      <c r="L103" s="20">
        <f>(2628.66*($L$8))</f>
        <v>14063.330999999998</v>
      </c>
      <c r="M103" s="20">
        <f>(2673.06*($L$8))</f>
        <v>14300.870999999999</v>
      </c>
      <c r="N103" s="20">
        <f>(2724.86*($L$8))</f>
        <v>14578.001</v>
      </c>
      <c r="O103" s="20">
        <f>(2798.86*($L$8))</f>
        <v>14973.901</v>
      </c>
      <c r="P103" s="20">
        <f>(2835.86*($L$8))</f>
        <v>15171.851000000001</v>
      </c>
      <c r="Q103" s="12">
        <f>(2983.86*($L$8))</f>
        <v>15963.651</v>
      </c>
    </row>
    <row r="104" spans="1:17" ht="12.75" customHeight="1" x14ac:dyDescent="0.2">
      <c r="A104" s="6"/>
      <c r="B104" s="10" t="s">
        <v>1137</v>
      </c>
      <c r="C104" s="20" t="s">
        <v>135</v>
      </c>
      <c r="D104" s="20" t="s">
        <v>149</v>
      </c>
      <c r="E104" s="20" t="s">
        <v>246</v>
      </c>
      <c r="F104" s="20" t="s">
        <v>27</v>
      </c>
      <c r="G104" s="20" t="s">
        <v>268</v>
      </c>
      <c r="H104" s="20">
        <f>(2665.37*($L$8))</f>
        <v>14259.729499999998</v>
      </c>
      <c r="I104" s="20">
        <f>(2702.37*($L$8))</f>
        <v>14457.679499999998</v>
      </c>
      <c r="J104" s="20">
        <f>(2724.57*($L$8))</f>
        <v>14576.449500000001</v>
      </c>
      <c r="K104" s="20">
        <f>(2783.77*($L$8))</f>
        <v>14893.169499999998</v>
      </c>
      <c r="L104" s="20">
        <f>(2820.77*($L$8))</f>
        <v>15091.119499999999</v>
      </c>
      <c r="M104" s="20">
        <f>(2865.17*($L$8))</f>
        <v>15328.6595</v>
      </c>
      <c r="N104" s="20">
        <f>(2916.97*($L$8))</f>
        <v>15605.789499999997</v>
      </c>
      <c r="O104" s="20">
        <f>(2990.97*($L$8))</f>
        <v>16001.689499999999</v>
      </c>
      <c r="P104" s="20">
        <f>(3027.97*($L$8))</f>
        <v>16199.639499999997</v>
      </c>
      <c r="Q104" s="12">
        <f>(3175.97*($L$8))</f>
        <v>16991.439499999997</v>
      </c>
    </row>
    <row r="105" spans="1:17" ht="30" customHeight="1" x14ac:dyDescent="0.35">
      <c r="A105" s="6"/>
      <c r="B105" s="23" t="s">
        <v>1138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5"/>
    </row>
    <row r="106" spans="1:17" ht="12.75" customHeight="1" x14ac:dyDescent="0.2">
      <c r="A106" s="7" t="s">
        <v>6</v>
      </c>
      <c r="B106" s="8" t="s">
        <v>7</v>
      </c>
      <c r="C106" s="8" t="s">
        <v>8</v>
      </c>
      <c r="D106" s="8" t="s">
        <v>9</v>
      </c>
      <c r="E106" s="8" t="s">
        <v>10</v>
      </c>
      <c r="F106" s="8" t="s">
        <v>11</v>
      </c>
      <c r="G106" s="8" t="s">
        <v>12</v>
      </c>
      <c r="H106" s="8" t="s">
        <v>13</v>
      </c>
      <c r="I106" s="8" t="s">
        <v>14</v>
      </c>
      <c r="J106" s="8" t="s">
        <v>15</v>
      </c>
      <c r="K106" s="8" t="s">
        <v>16</v>
      </c>
      <c r="L106" s="8" t="s">
        <v>17</v>
      </c>
      <c r="M106" s="8" t="s">
        <v>18</v>
      </c>
      <c r="N106" s="8" t="s">
        <v>19</v>
      </c>
      <c r="O106" s="8" t="s">
        <v>20</v>
      </c>
      <c r="P106" s="8" t="s">
        <v>21</v>
      </c>
      <c r="Q106" s="9" t="s">
        <v>22</v>
      </c>
    </row>
    <row r="107" spans="1:17" ht="12.75" customHeight="1" x14ac:dyDescent="0.2">
      <c r="A107" s="6"/>
      <c r="B107" s="10" t="s">
        <v>1139</v>
      </c>
      <c r="C107" s="20" t="s">
        <v>137</v>
      </c>
      <c r="D107" s="20" t="s">
        <v>208</v>
      </c>
      <c r="E107" s="20" t="s">
        <v>275</v>
      </c>
      <c r="F107" s="20" t="s">
        <v>405</v>
      </c>
      <c r="G107" s="20" t="s">
        <v>421</v>
      </c>
      <c r="H107" s="20">
        <f>(5661.51*($L$8))</f>
        <v>30289.0785</v>
      </c>
      <c r="I107" s="20">
        <f>(5786.51*($L$8))</f>
        <v>30957.8285</v>
      </c>
      <c r="J107" s="20">
        <f>(5861.51*($L$8))</f>
        <v>31359.0785</v>
      </c>
      <c r="K107" s="20">
        <f>(6061.51*($L$8))</f>
        <v>32429.0785</v>
      </c>
      <c r="L107" s="20">
        <f>(6186.51*($L$8))</f>
        <v>33097.828499999996</v>
      </c>
      <c r="M107" s="20">
        <f>(6336.51*($L$8))</f>
        <v>33900.328499999996</v>
      </c>
      <c r="N107" s="20">
        <f>(6511.51*($L$8))</f>
        <v>34836.578499999996</v>
      </c>
      <c r="O107" s="20">
        <f>(6761.51*($L$8))</f>
        <v>36174.078499999996</v>
      </c>
      <c r="P107" s="20">
        <f>(6886.51*($L$8))</f>
        <v>36842.828499999996</v>
      </c>
      <c r="Q107" s="12">
        <f>(7386.51*($L$8))</f>
        <v>39517.828499999996</v>
      </c>
    </row>
    <row r="108" spans="1:17" ht="12.75" customHeight="1" x14ac:dyDescent="0.2">
      <c r="A108" s="6"/>
      <c r="B108" s="10" t="s">
        <v>1140</v>
      </c>
      <c r="C108" s="20" t="s">
        <v>292</v>
      </c>
      <c r="D108" s="20" t="s">
        <v>208</v>
      </c>
      <c r="E108" s="20" t="s">
        <v>275</v>
      </c>
      <c r="F108" s="20" t="s">
        <v>405</v>
      </c>
      <c r="G108" s="20" t="s">
        <v>231</v>
      </c>
      <c r="H108" s="20">
        <f>(5955.02*($L$8))</f>
        <v>31859.357</v>
      </c>
      <c r="I108" s="20">
        <f>(6085.02*($L$8))</f>
        <v>32554.857</v>
      </c>
      <c r="J108" s="20">
        <f>(6163.02*($L$8))</f>
        <v>32972.156999999999</v>
      </c>
      <c r="K108" s="20">
        <f>(6371.02*($L$8))</f>
        <v>34084.957000000002</v>
      </c>
      <c r="L108" s="20">
        <f>(6501.02*($L$8))</f>
        <v>34780.457000000002</v>
      </c>
      <c r="M108" s="20">
        <f>(6657.02*($L$8))</f>
        <v>35615.057000000001</v>
      </c>
      <c r="N108" s="20">
        <f>(6839.02*($L$8))</f>
        <v>36588.756999999998</v>
      </c>
      <c r="O108" s="20">
        <f>(7099.02*($L$8))</f>
        <v>37979.756999999998</v>
      </c>
      <c r="P108" s="20">
        <f>(7229.02*($L$8))</f>
        <v>38675.256999999998</v>
      </c>
      <c r="Q108" s="12">
        <f>(7749.02*($L$8))</f>
        <v>41457.256999999998</v>
      </c>
    </row>
    <row r="109" spans="1:17" ht="12.75" customHeight="1" x14ac:dyDescent="0.2">
      <c r="A109" s="6"/>
      <c r="B109" s="10" t="s">
        <v>1141</v>
      </c>
      <c r="C109" s="20" t="s">
        <v>273</v>
      </c>
      <c r="D109" s="20" t="s">
        <v>208</v>
      </c>
      <c r="E109" s="20" t="s">
        <v>275</v>
      </c>
      <c r="F109" s="20" t="s">
        <v>405</v>
      </c>
      <c r="G109" s="20" t="s">
        <v>435</v>
      </c>
      <c r="H109" s="20">
        <f>(6260.73*($L$8))</f>
        <v>33494.905499999993</v>
      </c>
      <c r="I109" s="20">
        <f>(6405.73*($L$8))</f>
        <v>34270.655499999993</v>
      </c>
      <c r="J109" s="20">
        <f>(6492.73*($L$8))</f>
        <v>34736.105499999998</v>
      </c>
      <c r="K109" s="20">
        <f>(6724.73*($L$8))</f>
        <v>35977.305499999995</v>
      </c>
      <c r="L109" s="20">
        <f>(6869.73*($L$8))</f>
        <v>36753.055499999995</v>
      </c>
      <c r="M109" s="20">
        <f>(7043.73*($L$8))</f>
        <v>37683.955499999996</v>
      </c>
      <c r="N109" s="20">
        <f>(7246.73*($L$8))</f>
        <v>38770.005499999992</v>
      </c>
      <c r="O109" s="20">
        <f>(7536.73*($L$8))</f>
        <v>40321.505499999992</v>
      </c>
      <c r="P109" s="20">
        <f>(7681.73*($L$8))</f>
        <v>41097.255499999992</v>
      </c>
      <c r="Q109" s="12">
        <f>(8261.73*($L$8))</f>
        <v>44200.255499999992</v>
      </c>
    </row>
    <row r="110" spans="1:17" ht="12.75" customHeight="1" x14ac:dyDescent="0.2">
      <c r="A110" s="6"/>
      <c r="B110" s="10" t="s">
        <v>1142</v>
      </c>
      <c r="C110" s="20" t="s">
        <v>278</v>
      </c>
      <c r="D110" s="20" t="s">
        <v>208</v>
      </c>
      <c r="E110" s="20" t="s">
        <v>275</v>
      </c>
      <c r="F110" s="20" t="s">
        <v>405</v>
      </c>
      <c r="G110" s="20" t="s">
        <v>237</v>
      </c>
      <c r="H110" s="20">
        <f>(6501.21*($L$8))</f>
        <v>34781.4735</v>
      </c>
      <c r="I110" s="20">
        <f>(6651.21*($L$8))</f>
        <v>35583.9735</v>
      </c>
      <c r="J110" s="20">
        <f>(6741.21*($L$8))</f>
        <v>36065.4735</v>
      </c>
      <c r="K110" s="20">
        <f>(6981.21*($L$8))</f>
        <v>37349.4735</v>
      </c>
      <c r="L110" s="20">
        <f>(7131.21*($L$8))</f>
        <v>38151.9735</v>
      </c>
      <c r="M110" s="20">
        <f>(7311.21*($L$8))</f>
        <v>39114.9735</v>
      </c>
      <c r="N110" s="20">
        <f>(7521.21*($L$8))</f>
        <v>40238.4735</v>
      </c>
      <c r="O110" s="20">
        <f>(7821.21*($L$8))</f>
        <v>41843.4735</v>
      </c>
      <c r="P110" s="20">
        <f>(7971.21*($L$8))</f>
        <v>42645.9735</v>
      </c>
      <c r="Q110" s="12">
        <f>(8571.21*($L$8))</f>
        <v>45855.973499999993</v>
      </c>
    </row>
    <row r="111" spans="1:17" ht="12.75" customHeight="1" x14ac:dyDescent="0.2">
      <c r="A111" s="6"/>
      <c r="B111" s="10" t="s">
        <v>1143</v>
      </c>
      <c r="C111" s="20" t="s">
        <v>280</v>
      </c>
      <c r="D111" s="20" t="s">
        <v>208</v>
      </c>
      <c r="E111" s="20" t="s">
        <v>275</v>
      </c>
      <c r="F111" s="20" t="s">
        <v>405</v>
      </c>
      <c r="G111" s="20" t="s">
        <v>440</v>
      </c>
      <c r="H111" s="20">
        <f>(6907.96*($L$8))</f>
        <v>36957.585999999996</v>
      </c>
      <c r="I111" s="20">
        <f>(7062.96*($L$8))</f>
        <v>37786.835999999996</v>
      </c>
      <c r="J111" s="20">
        <f>(7155.96*($L$8))</f>
        <v>38284.385999999999</v>
      </c>
      <c r="K111" s="20">
        <f>(7403.96*($L$8))</f>
        <v>39611.185999999994</v>
      </c>
      <c r="L111" s="20">
        <f>(7558.96*($L$8))</f>
        <v>40440.435999999994</v>
      </c>
      <c r="M111" s="20">
        <f>(7744.96*($L$8))</f>
        <v>41435.536</v>
      </c>
      <c r="N111" s="20">
        <f>(7961.96*($L$8))</f>
        <v>42596.485999999997</v>
      </c>
      <c r="O111" s="20">
        <f>(8271.96*($L$8))</f>
        <v>44254.98599999999</v>
      </c>
      <c r="P111" s="20">
        <f>(8426.96*($L$8))</f>
        <v>45084.23599999999</v>
      </c>
      <c r="Q111" s="12">
        <f>(9046.96*($L$8))</f>
        <v>48401.23599999999</v>
      </c>
    </row>
    <row r="112" spans="1:17" ht="12.75" customHeight="1" x14ac:dyDescent="0.2">
      <c r="A112" s="6"/>
      <c r="B112" s="10" t="s">
        <v>1144</v>
      </c>
      <c r="C112" s="20" t="s">
        <v>236</v>
      </c>
      <c r="D112" s="20" t="s">
        <v>208</v>
      </c>
      <c r="E112" s="20" t="s">
        <v>275</v>
      </c>
      <c r="F112" s="20" t="s">
        <v>405</v>
      </c>
      <c r="G112" s="20" t="s">
        <v>234</v>
      </c>
      <c r="H112" s="20">
        <f>(7155.42*($L$8))</f>
        <v>38281.496999999996</v>
      </c>
      <c r="I112" s="20">
        <f>(7315.42*($L$8))</f>
        <v>39137.496999999996</v>
      </c>
      <c r="J112" s="20">
        <f>(7411.42*($L$8))</f>
        <v>39651.096999999994</v>
      </c>
      <c r="K112" s="20">
        <f>(7667.42*($L$8))</f>
        <v>41020.697</v>
      </c>
      <c r="L112" s="20">
        <f>(7827.42*($L$8))</f>
        <v>41876.697</v>
      </c>
      <c r="M112" s="20">
        <f>(8019.42*($L$8))</f>
        <v>42903.896999999997</v>
      </c>
      <c r="N112" s="20">
        <f>(8243.42*($L$8))</f>
        <v>44102.296999999999</v>
      </c>
      <c r="O112" s="20">
        <f>(8563.42*($L$8))</f>
        <v>45814.296999999999</v>
      </c>
      <c r="P112" s="20">
        <f>(8723.42*($L$8))</f>
        <v>46670.296999999999</v>
      </c>
      <c r="Q112" s="12">
        <f>(9363.42*($L$8))</f>
        <v>50094.296999999999</v>
      </c>
    </row>
    <row r="113" spans="1:17" ht="30" customHeight="1" x14ac:dyDescent="0.35">
      <c r="A113" s="6"/>
      <c r="B113" s="23" t="s">
        <v>1145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5"/>
    </row>
    <row r="114" spans="1:17" ht="12.75" customHeight="1" x14ac:dyDescent="0.2">
      <c r="A114" s="7" t="s">
        <v>6</v>
      </c>
      <c r="B114" s="8" t="s">
        <v>7</v>
      </c>
      <c r="C114" s="8" t="s">
        <v>8</v>
      </c>
      <c r="D114" s="8" t="s">
        <v>9</v>
      </c>
      <c r="E114" s="8" t="s">
        <v>10</v>
      </c>
      <c r="F114" s="8" t="s">
        <v>11</v>
      </c>
      <c r="G114" s="8" t="s">
        <v>12</v>
      </c>
      <c r="H114" s="8" t="s">
        <v>13</v>
      </c>
      <c r="I114" s="8" t="s">
        <v>14</v>
      </c>
      <c r="J114" s="8" t="s">
        <v>15</v>
      </c>
      <c r="K114" s="8" t="s">
        <v>16</v>
      </c>
      <c r="L114" s="8" t="s">
        <v>17</v>
      </c>
      <c r="M114" s="8" t="s">
        <v>18</v>
      </c>
      <c r="N114" s="8" t="s">
        <v>19</v>
      </c>
      <c r="O114" s="8" t="s">
        <v>20</v>
      </c>
      <c r="P114" s="8" t="s">
        <v>21</v>
      </c>
      <c r="Q114" s="9" t="s">
        <v>22</v>
      </c>
    </row>
    <row r="115" spans="1:17" ht="12.75" customHeight="1" x14ac:dyDescent="0.2">
      <c r="A115" s="6"/>
      <c r="B115" s="10" t="s">
        <v>1146</v>
      </c>
      <c r="C115" s="20" t="s">
        <v>365</v>
      </c>
      <c r="D115" s="20" t="s">
        <v>1147</v>
      </c>
      <c r="E115" s="20" t="s">
        <v>1113</v>
      </c>
      <c r="F115" s="20" t="s">
        <v>27</v>
      </c>
      <c r="G115" s="20" t="s">
        <v>236</v>
      </c>
      <c r="H115" s="20">
        <f>(3688.44*($L$8))</f>
        <v>19733.153999999999</v>
      </c>
      <c r="I115" s="20">
        <f>(3708.44*($L$8))</f>
        <v>19840.153999999999</v>
      </c>
      <c r="J115" s="20">
        <f>(3720.44*($L$8))</f>
        <v>19904.353999999999</v>
      </c>
      <c r="K115" s="20">
        <f>(3752.44*($L$8))</f>
        <v>20075.554</v>
      </c>
      <c r="L115" s="20">
        <f>(3772.44*($L$8))</f>
        <v>20182.554</v>
      </c>
      <c r="M115" s="20">
        <f>(3796.44*($L$8))</f>
        <v>20310.953999999998</v>
      </c>
      <c r="N115" s="20">
        <f>(3824.44*($L$8))</f>
        <v>20460.753999999997</v>
      </c>
      <c r="O115" s="20">
        <f>(3864.44*($L$8))</f>
        <v>20674.753999999997</v>
      </c>
      <c r="P115" s="20">
        <f>(3884.44*($L$8))</f>
        <v>20781.753999999997</v>
      </c>
      <c r="Q115" s="12">
        <f>(3964.44*($L$8))</f>
        <v>21209.753999999997</v>
      </c>
    </row>
    <row r="116" spans="1:17" ht="12.75" customHeight="1" x14ac:dyDescent="0.2">
      <c r="A116" s="6"/>
      <c r="B116" s="10" t="s">
        <v>1148</v>
      </c>
      <c r="C116" s="20" t="s">
        <v>365</v>
      </c>
      <c r="D116" s="20" t="s">
        <v>1147</v>
      </c>
      <c r="E116" s="20" t="s">
        <v>1113</v>
      </c>
      <c r="F116" s="20" t="s">
        <v>27</v>
      </c>
      <c r="G116" s="20" t="s">
        <v>236</v>
      </c>
      <c r="H116" s="20">
        <f>(3688.44*($L$8))</f>
        <v>19733.153999999999</v>
      </c>
      <c r="I116" s="20">
        <f>(3708.44*($L$8))</f>
        <v>19840.153999999999</v>
      </c>
      <c r="J116" s="20">
        <f>(3720.44*($L$8))</f>
        <v>19904.353999999999</v>
      </c>
      <c r="K116" s="20">
        <f>(3752.44*($L$8))</f>
        <v>20075.554</v>
      </c>
      <c r="L116" s="20">
        <f>(3772.44*($L$8))</f>
        <v>20182.554</v>
      </c>
      <c r="M116" s="20">
        <f>(3796.44*($L$8))</f>
        <v>20310.953999999998</v>
      </c>
      <c r="N116" s="20">
        <f>(3824.44*($L$8))</f>
        <v>20460.753999999997</v>
      </c>
      <c r="O116" s="20">
        <f>(3864.44*($L$8))</f>
        <v>20674.753999999997</v>
      </c>
      <c r="P116" s="20">
        <f>(3884.44*($L$8))</f>
        <v>20781.753999999997</v>
      </c>
      <c r="Q116" s="12">
        <f>(3964.44*($L$8))</f>
        <v>21209.753999999997</v>
      </c>
    </row>
    <row r="117" spans="1:17" ht="30" customHeight="1" x14ac:dyDescent="0.35">
      <c r="A117" s="6"/>
      <c r="B117" s="23" t="s">
        <v>1149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5"/>
    </row>
    <row r="118" spans="1:17" ht="12.75" customHeight="1" x14ac:dyDescent="0.2">
      <c r="A118" s="7" t="s">
        <v>6</v>
      </c>
      <c r="B118" s="8" t="s">
        <v>7</v>
      </c>
      <c r="C118" s="8" t="s">
        <v>8</v>
      </c>
      <c r="D118" s="8" t="s">
        <v>9</v>
      </c>
      <c r="E118" s="8" t="s">
        <v>10</v>
      </c>
      <c r="F118" s="8" t="s">
        <v>11</v>
      </c>
      <c r="G118" s="8" t="s">
        <v>12</v>
      </c>
      <c r="H118" s="8" t="s">
        <v>13</v>
      </c>
      <c r="I118" s="8" t="s">
        <v>14</v>
      </c>
      <c r="J118" s="8" t="s">
        <v>15</v>
      </c>
      <c r="K118" s="8" t="s">
        <v>16</v>
      </c>
      <c r="L118" s="8" t="s">
        <v>17</v>
      </c>
      <c r="M118" s="8" t="s">
        <v>18</v>
      </c>
      <c r="N118" s="8" t="s">
        <v>19</v>
      </c>
      <c r="O118" s="8" t="s">
        <v>20</v>
      </c>
      <c r="P118" s="8" t="s">
        <v>21</v>
      </c>
      <c r="Q118" s="9" t="s">
        <v>22</v>
      </c>
    </row>
    <row r="119" spans="1:17" ht="12.75" customHeight="1" x14ac:dyDescent="0.2">
      <c r="A119" s="6"/>
      <c r="B119" s="10" t="s">
        <v>1150</v>
      </c>
      <c r="C119" s="20" t="s">
        <v>226</v>
      </c>
      <c r="D119" s="20" t="s">
        <v>1151</v>
      </c>
      <c r="E119" s="20" t="s">
        <v>275</v>
      </c>
      <c r="F119" s="20" t="s">
        <v>1152</v>
      </c>
      <c r="G119" s="20" t="s">
        <v>247</v>
      </c>
      <c r="H119" s="20">
        <f>(3948.68*($L$8))</f>
        <v>21125.437999999998</v>
      </c>
      <c r="I119" s="20">
        <f>(3988.68*($L$8))</f>
        <v>21339.437999999998</v>
      </c>
      <c r="J119" s="20">
        <f>(4012.68*($L$8))</f>
        <v>21467.837999999996</v>
      </c>
      <c r="K119" s="20">
        <f>(4076.68*($L$8))</f>
        <v>21810.237999999998</v>
      </c>
      <c r="L119" s="20">
        <f>(4116.68*($L$8))</f>
        <v>22024.238000000001</v>
      </c>
      <c r="M119" s="20">
        <f>(4164.68*($L$8))</f>
        <v>22281.038</v>
      </c>
      <c r="N119" s="20">
        <f>(4220.68*($L$8))</f>
        <v>22580.637999999999</v>
      </c>
      <c r="O119" s="20">
        <f>(4300.68*($L$8))</f>
        <v>23008.637999999999</v>
      </c>
      <c r="P119" s="20">
        <f>(4340.68*($L$8))</f>
        <v>23222.637999999999</v>
      </c>
      <c r="Q119" s="12">
        <f>(4500.68*($L$8))</f>
        <v>24078.637999999999</v>
      </c>
    </row>
    <row r="120" spans="1:17" ht="30" customHeight="1" x14ac:dyDescent="0.35">
      <c r="A120" s="6"/>
      <c r="B120" s="23" t="s">
        <v>1153</v>
      </c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5"/>
    </row>
    <row r="121" spans="1:17" ht="12.75" customHeight="1" x14ac:dyDescent="0.2">
      <c r="A121" s="7" t="s">
        <v>6</v>
      </c>
      <c r="B121" s="8" t="s">
        <v>7</v>
      </c>
      <c r="C121" s="8" t="s">
        <v>8</v>
      </c>
      <c r="D121" s="8" t="s">
        <v>9</v>
      </c>
      <c r="E121" s="8" t="s">
        <v>10</v>
      </c>
      <c r="F121" s="8" t="s">
        <v>11</v>
      </c>
      <c r="G121" s="8" t="s">
        <v>12</v>
      </c>
      <c r="H121" s="8" t="s">
        <v>13</v>
      </c>
      <c r="I121" s="8" t="s">
        <v>14</v>
      </c>
      <c r="J121" s="8" t="s">
        <v>15</v>
      </c>
      <c r="K121" s="8" t="s">
        <v>16</v>
      </c>
      <c r="L121" s="8" t="s">
        <v>17</v>
      </c>
      <c r="M121" s="8" t="s">
        <v>18</v>
      </c>
      <c r="N121" s="8" t="s">
        <v>19</v>
      </c>
      <c r="O121" s="8" t="s">
        <v>20</v>
      </c>
      <c r="P121" s="8" t="s">
        <v>21</v>
      </c>
      <c r="Q121" s="9" t="s">
        <v>22</v>
      </c>
    </row>
    <row r="122" spans="1:17" ht="12.75" customHeight="1" x14ac:dyDescent="0.2">
      <c r="A122" s="6"/>
      <c r="B122" s="10" t="s">
        <v>1154</v>
      </c>
      <c r="C122" s="20" t="s">
        <v>24</v>
      </c>
      <c r="D122" s="20" t="s">
        <v>1155</v>
      </c>
      <c r="E122" s="20" t="s">
        <v>312</v>
      </c>
      <c r="F122" s="20" t="s">
        <v>698</v>
      </c>
      <c r="G122" s="20" t="s">
        <v>54</v>
      </c>
      <c r="H122" s="20">
        <f>(3462.49*($L$8))</f>
        <v>18524.321499999998</v>
      </c>
      <c r="I122" s="20">
        <f>(3522.49*($L$8))</f>
        <v>18845.321499999998</v>
      </c>
      <c r="J122" s="20">
        <f>(3558.49*($L$8))</f>
        <v>19037.921499999997</v>
      </c>
      <c r="K122" s="20">
        <f>(3654.49*($L$8))</f>
        <v>19551.521499999999</v>
      </c>
      <c r="L122" s="20">
        <f>(3714.49*($L$8))</f>
        <v>19872.521499999999</v>
      </c>
      <c r="M122" s="20">
        <f>(3786.49*($L$8))</f>
        <v>20257.721499999996</v>
      </c>
      <c r="N122" s="20">
        <f>(3870.49*($L$8))</f>
        <v>20707.121499999997</v>
      </c>
      <c r="O122" s="20">
        <f>(3990.49*($L$8))</f>
        <v>21349.121499999997</v>
      </c>
      <c r="P122" s="20">
        <f>(4050.49*($L$8))</f>
        <v>21670.121499999997</v>
      </c>
      <c r="Q122" s="12">
        <f>(4290.49*($L$8))</f>
        <v>22954.121499999997</v>
      </c>
    </row>
    <row r="123" spans="1:17" ht="12.75" customHeight="1" x14ac:dyDescent="0.2">
      <c r="A123" s="6"/>
      <c r="B123" s="10" t="s">
        <v>1156</v>
      </c>
      <c r="C123" s="20" t="s">
        <v>265</v>
      </c>
      <c r="D123" s="20" t="s">
        <v>1155</v>
      </c>
      <c r="E123" s="20" t="s">
        <v>312</v>
      </c>
      <c r="F123" s="20" t="s">
        <v>698</v>
      </c>
      <c r="G123" s="20" t="s">
        <v>60</v>
      </c>
      <c r="H123" s="20">
        <f>(3621.57*($L$8))</f>
        <v>19375.3995</v>
      </c>
      <c r="I123" s="20">
        <f>(3691.57*($L$8))</f>
        <v>19749.8995</v>
      </c>
      <c r="J123" s="20">
        <f>(3733.57*($L$8))</f>
        <v>19974.5995</v>
      </c>
      <c r="K123" s="20">
        <f>(3845.57*($L$8))</f>
        <v>20573.799500000001</v>
      </c>
      <c r="L123" s="20">
        <f>(3915.57*($L$8))</f>
        <v>20948.299500000001</v>
      </c>
      <c r="M123" s="20">
        <f>(3999.57*($L$8))</f>
        <v>21397.699499999999</v>
      </c>
      <c r="N123" s="20">
        <f>(4097.57*($L$8))</f>
        <v>21921.999499999998</v>
      </c>
      <c r="O123" s="20">
        <f>(4237.57*($L$8))</f>
        <v>22670.999499999998</v>
      </c>
      <c r="P123" s="20">
        <f>(4307.57*($L$8))</f>
        <v>23045.499499999998</v>
      </c>
      <c r="Q123" s="12">
        <f>(4587.57*($L$8))</f>
        <v>24543.499499999998</v>
      </c>
    </row>
    <row r="124" spans="1:17" ht="12.75" customHeight="1" x14ac:dyDescent="0.2">
      <c r="A124" s="6"/>
      <c r="B124" s="10" t="s">
        <v>1157</v>
      </c>
      <c r="C124" s="20" t="s">
        <v>270</v>
      </c>
      <c r="D124" s="20" t="s">
        <v>1155</v>
      </c>
      <c r="E124" s="20" t="s">
        <v>312</v>
      </c>
      <c r="F124" s="20" t="s">
        <v>698</v>
      </c>
      <c r="G124" s="20" t="s">
        <v>60</v>
      </c>
      <c r="H124" s="20">
        <f>(4181.84*($L$8))</f>
        <v>22372.844000000001</v>
      </c>
      <c r="I124" s="20">
        <f>(4261.84*($L$8))</f>
        <v>22800.844000000001</v>
      </c>
      <c r="J124" s="20">
        <f>(4309.84*($L$8))</f>
        <v>23057.644</v>
      </c>
      <c r="K124" s="20">
        <f>(4437.84*($L$8))</f>
        <v>23742.444</v>
      </c>
      <c r="L124" s="20">
        <f>(4517.84*($L$8))</f>
        <v>24170.444</v>
      </c>
      <c r="M124" s="20">
        <f>(4613.84*($L$8))</f>
        <v>24684.043999999998</v>
      </c>
      <c r="N124" s="20">
        <f>(4725.84*($L$8))</f>
        <v>25283.243999999999</v>
      </c>
      <c r="O124" s="20">
        <f>(4885.84*($L$8))</f>
        <v>26139.243999999999</v>
      </c>
      <c r="P124" s="20">
        <f>(4965.84*($L$8))</f>
        <v>26567.243999999999</v>
      </c>
      <c r="Q124" s="12">
        <f>(5285.84*($L$8))</f>
        <v>28279.243999999999</v>
      </c>
    </row>
    <row r="125" spans="1:17" ht="12.75" customHeight="1" x14ac:dyDescent="0.2">
      <c r="A125" s="6"/>
      <c r="B125" s="10" t="s">
        <v>1158</v>
      </c>
      <c r="C125" s="20" t="s">
        <v>86</v>
      </c>
      <c r="D125" s="20" t="s">
        <v>1155</v>
      </c>
      <c r="E125" s="20" t="s">
        <v>312</v>
      </c>
      <c r="F125" s="20" t="s">
        <v>698</v>
      </c>
      <c r="G125" s="20" t="s">
        <v>42</v>
      </c>
      <c r="H125" s="20">
        <f>(4635.1*($L$8))</f>
        <v>24797.785</v>
      </c>
      <c r="I125" s="20">
        <f>(4725.1*($L$8))</f>
        <v>25279.285</v>
      </c>
      <c r="J125" s="20">
        <f>(4779.1*($L$8))</f>
        <v>25568.185000000001</v>
      </c>
      <c r="K125" s="20">
        <f>(4923.1*($L$8))</f>
        <v>26338.584999999999</v>
      </c>
      <c r="L125" s="20">
        <f>(5013.1*($L$8))</f>
        <v>26820.084999999999</v>
      </c>
      <c r="M125" s="20">
        <f>(5121.1*($L$8))</f>
        <v>27397.884999999998</v>
      </c>
      <c r="N125" s="20">
        <f>(5247.1*($L$8))</f>
        <v>28071.985000000001</v>
      </c>
      <c r="O125" s="20">
        <f>(5427.1*($L$8))</f>
        <v>29034.985000000001</v>
      </c>
      <c r="P125" s="20">
        <f>(5517.1*($L$8))</f>
        <v>29516.485000000001</v>
      </c>
      <c r="Q125" s="12">
        <f>(5877.1*($L$8))</f>
        <v>31442.485000000001</v>
      </c>
    </row>
    <row r="126" spans="1:17" ht="12.75" customHeight="1" x14ac:dyDescent="0.2">
      <c r="A126" s="6"/>
      <c r="B126" s="10" t="s">
        <v>1159</v>
      </c>
      <c r="C126" s="20" t="s">
        <v>87</v>
      </c>
      <c r="D126" s="20" t="s">
        <v>1155</v>
      </c>
      <c r="E126" s="20" t="s">
        <v>312</v>
      </c>
      <c r="F126" s="20" t="s">
        <v>698</v>
      </c>
      <c r="G126" s="20" t="s">
        <v>262</v>
      </c>
      <c r="H126" s="20">
        <f>(4756.7*($L$8))</f>
        <v>25448.344999999998</v>
      </c>
      <c r="I126" s="20">
        <f>(4851.7*($L$8))</f>
        <v>25956.594999999998</v>
      </c>
      <c r="J126" s="20">
        <f>(4908.7*($L$8))</f>
        <v>26261.544999999998</v>
      </c>
      <c r="K126" s="20">
        <f>(5060.7*($L$8))</f>
        <v>27074.744999999999</v>
      </c>
      <c r="L126" s="20">
        <f>(5155.7*($L$8))</f>
        <v>27582.994999999999</v>
      </c>
      <c r="M126" s="20">
        <f>(5269.7*($L$8))</f>
        <v>28192.894999999997</v>
      </c>
      <c r="N126" s="20">
        <f>(5402.7*($L$8))</f>
        <v>28904.444999999996</v>
      </c>
      <c r="O126" s="20">
        <f>(5592.7*($L$8))</f>
        <v>29920.944999999996</v>
      </c>
      <c r="P126" s="20">
        <f>(5687.7*($L$8))</f>
        <v>30429.194999999996</v>
      </c>
      <c r="Q126" s="12">
        <f>(6067.7*($L$8))</f>
        <v>32462.194999999996</v>
      </c>
    </row>
    <row r="127" spans="1:17" ht="12.75" customHeight="1" x14ac:dyDescent="0.2">
      <c r="A127" s="6"/>
      <c r="B127" s="10" t="s">
        <v>1160</v>
      </c>
      <c r="C127" s="20" t="s">
        <v>40</v>
      </c>
      <c r="D127" s="20" t="s">
        <v>1155</v>
      </c>
      <c r="E127" s="20" t="s">
        <v>312</v>
      </c>
      <c r="F127" s="20" t="s">
        <v>698</v>
      </c>
      <c r="G127" s="20" t="s">
        <v>152</v>
      </c>
      <c r="H127" s="20">
        <f>(4945.74*($L$8))</f>
        <v>26459.708999999995</v>
      </c>
      <c r="I127" s="20">
        <f>(5045.74*($L$8))</f>
        <v>26994.708999999995</v>
      </c>
      <c r="J127" s="20">
        <f>(5105.74*($L$8))</f>
        <v>27315.708999999995</v>
      </c>
      <c r="K127" s="20">
        <f>(5265.74*($L$8))</f>
        <v>28171.708999999995</v>
      </c>
      <c r="L127" s="20">
        <f>(5365.74*($L$8))</f>
        <v>28706.708999999995</v>
      </c>
      <c r="M127" s="20">
        <f>(5485.74*($L$8))</f>
        <v>29348.708999999995</v>
      </c>
      <c r="N127" s="20">
        <f>(5625.74*($L$8))</f>
        <v>30097.708999999995</v>
      </c>
      <c r="O127" s="20">
        <f>(5825.74*($L$8))</f>
        <v>31167.708999999995</v>
      </c>
      <c r="P127" s="20">
        <f>(5925.74*($L$8))</f>
        <v>31702.708999999995</v>
      </c>
      <c r="Q127" s="12">
        <f>(6325.74*($L$8))</f>
        <v>33842.708999999995</v>
      </c>
    </row>
    <row r="128" spans="1:17" ht="12.75" customHeight="1" x14ac:dyDescent="0.2">
      <c r="A128" s="6"/>
      <c r="B128" s="10" t="s">
        <v>1161</v>
      </c>
      <c r="C128" s="20" t="s">
        <v>259</v>
      </c>
      <c r="D128" s="20" t="s">
        <v>1155</v>
      </c>
      <c r="E128" s="20" t="s">
        <v>312</v>
      </c>
      <c r="F128" s="20" t="s">
        <v>698</v>
      </c>
      <c r="G128" s="20" t="s">
        <v>166</v>
      </c>
      <c r="H128" s="20">
        <f>(5085.75*($L$8))</f>
        <v>27208.762499999997</v>
      </c>
      <c r="I128" s="20">
        <f>(5185.75*($L$8))</f>
        <v>27743.762499999997</v>
      </c>
      <c r="J128" s="20">
        <f>(5245.75*($L$8))</f>
        <v>28064.762499999997</v>
      </c>
      <c r="K128" s="20">
        <f>(5405.75*($L$8))</f>
        <v>28920.762499999997</v>
      </c>
      <c r="L128" s="20">
        <f>(5505.75*($L$8))</f>
        <v>29455.762499999997</v>
      </c>
      <c r="M128" s="20">
        <f>(5625.75*($L$8))</f>
        <v>30097.762499999997</v>
      </c>
      <c r="N128" s="20">
        <f>(5765.75*($L$8))</f>
        <v>30846.762499999997</v>
      </c>
      <c r="O128" s="20">
        <f>(5965.75*($L$8))</f>
        <v>31916.762499999997</v>
      </c>
      <c r="P128" s="20">
        <f>(6065.75*($L$8))</f>
        <v>32451.762499999997</v>
      </c>
      <c r="Q128" s="12">
        <f>(6465.75*($L$8))</f>
        <v>34591.762499999997</v>
      </c>
    </row>
    <row r="129" spans="1:17" ht="12.75" customHeight="1" x14ac:dyDescent="0.2">
      <c r="A129" s="6"/>
      <c r="B129" s="10" t="s">
        <v>1162</v>
      </c>
      <c r="C129" s="20" t="s">
        <v>165</v>
      </c>
      <c r="D129" s="20" t="s">
        <v>1155</v>
      </c>
      <c r="E129" s="20" t="s">
        <v>312</v>
      </c>
      <c r="F129" s="20" t="s">
        <v>698</v>
      </c>
      <c r="G129" s="20" t="s">
        <v>154</v>
      </c>
      <c r="H129" s="20">
        <f>(5237.19*($L$8))</f>
        <v>28018.966499999995</v>
      </c>
      <c r="I129" s="20">
        <f>(5347.19*($L$8))</f>
        <v>28607.466499999995</v>
      </c>
      <c r="J129" s="20">
        <f>(5413.19*($L$8))</f>
        <v>28960.566499999997</v>
      </c>
      <c r="K129" s="20">
        <f>(5589.19*($L$8))</f>
        <v>29902.166499999996</v>
      </c>
      <c r="L129" s="20">
        <f>(5699.19*($L$8))</f>
        <v>30490.666499999996</v>
      </c>
      <c r="M129" s="20">
        <f>(5831.19*($L$8))</f>
        <v>31196.866499999996</v>
      </c>
      <c r="N129" s="20">
        <f>(5985.19*($L$8))</f>
        <v>32020.766499999994</v>
      </c>
      <c r="O129" s="20">
        <f>(6205.19*($L$8))</f>
        <v>33197.766499999998</v>
      </c>
      <c r="P129" s="20">
        <f>(6315.19*($L$8))</f>
        <v>33786.266499999998</v>
      </c>
      <c r="Q129" s="12">
        <f>(6755.19*($L$8))</f>
        <v>36140.266499999998</v>
      </c>
    </row>
    <row r="130" spans="1:17" ht="12.75" customHeight="1" x14ac:dyDescent="0.2">
      <c r="A130" s="6"/>
      <c r="B130" s="10" t="s">
        <v>1163</v>
      </c>
      <c r="C130" s="20" t="s">
        <v>168</v>
      </c>
      <c r="D130" s="20" t="s">
        <v>1155</v>
      </c>
      <c r="E130" s="20" t="s">
        <v>312</v>
      </c>
      <c r="F130" s="20" t="s">
        <v>698</v>
      </c>
      <c r="G130" s="20" t="s">
        <v>157</v>
      </c>
      <c r="H130" s="20">
        <f>(5397.99*($L$8))</f>
        <v>28879.246499999997</v>
      </c>
      <c r="I130" s="20">
        <f>(5512.99*($L$8))</f>
        <v>29494.496499999997</v>
      </c>
      <c r="J130" s="20">
        <f>(5581.99*($L$8))</f>
        <v>29863.646499999995</v>
      </c>
      <c r="K130" s="20">
        <f>(5765.99*($L$8))</f>
        <v>30848.046499999997</v>
      </c>
      <c r="L130" s="20">
        <f>(5880.99*($L$8))</f>
        <v>31463.296499999997</v>
      </c>
      <c r="M130" s="20">
        <f>(6018.99*($L$8))</f>
        <v>32201.596499999996</v>
      </c>
      <c r="N130" s="20">
        <f>(6179.99*($L$8))</f>
        <v>33062.946499999998</v>
      </c>
      <c r="O130" s="20">
        <f>(6409.99*($L$8))</f>
        <v>34293.446499999998</v>
      </c>
      <c r="P130" s="20">
        <f>(6524.99*($L$8))</f>
        <v>34908.696499999998</v>
      </c>
      <c r="Q130" s="12">
        <f>(6984.99*($L$8))</f>
        <v>37369.696499999998</v>
      </c>
    </row>
    <row r="131" spans="1:17" ht="12.75" customHeight="1" x14ac:dyDescent="0.2">
      <c r="A131" s="6"/>
      <c r="B131" s="10" t="s">
        <v>1164</v>
      </c>
      <c r="C131" s="20" t="s">
        <v>170</v>
      </c>
      <c r="D131" s="20" t="s">
        <v>1155</v>
      </c>
      <c r="E131" s="20" t="s">
        <v>312</v>
      </c>
      <c r="F131" s="20" t="s">
        <v>698</v>
      </c>
      <c r="G131" s="20" t="s">
        <v>160</v>
      </c>
      <c r="H131" s="20">
        <f>(5606.66*($L$8))</f>
        <v>29995.630999999998</v>
      </c>
      <c r="I131" s="20">
        <f>(5726.66*($L$8))</f>
        <v>30637.630999999998</v>
      </c>
      <c r="J131" s="20">
        <f>(5798.66*($L$8))</f>
        <v>31022.830999999998</v>
      </c>
      <c r="K131" s="20">
        <f>(5990.66*($L$8))</f>
        <v>32050.030999999995</v>
      </c>
      <c r="L131" s="20">
        <f>(6110.66*($L$8))</f>
        <v>32692.030999999995</v>
      </c>
      <c r="M131" s="20">
        <f>(6254.66*($L$8))</f>
        <v>33462.430999999997</v>
      </c>
      <c r="N131" s="20">
        <f>(6422.66*($L$8))</f>
        <v>34361.231</v>
      </c>
      <c r="O131" s="20">
        <f>(6662.66*($L$8))</f>
        <v>35645.231</v>
      </c>
      <c r="P131" s="20">
        <f>(6782.66*($L$8))</f>
        <v>36287.231</v>
      </c>
      <c r="Q131" s="12">
        <f>(7262.66*($L$8))</f>
        <v>38855.231</v>
      </c>
    </row>
    <row r="132" spans="1:17" ht="30" customHeight="1" x14ac:dyDescent="0.35">
      <c r="A132" s="6"/>
      <c r="B132" s="23" t="s">
        <v>1165</v>
      </c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5"/>
    </row>
    <row r="133" spans="1:17" ht="12.75" customHeight="1" x14ac:dyDescent="0.2">
      <c r="A133" s="7" t="s">
        <v>6</v>
      </c>
      <c r="B133" s="8" t="s">
        <v>7</v>
      </c>
      <c r="C133" s="8" t="s">
        <v>8</v>
      </c>
      <c r="D133" s="8" t="s">
        <v>9</v>
      </c>
      <c r="E133" s="8" t="s">
        <v>10</v>
      </c>
      <c r="F133" s="8" t="s">
        <v>11</v>
      </c>
      <c r="G133" s="8" t="s">
        <v>12</v>
      </c>
      <c r="H133" s="8" t="s">
        <v>13</v>
      </c>
      <c r="I133" s="8" t="s">
        <v>14</v>
      </c>
      <c r="J133" s="8" t="s">
        <v>15</v>
      </c>
      <c r="K133" s="8" t="s">
        <v>16</v>
      </c>
      <c r="L133" s="8" t="s">
        <v>17</v>
      </c>
      <c r="M133" s="8" t="s">
        <v>18</v>
      </c>
      <c r="N133" s="8" t="s">
        <v>19</v>
      </c>
      <c r="O133" s="8" t="s">
        <v>20</v>
      </c>
      <c r="P133" s="8" t="s">
        <v>21</v>
      </c>
      <c r="Q133" s="9" t="s">
        <v>22</v>
      </c>
    </row>
    <row r="134" spans="1:17" ht="12.75" customHeight="1" x14ac:dyDescent="0.2">
      <c r="A134" s="6"/>
      <c r="B134" s="10" t="s">
        <v>1166</v>
      </c>
      <c r="C134" s="20" t="s">
        <v>137</v>
      </c>
      <c r="D134" s="20" t="s">
        <v>1167</v>
      </c>
      <c r="E134" s="20" t="s">
        <v>312</v>
      </c>
      <c r="F134" s="20" t="s">
        <v>210</v>
      </c>
      <c r="G134" s="20" t="s">
        <v>54</v>
      </c>
      <c r="H134" s="20">
        <f>(5808.05*($L$8))</f>
        <v>31073.067499999997</v>
      </c>
      <c r="I134" s="20">
        <f>(5883.05*($L$8))</f>
        <v>31474.317499999997</v>
      </c>
      <c r="J134" s="20">
        <f>(5928.05*($L$8))</f>
        <v>31715.067499999997</v>
      </c>
      <c r="K134" s="20">
        <f>(6048.05*($L$8))</f>
        <v>32357.067499999997</v>
      </c>
      <c r="L134" s="20">
        <f>(6123.05*($L$8))</f>
        <v>32758.317499999997</v>
      </c>
      <c r="M134" s="20">
        <f>(6213.05*($L$8))</f>
        <v>33239.817499999997</v>
      </c>
      <c r="N134" s="20">
        <f>(6318.05*($L$8))</f>
        <v>33801.567499999997</v>
      </c>
      <c r="O134" s="20">
        <f>(6468.05*($L$8))</f>
        <v>34604.067499999997</v>
      </c>
      <c r="P134" s="20">
        <f>(6543.05*($L$8))</f>
        <v>35005.317499999997</v>
      </c>
      <c r="Q134" s="12">
        <f>(6843.05*($L$8))</f>
        <v>36610.317499999997</v>
      </c>
    </row>
    <row r="135" spans="1:17" ht="12.75" customHeight="1" x14ac:dyDescent="0.2">
      <c r="A135" s="6"/>
      <c r="B135" s="10" t="s">
        <v>1168</v>
      </c>
      <c r="C135" s="20" t="s">
        <v>292</v>
      </c>
      <c r="D135" s="20" t="s">
        <v>1167</v>
      </c>
      <c r="E135" s="20" t="s">
        <v>312</v>
      </c>
      <c r="F135" s="20" t="s">
        <v>210</v>
      </c>
      <c r="G135" s="20" t="s">
        <v>38</v>
      </c>
      <c r="H135" s="20">
        <f>(6038.33*($L$8))</f>
        <v>32305.065499999997</v>
      </c>
      <c r="I135" s="20">
        <f>(6118.33*($L$8))</f>
        <v>32733.065499999997</v>
      </c>
      <c r="J135" s="20">
        <f>(6166.33*($L$8))</f>
        <v>32989.8655</v>
      </c>
      <c r="K135" s="20">
        <f>(6294.33*($L$8))</f>
        <v>33674.665499999996</v>
      </c>
      <c r="L135" s="20">
        <f>(6374.33*($L$8))</f>
        <v>34102.665499999996</v>
      </c>
      <c r="M135" s="20">
        <f>(6470.33*($L$8))</f>
        <v>34616.265499999994</v>
      </c>
      <c r="N135" s="20">
        <f>(6582.33*($L$8))</f>
        <v>35215.465499999998</v>
      </c>
      <c r="O135" s="20">
        <f>(6742.33*($L$8))</f>
        <v>36071.465499999998</v>
      </c>
      <c r="P135" s="20">
        <f>(6822.33*($L$8))</f>
        <v>36499.465499999998</v>
      </c>
      <c r="Q135" s="12">
        <f>(7142.33*($L$8))</f>
        <v>38211.465499999998</v>
      </c>
    </row>
    <row r="136" spans="1:17" ht="12.75" customHeight="1" x14ac:dyDescent="0.2">
      <c r="A136" s="6"/>
      <c r="B136" s="10" t="s">
        <v>1169</v>
      </c>
      <c r="C136" s="20" t="s">
        <v>273</v>
      </c>
      <c r="D136" s="20" t="s">
        <v>1167</v>
      </c>
      <c r="E136" s="20" t="s">
        <v>312</v>
      </c>
      <c r="F136" s="20" t="s">
        <v>210</v>
      </c>
      <c r="G136" s="20" t="s">
        <v>60</v>
      </c>
      <c r="H136" s="20">
        <f>(6207.09*($L$8))</f>
        <v>33207.931499999999</v>
      </c>
      <c r="I136" s="20">
        <f>(6292.09*($L$8))</f>
        <v>33662.681499999999</v>
      </c>
      <c r="J136" s="20">
        <f>(6343.09*($L$8))</f>
        <v>33935.531499999997</v>
      </c>
      <c r="K136" s="20">
        <f>(6479.09*($L$8))</f>
        <v>34663.131499999996</v>
      </c>
      <c r="L136" s="20">
        <f>(6564.09*($L$8))</f>
        <v>35117.881499999996</v>
      </c>
      <c r="M136" s="20">
        <f>(6666.09*($L$8))</f>
        <v>35663.5815</v>
      </c>
      <c r="N136" s="20">
        <f>(6785.09*($L$8))</f>
        <v>36300.231500000002</v>
      </c>
      <c r="O136" s="20">
        <f>(6955.09*($L$8))</f>
        <v>37209.731500000002</v>
      </c>
      <c r="P136" s="20">
        <f>(7040.09*($L$8))</f>
        <v>37664.481500000002</v>
      </c>
      <c r="Q136" s="12">
        <f>(7380.09*($L$8))</f>
        <v>39483.481500000002</v>
      </c>
    </row>
    <row r="137" spans="1:17" ht="12.75" customHeight="1" x14ac:dyDescent="0.2">
      <c r="A137" s="6"/>
      <c r="B137" s="10" t="s">
        <v>1170</v>
      </c>
      <c r="C137" s="20" t="s">
        <v>278</v>
      </c>
      <c r="D137" s="20" t="s">
        <v>1167</v>
      </c>
      <c r="E137" s="20" t="s">
        <v>312</v>
      </c>
      <c r="F137" s="20" t="s">
        <v>210</v>
      </c>
      <c r="G137" s="20" t="s">
        <v>42</v>
      </c>
      <c r="H137" s="20">
        <f>(6379.21*($L$8))</f>
        <v>34128.773499999996</v>
      </c>
      <c r="I137" s="20">
        <f>(6469.21*($L$8))</f>
        <v>34610.273499999996</v>
      </c>
      <c r="J137" s="20">
        <f>(6523.21*($L$8))</f>
        <v>34899.173499999997</v>
      </c>
      <c r="K137" s="20">
        <f>(6667.21*($L$8))</f>
        <v>35669.573499999999</v>
      </c>
      <c r="L137" s="20">
        <f>(6757.21*($L$8))</f>
        <v>36151.073499999999</v>
      </c>
      <c r="M137" s="20">
        <f>(6865.21*($L$8))</f>
        <v>36728.873499999994</v>
      </c>
      <c r="N137" s="20">
        <f>(6991.21*($L$8))</f>
        <v>37402.9735</v>
      </c>
      <c r="O137" s="20">
        <f>(7171.21*($L$8))</f>
        <v>38365.9735</v>
      </c>
      <c r="P137" s="20">
        <f>(7261.21*($L$8))</f>
        <v>38847.4735</v>
      </c>
      <c r="Q137" s="12">
        <f>(7621.21*($L$8))</f>
        <v>40773.4735</v>
      </c>
    </row>
    <row r="138" spans="1:17" ht="12.75" customHeight="1" x14ac:dyDescent="0.2">
      <c r="A138" s="6"/>
      <c r="B138" s="10" t="s">
        <v>1171</v>
      </c>
      <c r="C138" s="20" t="s">
        <v>280</v>
      </c>
      <c r="D138" s="20" t="s">
        <v>1167</v>
      </c>
      <c r="E138" s="20" t="s">
        <v>312</v>
      </c>
      <c r="F138" s="20" t="s">
        <v>210</v>
      </c>
      <c r="G138" s="20" t="s">
        <v>262</v>
      </c>
      <c r="H138" s="20">
        <f>(6552.81*($L$8))</f>
        <v>35057.533499999998</v>
      </c>
      <c r="I138" s="20">
        <f>(6647.81*($L$8))</f>
        <v>35565.783499999998</v>
      </c>
      <c r="J138" s="20">
        <f>(6704.81*($L$8))</f>
        <v>35870.733500000002</v>
      </c>
      <c r="K138" s="20">
        <f>(6856.81*($L$8))</f>
        <v>36683.933499999999</v>
      </c>
      <c r="L138" s="20">
        <f>(6951.81*($L$8))</f>
        <v>37192.183499999999</v>
      </c>
      <c r="M138" s="20">
        <f>(7065.81*($L$8))</f>
        <v>37802.083500000001</v>
      </c>
      <c r="N138" s="20">
        <f>(7198.81*($L$8))</f>
        <v>38513.633499999996</v>
      </c>
      <c r="O138" s="20">
        <f>(7388.81*($L$8))</f>
        <v>39530.133499999996</v>
      </c>
      <c r="P138" s="20">
        <f>(7483.81*($L$8))</f>
        <v>40038.383499999996</v>
      </c>
      <c r="Q138" s="12">
        <f>(7863.81*($L$8))</f>
        <v>42071.383499999996</v>
      </c>
    </row>
    <row r="139" spans="1:17" ht="12.75" customHeight="1" x14ac:dyDescent="0.2">
      <c r="A139" s="6"/>
      <c r="B139" s="10" t="s">
        <v>1172</v>
      </c>
      <c r="C139" s="20" t="s">
        <v>236</v>
      </c>
      <c r="D139" s="20" t="s">
        <v>1167</v>
      </c>
      <c r="E139" s="20" t="s">
        <v>312</v>
      </c>
      <c r="F139" s="20" t="s">
        <v>210</v>
      </c>
      <c r="G139" s="20" t="s">
        <v>152</v>
      </c>
      <c r="H139" s="20">
        <f>(6718.51*($L$8))</f>
        <v>35944.0285</v>
      </c>
      <c r="I139" s="20">
        <f>(6818.51*($L$8))</f>
        <v>36479.0285</v>
      </c>
      <c r="J139" s="20">
        <f>(6878.51*($L$8))</f>
        <v>36800.0285</v>
      </c>
      <c r="K139" s="20">
        <f>(7038.51*($L$8))</f>
        <v>37656.0285</v>
      </c>
      <c r="L139" s="20">
        <f>(7138.51*($L$8))</f>
        <v>38191.0285</v>
      </c>
      <c r="M139" s="20">
        <f>(7258.51*($L$8))</f>
        <v>38833.0285</v>
      </c>
      <c r="N139" s="20">
        <f>(7398.51*($L$8))</f>
        <v>39582.0285</v>
      </c>
      <c r="O139" s="20">
        <f>(7598.51*($L$8))</f>
        <v>40652.0285</v>
      </c>
      <c r="P139" s="20">
        <f>(7698.51*($L$8))</f>
        <v>41187.0285</v>
      </c>
      <c r="Q139" s="12">
        <f>(8098.51*($L$8))</f>
        <v>43327.0285</v>
      </c>
    </row>
    <row r="140" spans="1:17" ht="30" customHeight="1" x14ac:dyDescent="0.35">
      <c r="A140" s="6"/>
      <c r="B140" s="23" t="s">
        <v>1173</v>
      </c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5"/>
    </row>
    <row r="141" spans="1:17" ht="12.75" customHeight="1" x14ac:dyDescent="0.2">
      <c r="A141" s="7" t="s">
        <v>6</v>
      </c>
      <c r="B141" s="8" t="s">
        <v>7</v>
      </c>
      <c r="C141" s="8" t="s">
        <v>8</v>
      </c>
      <c r="D141" s="8" t="s">
        <v>9</v>
      </c>
      <c r="E141" s="8" t="s">
        <v>10</v>
      </c>
      <c r="F141" s="8" t="s">
        <v>11</v>
      </c>
      <c r="G141" s="8" t="s">
        <v>12</v>
      </c>
      <c r="H141" s="8" t="s">
        <v>13</v>
      </c>
      <c r="I141" s="8" t="s">
        <v>14</v>
      </c>
      <c r="J141" s="8" t="s">
        <v>15</v>
      </c>
      <c r="K141" s="8" t="s">
        <v>16</v>
      </c>
      <c r="L141" s="8" t="s">
        <v>17</v>
      </c>
      <c r="M141" s="8" t="s">
        <v>18</v>
      </c>
      <c r="N141" s="8" t="s">
        <v>19</v>
      </c>
      <c r="O141" s="8" t="s">
        <v>20</v>
      </c>
      <c r="P141" s="8" t="s">
        <v>21</v>
      </c>
      <c r="Q141" s="9" t="s">
        <v>22</v>
      </c>
    </row>
    <row r="142" spans="1:17" ht="12.75" customHeight="1" x14ac:dyDescent="0.2">
      <c r="A142" s="6"/>
      <c r="B142" s="10" t="s">
        <v>1174</v>
      </c>
      <c r="C142" s="20" t="s">
        <v>137</v>
      </c>
      <c r="D142" s="20" t="s">
        <v>149</v>
      </c>
      <c r="E142" s="20" t="s">
        <v>312</v>
      </c>
      <c r="F142" s="20" t="s">
        <v>646</v>
      </c>
      <c r="G142" s="20" t="s">
        <v>152</v>
      </c>
      <c r="H142" s="20">
        <f>(6820.66*($L$8))</f>
        <v>36490.530999999995</v>
      </c>
      <c r="I142" s="20">
        <f>(6900.66*($L$8))</f>
        <v>36918.530999999995</v>
      </c>
      <c r="J142" s="20">
        <f>(6948.66*($L$8))</f>
        <v>37175.330999999998</v>
      </c>
      <c r="K142" s="20">
        <f>(7076.66*($L$8))</f>
        <v>37860.130999999994</v>
      </c>
      <c r="L142" s="20">
        <f>(7156.66*($L$8))</f>
        <v>38288.130999999994</v>
      </c>
      <c r="M142" s="20">
        <f>(7252.66*($L$8))</f>
        <v>38801.731</v>
      </c>
      <c r="N142" s="20">
        <f>(7364.66*($L$8))</f>
        <v>39400.930999999997</v>
      </c>
      <c r="O142" s="20">
        <f>(7524.66*($L$8))</f>
        <v>40256.930999999997</v>
      </c>
      <c r="P142" s="20">
        <f>(7604.66*($L$8))</f>
        <v>40684.930999999997</v>
      </c>
      <c r="Q142" s="12">
        <f>(7924.66*($L$8))</f>
        <v>42396.930999999997</v>
      </c>
    </row>
    <row r="143" spans="1:17" ht="12.75" customHeight="1" x14ac:dyDescent="0.2">
      <c r="A143" s="6"/>
      <c r="B143" s="10" t="s">
        <v>1175</v>
      </c>
      <c r="C143" s="20" t="s">
        <v>292</v>
      </c>
      <c r="D143" s="20" t="s">
        <v>149</v>
      </c>
      <c r="E143" s="20" t="s">
        <v>312</v>
      </c>
      <c r="F143" s="20" t="s">
        <v>646</v>
      </c>
      <c r="G143" s="20" t="s">
        <v>154</v>
      </c>
      <c r="H143" s="20">
        <f>(7346.15*($L$8))</f>
        <v>39301.902499999997</v>
      </c>
      <c r="I143" s="20">
        <f>(7436.15*($L$8))</f>
        <v>39783.402499999997</v>
      </c>
      <c r="J143" s="20">
        <f>(7490.15*($L$8))</f>
        <v>40072.302499999998</v>
      </c>
      <c r="K143" s="20">
        <f>(7634.15*($L$8))</f>
        <v>40842.702499999992</v>
      </c>
      <c r="L143" s="20">
        <f>(7724.15*($L$8))</f>
        <v>41324.202499999992</v>
      </c>
      <c r="M143" s="20">
        <f>(7832.15*($L$8))</f>
        <v>41902.002499999995</v>
      </c>
      <c r="N143" s="20">
        <f>(7958.15*($L$8))</f>
        <v>42576.102499999994</v>
      </c>
      <c r="O143" s="20">
        <f>(8138.15*($L$8))</f>
        <v>43539.102499999994</v>
      </c>
      <c r="P143" s="20">
        <f>(8228.15*($L$8))</f>
        <v>44020.602499999994</v>
      </c>
      <c r="Q143" s="12">
        <f>(8588.15*($L$8))</f>
        <v>45946.602499999994</v>
      </c>
    </row>
    <row r="144" spans="1:17" ht="12.75" customHeight="1" x14ac:dyDescent="0.2">
      <c r="A144" s="6"/>
      <c r="B144" s="10" t="s">
        <v>1176</v>
      </c>
      <c r="C144" s="20" t="s">
        <v>273</v>
      </c>
      <c r="D144" s="20" t="s">
        <v>149</v>
      </c>
      <c r="E144" s="20" t="s">
        <v>312</v>
      </c>
      <c r="F144" s="20" t="s">
        <v>646</v>
      </c>
      <c r="G144" s="20" t="s">
        <v>160</v>
      </c>
      <c r="H144" s="20">
        <f>(7797.73*($L$8))</f>
        <v>41717.855499999998</v>
      </c>
      <c r="I144" s="20">
        <f>(7892.73*($L$8))</f>
        <v>42226.105499999998</v>
      </c>
      <c r="J144" s="20">
        <f>(7949.73*($L$8))</f>
        <v>42531.055499999995</v>
      </c>
      <c r="K144" s="20">
        <f>(8101.73*($L$8))</f>
        <v>43344.255499999992</v>
      </c>
      <c r="L144" s="20">
        <f>(8196.73*($L$8))</f>
        <v>43852.505499999992</v>
      </c>
      <c r="M144" s="20">
        <f>(8310.73*($L$8))</f>
        <v>44462.405499999993</v>
      </c>
      <c r="N144" s="20">
        <f>(8443.73*($L$8))</f>
        <v>45173.955499999996</v>
      </c>
      <c r="O144" s="20">
        <f>(8633.73*($L$8))</f>
        <v>46190.455499999996</v>
      </c>
      <c r="P144" s="20">
        <f>(8728.73*($L$8))</f>
        <v>46698.705499999996</v>
      </c>
      <c r="Q144" s="12">
        <f>(9108.73*($L$8))</f>
        <v>48731.705499999996</v>
      </c>
    </row>
    <row r="145" spans="1:17" ht="12.75" customHeight="1" x14ac:dyDescent="0.2">
      <c r="A145" s="6"/>
      <c r="B145" s="10" t="s">
        <v>1177</v>
      </c>
      <c r="C145" s="20" t="s">
        <v>278</v>
      </c>
      <c r="D145" s="20" t="s">
        <v>149</v>
      </c>
      <c r="E145" s="20" t="s">
        <v>312</v>
      </c>
      <c r="F145" s="20" t="s">
        <v>646</v>
      </c>
      <c r="G145" s="20" t="s">
        <v>182</v>
      </c>
      <c r="H145" s="20">
        <f>(8134.66*($L$8))</f>
        <v>43520.430999999997</v>
      </c>
      <c r="I145" s="20">
        <f>(8234.66*($L$8))</f>
        <v>44055.430999999997</v>
      </c>
      <c r="J145" s="20">
        <f>(8294.66*($L$8))</f>
        <v>44376.430999999997</v>
      </c>
      <c r="K145" s="20">
        <f>(8454.66*($L$8))</f>
        <v>45232.430999999997</v>
      </c>
      <c r="L145" s="20">
        <f>(8554.66*($L$8))</f>
        <v>45767.430999999997</v>
      </c>
      <c r="M145" s="20">
        <f>(8674.66*($L$8))</f>
        <v>46409.430999999997</v>
      </c>
      <c r="N145" s="20">
        <f>(8814.66*($L$8))</f>
        <v>47158.430999999997</v>
      </c>
      <c r="O145" s="20">
        <f>(9014.66*($L$8))</f>
        <v>48228.430999999997</v>
      </c>
      <c r="P145" s="20">
        <f>(9114.66*($L$8))</f>
        <v>48763.430999999997</v>
      </c>
      <c r="Q145" s="12">
        <f>(9514.66*($L$8))</f>
        <v>50903.430999999997</v>
      </c>
    </row>
    <row r="146" spans="1:17" ht="12.75" customHeight="1" x14ac:dyDescent="0.2">
      <c r="A146" s="6"/>
      <c r="B146" s="10" t="s">
        <v>1178</v>
      </c>
      <c r="C146" s="20" t="s">
        <v>236</v>
      </c>
      <c r="D146" s="20" t="s">
        <v>149</v>
      </c>
      <c r="E146" s="20" t="s">
        <v>312</v>
      </c>
      <c r="F146" s="20" t="s">
        <v>646</v>
      </c>
      <c r="G146" s="20" t="s">
        <v>231</v>
      </c>
      <c r="H146" s="20">
        <f>(8717.3*($L$8))</f>
        <v>46637.554999999993</v>
      </c>
      <c r="I146" s="20">
        <f>(8827.3*($L$8))</f>
        <v>47226.054999999993</v>
      </c>
      <c r="J146" s="20">
        <f>(8893.3*($L$8))</f>
        <v>47579.154999999992</v>
      </c>
      <c r="K146" s="20">
        <f>(9069.3*($L$8))</f>
        <v>48520.75499999999</v>
      </c>
      <c r="L146" s="20">
        <f>(9179.3*($L$8))</f>
        <v>49109.25499999999</v>
      </c>
      <c r="M146" s="20">
        <f>(9311.3*($L$8))</f>
        <v>49815.454999999994</v>
      </c>
      <c r="N146" s="20">
        <f>(9465.3*($L$8))</f>
        <v>50639.354999999996</v>
      </c>
      <c r="O146" s="20">
        <f>(9685.3*($L$8))</f>
        <v>51816.354999999996</v>
      </c>
      <c r="P146" s="20">
        <f>(9795.3*($L$8))</f>
        <v>52404.854999999996</v>
      </c>
      <c r="Q146" s="12">
        <f>(10235.3*($L$8))</f>
        <v>54758.854999999996</v>
      </c>
    </row>
    <row r="147" spans="1:17" ht="12.75" customHeight="1" x14ac:dyDescent="0.2">
      <c r="A147" s="6"/>
      <c r="B147" s="10" t="s">
        <v>1179</v>
      </c>
      <c r="C147" s="20" t="s">
        <v>278</v>
      </c>
      <c r="D147" s="20" t="s">
        <v>149</v>
      </c>
      <c r="E147" s="20" t="s">
        <v>312</v>
      </c>
      <c r="F147" s="20" t="s">
        <v>646</v>
      </c>
      <c r="G147" s="20" t="s">
        <v>152</v>
      </c>
      <c r="H147" s="20">
        <f>(6820.66*($L$8))</f>
        <v>36490.530999999995</v>
      </c>
      <c r="I147" s="20">
        <f>(6900.66*($L$8))</f>
        <v>36918.530999999995</v>
      </c>
      <c r="J147" s="20">
        <f>(6948.66*($L$8))</f>
        <v>37175.330999999998</v>
      </c>
      <c r="K147" s="20">
        <f>(7076.66*($L$8))</f>
        <v>37860.130999999994</v>
      </c>
      <c r="L147" s="20">
        <f>(7156.66*($L$8))</f>
        <v>38288.130999999994</v>
      </c>
      <c r="M147" s="20">
        <f>(7252.66*($L$8))</f>
        <v>38801.731</v>
      </c>
      <c r="N147" s="20">
        <f>(7364.66*($L$8))</f>
        <v>39400.930999999997</v>
      </c>
      <c r="O147" s="20">
        <f>(7524.66*($L$8))</f>
        <v>40256.930999999997</v>
      </c>
      <c r="P147" s="20">
        <f>(7604.66*($L$8))</f>
        <v>40684.930999999997</v>
      </c>
      <c r="Q147" s="12">
        <f>(7924.66*($L$8))</f>
        <v>42396.930999999997</v>
      </c>
    </row>
    <row r="148" spans="1:17" ht="12.75" customHeight="1" x14ac:dyDescent="0.2">
      <c r="A148" s="6"/>
      <c r="B148" s="10" t="s">
        <v>1180</v>
      </c>
      <c r="C148" s="20" t="s">
        <v>280</v>
      </c>
      <c r="D148" s="20" t="s">
        <v>149</v>
      </c>
      <c r="E148" s="20" t="s">
        <v>312</v>
      </c>
      <c r="F148" s="20" t="s">
        <v>646</v>
      </c>
      <c r="G148" s="20" t="s">
        <v>154</v>
      </c>
      <c r="H148" s="20">
        <f>(7346.15*($L$8))</f>
        <v>39301.902499999997</v>
      </c>
      <c r="I148" s="20">
        <f>(7436.15*($L$8))</f>
        <v>39783.402499999997</v>
      </c>
      <c r="J148" s="20">
        <f>(7490.15*($L$8))</f>
        <v>40072.302499999998</v>
      </c>
      <c r="K148" s="20">
        <f>(7634.15*($L$8))</f>
        <v>40842.702499999992</v>
      </c>
      <c r="L148" s="20">
        <f>(7724.15*($L$8))</f>
        <v>41324.202499999992</v>
      </c>
      <c r="M148" s="20">
        <f>(7832.15*($L$8))</f>
        <v>41902.002499999995</v>
      </c>
      <c r="N148" s="20">
        <f>(7958.15*($L$8))</f>
        <v>42576.102499999994</v>
      </c>
      <c r="O148" s="20">
        <f>(8138.15*($L$8))</f>
        <v>43539.102499999994</v>
      </c>
      <c r="P148" s="20">
        <f>(8228.15*($L$8))</f>
        <v>44020.602499999994</v>
      </c>
      <c r="Q148" s="12">
        <f>(8588.15*($L$8))</f>
        <v>45946.602499999994</v>
      </c>
    </row>
    <row r="149" spans="1:17" ht="12.75" customHeight="1" x14ac:dyDescent="0.2">
      <c r="A149" s="6"/>
      <c r="B149" s="10" t="s">
        <v>1181</v>
      </c>
      <c r="C149" s="20" t="s">
        <v>236</v>
      </c>
      <c r="D149" s="20" t="s">
        <v>149</v>
      </c>
      <c r="E149" s="20" t="s">
        <v>312</v>
      </c>
      <c r="F149" s="20" t="s">
        <v>646</v>
      </c>
      <c r="G149" s="20" t="s">
        <v>160</v>
      </c>
      <c r="H149" s="20">
        <f>(7797.73*($L$8))</f>
        <v>41717.855499999998</v>
      </c>
      <c r="I149" s="20">
        <f>(7892.73*($L$8))</f>
        <v>42226.105499999998</v>
      </c>
      <c r="J149" s="20">
        <f>(7949.73*($L$8))</f>
        <v>42531.055499999995</v>
      </c>
      <c r="K149" s="20">
        <f>(8101.73*($L$8))</f>
        <v>43344.255499999992</v>
      </c>
      <c r="L149" s="20">
        <f>(8196.73*($L$8))</f>
        <v>43852.505499999992</v>
      </c>
      <c r="M149" s="20">
        <f>(8310.73*($L$8))</f>
        <v>44462.405499999993</v>
      </c>
      <c r="N149" s="20">
        <f>(8443.73*($L$8))</f>
        <v>45173.955499999996</v>
      </c>
      <c r="O149" s="20">
        <f>(8633.73*($L$8))</f>
        <v>46190.455499999996</v>
      </c>
      <c r="P149" s="20">
        <f>(8728.73*($L$8))</f>
        <v>46698.705499999996</v>
      </c>
      <c r="Q149" s="12">
        <f>(9108.73*($L$8))</f>
        <v>48731.705499999996</v>
      </c>
    </row>
    <row r="150" spans="1:17" ht="12.75" customHeight="1" x14ac:dyDescent="0.2">
      <c r="A150" s="6"/>
      <c r="B150" s="10" t="s">
        <v>1182</v>
      </c>
      <c r="C150" s="20" t="s">
        <v>282</v>
      </c>
      <c r="D150" s="20" t="s">
        <v>149</v>
      </c>
      <c r="E150" s="20" t="s">
        <v>312</v>
      </c>
      <c r="F150" s="20" t="s">
        <v>646</v>
      </c>
      <c r="G150" s="20" t="s">
        <v>182</v>
      </c>
      <c r="H150" s="20">
        <f>(8134.66*($L$8))</f>
        <v>43520.430999999997</v>
      </c>
      <c r="I150" s="20">
        <f>(8234.66*($L$8))</f>
        <v>44055.430999999997</v>
      </c>
      <c r="J150" s="20">
        <f>(8294.66*($L$8))</f>
        <v>44376.430999999997</v>
      </c>
      <c r="K150" s="20">
        <f>(8454.66*($L$8))</f>
        <v>45232.430999999997</v>
      </c>
      <c r="L150" s="20">
        <f>(8554.66*($L$8))</f>
        <v>45767.430999999997</v>
      </c>
      <c r="M150" s="20">
        <f>(8674.66*($L$8))</f>
        <v>46409.430999999997</v>
      </c>
      <c r="N150" s="20">
        <f>(8814.66*($L$8))</f>
        <v>47158.430999999997</v>
      </c>
      <c r="O150" s="20">
        <f>(9014.66*($L$8))</f>
        <v>48228.430999999997</v>
      </c>
      <c r="P150" s="20">
        <f>(9114.66*($L$8))</f>
        <v>48763.430999999997</v>
      </c>
      <c r="Q150" s="12">
        <f>(9514.66*($L$8))</f>
        <v>50903.430999999997</v>
      </c>
    </row>
    <row r="151" spans="1:17" ht="12.75" customHeight="1" x14ac:dyDescent="0.2">
      <c r="A151" s="6"/>
      <c r="B151" s="10" t="s">
        <v>1183</v>
      </c>
      <c r="C151" s="20" t="s">
        <v>285</v>
      </c>
      <c r="D151" s="20" t="s">
        <v>149</v>
      </c>
      <c r="E151" s="20" t="s">
        <v>312</v>
      </c>
      <c r="F151" s="20" t="s">
        <v>646</v>
      </c>
      <c r="G151" s="20" t="s">
        <v>229</v>
      </c>
      <c r="H151" s="20">
        <f>(8514.62*($L$8))</f>
        <v>45553.217000000004</v>
      </c>
      <c r="I151" s="20">
        <f>(8619.62*($L$8))</f>
        <v>46114.967000000004</v>
      </c>
      <c r="J151" s="20">
        <f>(8682.62*($L$8))</f>
        <v>46452.017</v>
      </c>
      <c r="K151" s="20">
        <f>(8850.62*($L$8))</f>
        <v>47350.817000000003</v>
      </c>
      <c r="L151" s="20">
        <f>(8955.62*($L$8))</f>
        <v>47912.567000000003</v>
      </c>
      <c r="M151" s="20">
        <f>(9081.62*($L$8))</f>
        <v>48586.667000000001</v>
      </c>
      <c r="N151" s="20">
        <f>(9228.62*($L$8))</f>
        <v>49373.116999999998</v>
      </c>
      <c r="O151" s="20">
        <f>(9438.62*($L$8))</f>
        <v>50496.616999999998</v>
      </c>
      <c r="P151" s="20">
        <f>(9543.62*($L$8))</f>
        <v>51058.366999999998</v>
      </c>
      <c r="Q151" s="12">
        <f>(9963.62*($L$8))</f>
        <v>53305.366999999998</v>
      </c>
    </row>
    <row r="152" spans="1:17" ht="12.75" customHeight="1" x14ac:dyDescent="0.2">
      <c r="A152" s="6"/>
      <c r="B152" s="10" t="s">
        <v>1184</v>
      </c>
      <c r="C152" s="20" t="s">
        <v>288</v>
      </c>
      <c r="D152" s="20" t="s">
        <v>149</v>
      </c>
      <c r="E152" s="20" t="s">
        <v>312</v>
      </c>
      <c r="F152" s="20" t="s">
        <v>646</v>
      </c>
      <c r="G152" s="20" t="s">
        <v>231</v>
      </c>
      <c r="H152" s="20">
        <f>(8717.3*($L$8))</f>
        <v>46637.554999999993</v>
      </c>
      <c r="I152" s="20">
        <f>(8827.3*($L$8))</f>
        <v>47226.054999999993</v>
      </c>
      <c r="J152" s="20">
        <f>(8893.3*($L$8))</f>
        <v>47579.154999999992</v>
      </c>
      <c r="K152" s="20">
        <f>(9069.3*($L$8))</f>
        <v>48520.75499999999</v>
      </c>
      <c r="L152" s="20">
        <f>(9179.3*($L$8))</f>
        <v>49109.25499999999</v>
      </c>
      <c r="M152" s="20">
        <f>(9311.3*($L$8))</f>
        <v>49815.454999999994</v>
      </c>
      <c r="N152" s="20">
        <f>(9465.3*($L$8))</f>
        <v>50639.354999999996</v>
      </c>
      <c r="O152" s="20">
        <f>(9685.3*($L$8))</f>
        <v>51816.354999999996</v>
      </c>
      <c r="P152" s="20">
        <f>(9795.3*($L$8))</f>
        <v>52404.854999999996</v>
      </c>
      <c r="Q152" s="12">
        <f>(10235.3*($L$8))</f>
        <v>54758.854999999996</v>
      </c>
    </row>
    <row r="153" spans="1:17" ht="30" customHeight="1" x14ac:dyDescent="0.35">
      <c r="A153" s="6"/>
      <c r="B153" s="23" t="s">
        <v>1185</v>
      </c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5"/>
    </row>
    <row r="154" spans="1:17" ht="12.75" customHeight="1" x14ac:dyDescent="0.2">
      <c r="A154" s="7" t="s">
        <v>6</v>
      </c>
      <c r="B154" s="8" t="s">
        <v>7</v>
      </c>
      <c r="C154" s="8" t="s">
        <v>8</v>
      </c>
      <c r="D154" s="8" t="s">
        <v>9</v>
      </c>
      <c r="E154" s="8" t="s">
        <v>10</v>
      </c>
      <c r="F154" s="8" t="s">
        <v>11</v>
      </c>
      <c r="G154" s="8" t="s">
        <v>12</v>
      </c>
      <c r="H154" s="8" t="s">
        <v>13</v>
      </c>
      <c r="I154" s="8" t="s">
        <v>14</v>
      </c>
      <c r="J154" s="8" t="s">
        <v>15</v>
      </c>
      <c r="K154" s="8" t="s">
        <v>16</v>
      </c>
      <c r="L154" s="8" t="s">
        <v>17</v>
      </c>
      <c r="M154" s="8" t="s">
        <v>18</v>
      </c>
      <c r="N154" s="8" t="s">
        <v>19</v>
      </c>
      <c r="O154" s="8" t="s">
        <v>20</v>
      </c>
      <c r="P154" s="8" t="s">
        <v>21</v>
      </c>
      <c r="Q154" s="9" t="s">
        <v>22</v>
      </c>
    </row>
    <row r="155" spans="1:17" ht="12.75" customHeight="1" x14ac:dyDescent="0.2">
      <c r="A155" s="6"/>
      <c r="B155" s="10" t="s">
        <v>1186</v>
      </c>
      <c r="C155" s="20" t="s">
        <v>137</v>
      </c>
      <c r="D155" s="20" t="s">
        <v>1187</v>
      </c>
      <c r="E155" s="20" t="s">
        <v>256</v>
      </c>
      <c r="F155" s="20" t="s">
        <v>1188</v>
      </c>
      <c r="G155" s="20" t="s">
        <v>38</v>
      </c>
      <c r="H155" s="20">
        <f>(4616.14*($L$8))</f>
        <v>24696.348999999998</v>
      </c>
      <c r="I155" s="20">
        <f>(4691.14*($L$8))</f>
        <v>25097.598999999998</v>
      </c>
      <c r="J155" s="20">
        <f>(4736.14*($L$8))</f>
        <v>25338.348999999998</v>
      </c>
      <c r="K155" s="20">
        <f>(4856.14*($L$8))</f>
        <v>25980.348999999998</v>
      </c>
      <c r="L155" s="20">
        <f>(4931.14*($L$8))</f>
        <v>26381.598999999998</v>
      </c>
      <c r="M155" s="20">
        <f>(5021.14*($L$8))</f>
        <v>26863.098999999998</v>
      </c>
      <c r="N155" s="20">
        <f>(5126.14*($L$8))</f>
        <v>27424.848999999998</v>
      </c>
      <c r="O155" s="20">
        <f>(5276.14*($L$8))</f>
        <v>28227.348999999998</v>
      </c>
      <c r="P155" s="20">
        <f>(5351.14*($L$8))</f>
        <v>28628.598999999998</v>
      </c>
      <c r="Q155" s="12">
        <f>(5651.14*($L$8))</f>
        <v>30233.598999999998</v>
      </c>
    </row>
    <row r="156" spans="1:17" ht="12.75" customHeight="1" x14ac:dyDescent="0.2">
      <c r="A156" s="6"/>
      <c r="B156" s="10" t="s">
        <v>1189</v>
      </c>
      <c r="C156" s="20" t="s">
        <v>292</v>
      </c>
      <c r="D156" s="20" t="s">
        <v>1187</v>
      </c>
      <c r="E156" s="20" t="s">
        <v>256</v>
      </c>
      <c r="F156" s="20" t="s">
        <v>1188</v>
      </c>
      <c r="G156" s="20" t="s">
        <v>42</v>
      </c>
      <c r="H156" s="20">
        <f>(4883.24*($L$8))</f>
        <v>26125.333999999995</v>
      </c>
      <c r="I156" s="20">
        <f>(4968.24*($L$8))</f>
        <v>26580.083999999995</v>
      </c>
      <c r="J156" s="20">
        <f>(5019.24*($L$8))</f>
        <v>26852.933999999997</v>
      </c>
      <c r="K156" s="20">
        <f>(5155.24*($L$8))</f>
        <v>27580.533999999996</v>
      </c>
      <c r="L156" s="20">
        <f>(5240.24*($L$8))</f>
        <v>28035.283999999996</v>
      </c>
      <c r="M156" s="20">
        <f>(5342.24*($L$8))</f>
        <v>28580.983999999997</v>
      </c>
      <c r="N156" s="20">
        <f>(5461.24*($L$8))</f>
        <v>29217.633999999998</v>
      </c>
      <c r="O156" s="20">
        <f>(5631.24*($L$8))</f>
        <v>30127.133999999998</v>
      </c>
      <c r="P156" s="20">
        <f>(5716.24*($L$8))</f>
        <v>30581.883999999998</v>
      </c>
      <c r="Q156" s="12">
        <f>(6056.24*($L$8))</f>
        <v>32400.883999999998</v>
      </c>
    </row>
    <row r="157" spans="1:17" ht="12.75" customHeight="1" x14ac:dyDescent="0.2">
      <c r="A157" s="6"/>
      <c r="B157" s="10" t="s">
        <v>1190</v>
      </c>
      <c r="C157" s="20" t="s">
        <v>170</v>
      </c>
      <c r="D157" s="20" t="s">
        <v>1187</v>
      </c>
      <c r="E157" s="20" t="s">
        <v>256</v>
      </c>
      <c r="F157" s="20" t="s">
        <v>1188</v>
      </c>
      <c r="G157" s="20" t="s">
        <v>160</v>
      </c>
      <c r="H157" s="20">
        <f>(6262.46*($L$8))</f>
        <v>33504.161</v>
      </c>
      <c r="I157" s="20">
        <f>(6372.46*($L$8))</f>
        <v>34092.661</v>
      </c>
      <c r="J157" s="20">
        <f>(6438.46*($L$8))</f>
        <v>34445.760999999999</v>
      </c>
      <c r="K157" s="20">
        <f>(6614.46*($L$8))</f>
        <v>35387.360999999997</v>
      </c>
      <c r="L157" s="20">
        <f>(6724.46*($L$8))</f>
        <v>35975.860999999997</v>
      </c>
      <c r="M157" s="20">
        <f>(6856.46*($L$8))</f>
        <v>36682.060999999994</v>
      </c>
      <c r="N157" s="20">
        <f>(7010.46*($L$8))</f>
        <v>37505.960999999996</v>
      </c>
      <c r="O157" s="20">
        <f>(7230.46*($L$8))</f>
        <v>38682.960999999996</v>
      </c>
      <c r="P157" s="20">
        <f>(7340.46*($L$8))</f>
        <v>39271.460999999996</v>
      </c>
      <c r="Q157" s="12">
        <f>(7780.46*($L$8))</f>
        <v>41625.460999999996</v>
      </c>
    </row>
    <row r="158" spans="1:17" ht="12.75" customHeight="1" x14ac:dyDescent="0.2">
      <c r="A158" s="6"/>
      <c r="B158" s="10" t="s">
        <v>1191</v>
      </c>
      <c r="C158" s="20" t="s">
        <v>172</v>
      </c>
      <c r="D158" s="20" t="s">
        <v>1187</v>
      </c>
      <c r="E158" s="20" t="s">
        <v>256</v>
      </c>
      <c r="F158" s="20" t="s">
        <v>1188</v>
      </c>
      <c r="G158" s="20" t="s">
        <v>182</v>
      </c>
      <c r="H158" s="20">
        <f>(6506.8*($L$8))</f>
        <v>34811.379999999997</v>
      </c>
      <c r="I158" s="20">
        <f>(6626.8*($L$8))</f>
        <v>35453.379999999997</v>
      </c>
      <c r="J158" s="20">
        <f>(6698.8*($L$8))</f>
        <v>35838.58</v>
      </c>
      <c r="K158" s="20">
        <f>(6890.8*($L$8))</f>
        <v>36865.78</v>
      </c>
      <c r="L158" s="20">
        <f>(7010.8*($L$8))</f>
        <v>37507.78</v>
      </c>
      <c r="M158" s="20">
        <f>(7154.8*($L$8))</f>
        <v>38278.18</v>
      </c>
      <c r="N158" s="20">
        <f>(7322.8*($L$8))</f>
        <v>39176.979999999996</v>
      </c>
      <c r="O158" s="20">
        <f>(7562.8*($L$8))</f>
        <v>40460.979999999996</v>
      </c>
      <c r="P158" s="20">
        <f>(7682.8*($L$8))</f>
        <v>41102.979999999996</v>
      </c>
      <c r="Q158" s="12">
        <f>(8162.8*($L$8))</f>
        <v>43670.979999999996</v>
      </c>
    </row>
    <row r="159" spans="1:17" ht="12.75" customHeight="1" x14ac:dyDescent="0.2">
      <c r="A159" s="6"/>
      <c r="B159" s="10" t="s">
        <v>1192</v>
      </c>
      <c r="C159" s="20" t="s">
        <v>174</v>
      </c>
      <c r="D159" s="20" t="s">
        <v>1187</v>
      </c>
      <c r="E159" s="20" t="s">
        <v>256</v>
      </c>
      <c r="F159" s="20" t="s">
        <v>1188</v>
      </c>
      <c r="G159" s="20" t="s">
        <v>229</v>
      </c>
      <c r="H159" s="20">
        <f>(6830.1*($L$8))</f>
        <v>36541.034999999996</v>
      </c>
      <c r="I159" s="20">
        <f>(6960.1*($L$8))</f>
        <v>37236.534999999996</v>
      </c>
      <c r="J159" s="20">
        <f>(7038.1*($L$8))</f>
        <v>37653.834999999999</v>
      </c>
      <c r="K159" s="20">
        <f>(7246.1*($L$8))</f>
        <v>38766.635000000002</v>
      </c>
      <c r="L159" s="20">
        <f>(7376.1*($L$8))</f>
        <v>39462.135000000002</v>
      </c>
      <c r="M159" s="20">
        <f>(7532.1*($L$8))</f>
        <v>40296.735000000001</v>
      </c>
      <c r="N159" s="20">
        <f>(7714.1*($L$8))</f>
        <v>41270.434999999998</v>
      </c>
      <c r="O159" s="20">
        <f>(7974.1*($L$8))</f>
        <v>42661.434999999998</v>
      </c>
      <c r="P159" s="20">
        <f>(8104.1*($L$8))</f>
        <v>43356.934999999998</v>
      </c>
      <c r="Q159" s="12">
        <f>(8624.1*($L$8))</f>
        <v>46138.934999999998</v>
      </c>
    </row>
    <row r="160" spans="1:17" ht="12.75" customHeight="1" x14ac:dyDescent="0.2">
      <c r="A160" s="6"/>
      <c r="B160" s="10" t="s">
        <v>1193</v>
      </c>
      <c r="C160" s="20" t="s">
        <v>26</v>
      </c>
      <c r="D160" s="20" t="s">
        <v>746</v>
      </c>
      <c r="E160" s="20" t="s">
        <v>646</v>
      </c>
      <c r="F160" s="20" t="s">
        <v>27</v>
      </c>
      <c r="G160" s="20" t="s">
        <v>524</v>
      </c>
      <c r="H160" s="20">
        <f>(3590.75*($L$8))</f>
        <v>19210.512499999997</v>
      </c>
      <c r="I160" s="20">
        <f>(3625.75*($L$8))</f>
        <v>19397.762499999997</v>
      </c>
      <c r="J160" s="20">
        <f>(3646.75*($L$8))</f>
        <v>19510.112499999999</v>
      </c>
      <c r="K160" s="20">
        <f>(3702.75*($L$8))</f>
        <v>19809.712499999998</v>
      </c>
      <c r="L160" s="20">
        <f>(3737.75*($L$8))</f>
        <v>19996.962499999998</v>
      </c>
      <c r="M160" s="20">
        <f>(3779.75*($L$8))</f>
        <v>20221.662499999999</v>
      </c>
      <c r="N160" s="20">
        <f>(3828.75*($L$8))</f>
        <v>20483.8125</v>
      </c>
      <c r="O160" s="20">
        <f>(3898.75*($L$8))</f>
        <v>20858.3125</v>
      </c>
      <c r="P160" s="20">
        <f>(3933.75*($L$8))</f>
        <v>21045.5625</v>
      </c>
      <c r="Q160" s="12">
        <f>(4073.75*($L$8))</f>
        <v>21794.5625</v>
      </c>
    </row>
    <row r="161" spans="1:17" ht="12.75" customHeight="1" x14ac:dyDescent="0.2">
      <c r="A161" s="6"/>
      <c r="B161" s="10" t="s">
        <v>1194</v>
      </c>
      <c r="C161" s="20" t="s">
        <v>87</v>
      </c>
      <c r="D161" s="20" t="s">
        <v>1187</v>
      </c>
      <c r="E161" s="20" t="s">
        <v>256</v>
      </c>
      <c r="F161" s="20" t="s">
        <v>1188</v>
      </c>
      <c r="G161" s="20" t="s">
        <v>38</v>
      </c>
      <c r="H161" s="20">
        <f>(4724.03*($L$8))</f>
        <v>25273.560499999996</v>
      </c>
      <c r="I161" s="20">
        <f>(4799.03*($L$8))</f>
        <v>25674.810499999996</v>
      </c>
      <c r="J161" s="20">
        <f>(4844.03*($L$8))</f>
        <v>25915.560499999996</v>
      </c>
      <c r="K161" s="20">
        <f>(4964.03*($L$8))</f>
        <v>26557.560499999996</v>
      </c>
      <c r="L161" s="20">
        <f>(5039.03*($L$8))</f>
        <v>26958.810499999996</v>
      </c>
      <c r="M161" s="20">
        <f>(5129.03*($L$8))</f>
        <v>27440.310499999996</v>
      </c>
      <c r="N161" s="20">
        <f>(5234.03*($L$8))</f>
        <v>28002.060499999996</v>
      </c>
      <c r="O161" s="20">
        <f>(5384.03*($L$8))</f>
        <v>28804.560499999996</v>
      </c>
      <c r="P161" s="20">
        <f>(5459.03*($L$8))</f>
        <v>29205.810499999996</v>
      </c>
      <c r="Q161" s="12">
        <f>(5759.03*($L$8))</f>
        <v>30810.810499999996</v>
      </c>
    </row>
    <row r="162" spans="1:17" ht="12.75" customHeight="1" x14ac:dyDescent="0.2">
      <c r="A162" s="6"/>
      <c r="B162" s="10" t="s">
        <v>1195</v>
      </c>
      <c r="C162" s="20" t="s">
        <v>40</v>
      </c>
      <c r="D162" s="20" t="s">
        <v>1187</v>
      </c>
      <c r="E162" s="20" t="s">
        <v>256</v>
      </c>
      <c r="F162" s="20" t="s">
        <v>1188</v>
      </c>
      <c r="G162" s="20" t="s">
        <v>42</v>
      </c>
      <c r="H162" s="20">
        <f>(5059.21*($L$8))</f>
        <v>27066.773499999999</v>
      </c>
      <c r="I162" s="20">
        <f>(5139.21*($L$8))</f>
        <v>27494.773499999999</v>
      </c>
      <c r="J162" s="20">
        <f>(5187.21*($L$8))</f>
        <v>27751.573499999999</v>
      </c>
      <c r="K162" s="20">
        <f>(5315.21*($L$8))</f>
        <v>28436.373499999998</v>
      </c>
      <c r="L162" s="20">
        <f>(5395.21*($L$8))</f>
        <v>28864.373499999998</v>
      </c>
      <c r="M162" s="20">
        <f>(5491.21*($L$8))</f>
        <v>29377.9735</v>
      </c>
      <c r="N162" s="20">
        <f>(5603.21*($L$8))</f>
        <v>29977.173499999997</v>
      </c>
      <c r="O162" s="20">
        <f>(5763.21*($L$8))</f>
        <v>30833.173499999997</v>
      </c>
      <c r="P162" s="20">
        <f>(5843.21*($L$8))</f>
        <v>31261.173499999997</v>
      </c>
      <c r="Q162" s="12">
        <f>(6163.21*($L$8))</f>
        <v>32973.173499999997</v>
      </c>
    </row>
    <row r="163" spans="1:17" ht="30" customHeight="1" x14ac:dyDescent="0.35">
      <c r="A163" s="6"/>
      <c r="B163" s="23" t="s">
        <v>1196</v>
      </c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5"/>
    </row>
    <row r="164" spans="1:17" ht="12.75" customHeight="1" x14ac:dyDescent="0.2">
      <c r="A164" s="7" t="s">
        <v>6</v>
      </c>
      <c r="B164" s="8" t="s">
        <v>7</v>
      </c>
      <c r="C164" s="8" t="s">
        <v>8</v>
      </c>
      <c r="D164" s="8" t="s">
        <v>9</v>
      </c>
      <c r="E164" s="8" t="s">
        <v>10</v>
      </c>
      <c r="F164" s="8" t="s">
        <v>11</v>
      </c>
      <c r="G164" s="8" t="s">
        <v>12</v>
      </c>
      <c r="H164" s="8" t="s">
        <v>13</v>
      </c>
      <c r="I164" s="8" t="s">
        <v>14</v>
      </c>
      <c r="J164" s="8" t="s">
        <v>15</v>
      </c>
      <c r="K164" s="8" t="s">
        <v>16</v>
      </c>
      <c r="L164" s="8" t="s">
        <v>17</v>
      </c>
      <c r="M164" s="8" t="s">
        <v>18</v>
      </c>
      <c r="N164" s="8" t="s">
        <v>19</v>
      </c>
      <c r="O164" s="8" t="s">
        <v>20</v>
      </c>
      <c r="P164" s="8" t="s">
        <v>21</v>
      </c>
      <c r="Q164" s="9" t="s">
        <v>22</v>
      </c>
    </row>
    <row r="165" spans="1:17" ht="12.75" customHeight="1" x14ac:dyDescent="0.2">
      <c r="A165" s="6"/>
      <c r="B165" s="10" t="s">
        <v>1197</v>
      </c>
      <c r="C165" s="20" t="s">
        <v>170</v>
      </c>
      <c r="D165" s="20" t="s">
        <v>149</v>
      </c>
      <c r="E165" s="20" t="s">
        <v>330</v>
      </c>
      <c r="F165" s="20" t="s">
        <v>646</v>
      </c>
      <c r="G165" s="20" t="s">
        <v>182</v>
      </c>
      <c r="H165" s="20">
        <f>(5276.21*($L$8))</f>
        <v>28227.7235</v>
      </c>
      <c r="I165" s="20">
        <f>(5401.21*($L$8))</f>
        <v>28896.4735</v>
      </c>
      <c r="J165" s="20">
        <f>(5476.21*($L$8))</f>
        <v>29297.7235</v>
      </c>
      <c r="K165" s="20">
        <f>(5676.21*($L$8))</f>
        <v>30367.723499999996</v>
      </c>
      <c r="L165" s="20">
        <f>(5801.21*($L$8))</f>
        <v>31036.473499999996</v>
      </c>
      <c r="M165" s="20">
        <f>(5951.21*($L$8))</f>
        <v>31838.973499999996</v>
      </c>
      <c r="N165" s="20">
        <f>(6126.21*($L$8))</f>
        <v>32775.2235</v>
      </c>
      <c r="O165" s="20">
        <f>(6376.21*($L$8))</f>
        <v>34112.7235</v>
      </c>
      <c r="P165" s="20">
        <f>(6501.21*($L$8))</f>
        <v>34781.4735</v>
      </c>
      <c r="Q165" s="12">
        <f>(7001.21*($L$8))</f>
        <v>37456.4735</v>
      </c>
    </row>
    <row r="166" spans="1:17" ht="12.75" customHeight="1" x14ac:dyDescent="0.2">
      <c r="A166" s="6"/>
      <c r="B166" s="10" t="s">
        <v>1198</v>
      </c>
      <c r="C166" s="20" t="s">
        <v>172</v>
      </c>
      <c r="D166" s="20" t="s">
        <v>149</v>
      </c>
      <c r="E166" s="20" t="s">
        <v>330</v>
      </c>
      <c r="F166" s="20" t="s">
        <v>646</v>
      </c>
      <c r="G166" s="20" t="s">
        <v>229</v>
      </c>
      <c r="H166" s="20">
        <f>(5491.15*($L$8))</f>
        <v>29377.652499999997</v>
      </c>
      <c r="I166" s="20">
        <f>(5621.15*($L$8))</f>
        <v>30073.152499999997</v>
      </c>
      <c r="J166" s="20">
        <f>(5699.15*($L$8))</f>
        <v>30490.452499999996</v>
      </c>
      <c r="K166" s="20">
        <f>(5907.15*($L$8))</f>
        <v>31603.252499999995</v>
      </c>
      <c r="L166" s="20">
        <f>(6037.15*($L$8))</f>
        <v>32298.752499999995</v>
      </c>
      <c r="M166" s="20">
        <f>(6193.15*($L$8))</f>
        <v>33133.352499999994</v>
      </c>
      <c r="N166" s="20">
        <f>(6375.15*($L$8))</f>
        <v>34107.052499999998</v>
      </c>
      <c r="O166" s="20">
        <f>(6635.15*($L$8))</f>
        <v>35498.052499999998</v>
      </c>
      <c r="P166" s="20">
        <f>(6765.15*($L$8))</f>
        <v>36193.552499999998</v>
      </c>
      <c r="Q166" s="12">
        <f>(7285.15*($L$8))</f>
        <v>38975.552499999998</v>
      </c>
    </row>
    <row r="167" spans="1:17" ht="12.75" customHeight="1" x14ac:dyDescent="0.2">
      <c r="A167" s="6"/>
      <c r="B167" s="10" t="s">
        <v>1199</v>
      </c>
      <c r="C167" s="20" t="s">
        <v>174</v>
      </c>
      <c r="D167" s="20" t="s">
        <v>149</v>
      </c>
      <c r="E167" s="20" t="s">
        <v>330</v>
      </c>
      <c r="F167" s="20" t="s">
        <v>646</v>
      </c>
      <c r="G167" s="20" t="s">
        <v>231</v>
      </c>
      <c r="H167" s="20">
        <f>(5695.56*($L$8))</f>
        <v>30471.245999999999</v>
      </c>
      <c r="I167" s="20">
        <f>(5835.56*($L$8))</f>
        <v>31220.245999999999</v>
      </c>
      <c r="J167" s="20">
        <f>(5919.56*($L$8))</f>
        <v>31669.646000000001</v>
      </c>
      <c r="K167" s="20">
        <f>(6143.56*($L$8))</f>
        <v>32868.046000000002</v>
      </c>
      <c r="L167" s="20">
        <f>(6283.56*($L$8))</f>
        <v>33617.046000000002</v>
      </c>
      <c r="M167" s="20">
        <f>(6451.56*($L$8))</f>
        <v>34515.845999999998</v>
      </c>
      <c r="N167" s="20">
        <f>(6647.56*($L$8))</f>
        <v>35564.445999999996</v>
      </c>
      <c r="O167" s="20">
        <f>(6927.56*($L$8))</f>
        <v>37062.445999999996</v>
      </c>
      <c r="P167" s="20">
        <f>(7067.56*($L$8))</f>
        <v>37811.445999999996</v>
      </c>
      <c r="Q167" s="12">
        <f>(7627.56*($L$8))</f>
        <v>40807.445999999996</v>
      </c>
    </row>
    <row r="168" spans="1:17" ht="12.75" customHeight="1" x14ac:dyDescent="0.2">
      <c r="A168" s="6"/>
      <c r="B168" s="10" t="s">
        <v>1200</v>
      </c>
      <c r="C168" s="20" t="s">
        <v>292</v>
      </c>
      <c r="D168" s="20" t="s">
        <v>149</v>
      </c>
      <c r="E168" s="20" t="s">
        <v>330</v>
      </c>
      <c r="F168" s="20" t="s">
        <v>646</v>
      </c>
      <c r="G168" s="20" t="s">
        <v>42</v>
      </c>
      <c r="H168" s="20">
        <f>(5493.02*($L$8))</f>
        <v>29387.656999999999</v>
      </c>
      <c r="I168" s="20">
        <f>(5583.02*($L$8))</f>
        <v>29869.156999999999</v>
      </c>
      <c r="J168" s="20">
        <f>(5637.02*($L$8))</f>
        <v>30158.057000000001</v>
      </c>
      <c r="K168" s="20">
        <f>(5781.02*($L$8))</f>
        <v>30928.456999999999</v>
      </c>
      <c r="L168" s="20">
        <f>(5871.02*($L$8))</f>
        <v>31409.956999999999</v>
      </c>
      <c r="M168" s="20">
        <f>(5979.02*($L$8))</f>
        <v>31987.757000000001</v>
      </c>
      <c r="N168" s="20">
        <f>(6105.02*($L$8))</f>
        <v>32661.857</v>
      </c>
      <c r="O168" s="20">
        <f>(6285.02*($L$8))</f>
        <v>33624.857000000004</v>
      </c>
      <c r="P168" s="20">
        <f>(6375.02*($L$8))</f>
        <v>34106.357000000004</v>
      </c>
      <c r="Q168" s="12">
        <f>(6735.02*($L$8))</f>
        <v>36032.356999999996</v>
      </c>
    </row>
    <row r="169" spans="1:17" ht="12.75" customHeight="1" x14ac:dyDescent="0.2">
      <c r="A169" s="6"/>
      <c r="B169" s="10" t="s">
        <v>1201</v>
      </c>
      <c r="C169" s="20" t="s">
        <v>273</v>
      </c>
      <c r="D169" s="20" t="s">
        <v>149</v>
      </c>
      <c r="E169" s="20" t="s">
        <v>330</v>
      </c>
      <c r="F169" s="20" t="s">
        <v>646</v>
      </c>
      <c r="G169" s="20" t="s">
        <v>152</v>
      </c>
      <c r="H169" s="20">
        <f>(5698.02*($L$8))</f>
        <v>30484.406999999999</v>
      </c>
      <c r="I169" s="20">
        <f>(5793.02*($L$8))</f>
        <v>30992.656999999999</v>
      </c>
      <c r="J169" s="20">
        <f>(5850.02*($L$8))</f>
        <v>31297.607</v>
      </c>
      <c r="K169" s="20">
        <f>(6002.02*($L$8))</f>
        <v>32110.807000000001</v>
      </c>
      <c r="L169" s="20">
        <f>(6097.02*($L$8))</f>
        <v>32619.057000000001</v>
      </c>
      <c r="M169" s="20">
        <f>(6211.02*($L$8))</f>
        <v>33228.957000000002</v>
      </c>
      <c r="N169" s="20">
        <f>(6344.02*($L$8))</f>
        <v>33940.506999999998</v>
      </c>
      <c r="O169" s="20">
        <f>(6534.02*($L$8))</f>
        <v>34957.006999999998</v>
      </c>
      <c r="P169" s="20">
        <f>(6629.02*($L$8))</f>
        <v>35465.256999999998</v>
      </c>
      <c r="Q169" s="12">
        <f>(7009.02*($L$8))</f>
        <v>37498.256999999998</v>
      </c>
    </row>
    <row r="170" spans="1:17" ht="12.75" customHeight="1" x14ac:dyDescent="0.2">
      <c r="A170" s="6"/>
      <c r="B170" s="10" t="s">
        <v>1202</v>
      </c>
      <c r="C170" s="20" t="s">
        <v>278</v>
      </c>
      <c r="D170" s="20" t="s">
        <v>149</v>
      </c>
      <c r="E170" s="20" t="s">
        <v>330</v>
      </c>
      <c r="F170" s="20" t="s">
        <v>646</v>
      </c>
      <c r="G170" s="20" t="s">
        <v>154</v>
      </c>
      <c r="H170" s="20">
        <f>(5901.29*($L$8))</f>
        <v>31571.901499999996</v>
      </c>
      <c r="I170" s="20">
        <f>(6006.29*($L$8))</f>
        <v>32133.651499999996</v>
      </c>
      <c r="J170" s="20">
        <f>(6069.29*($L$8))</f>
        <v>32470.701499999999</v>
      </c>
      <c r="K170" s="20">
        <f>(6237.29*($L$8))</f>
        <v>33369.501499999998</v>
      </c>
      <c r="L170" s="20">
        <f>(6342.29*($L$8))</f>
        <v>33931.251499999998</v>
      </c>
      <c r="M170" s="20">
        <f>(6468.29*($L$8))</f>
        <v>34605.351499999997</v>
      </c>
      <c r="N170" s="20">
        <f>(6615.29*($L$8))</f>
        <v>35391.801499999994</v>
      </c>
      <c r="O170" s="20">
        <f>(6825.29*($L$8))</f>
        <v>36515.301499999994</v>
      </c>
      <c r="P170" s="20">
        <f>(6930.29*($L$8))</f>
        <v>37077.051499999994</v>
      </c>
      <c r="Q170" s="12">
        <f>(7350.29*($L$8))</f>
        <v>39324.051499999994</v>
      </c>
    </row>
    <row r="171" spans="1:17" ht="12.75" customHeight="1" x14ac:dyDescent="0.2">
      <c r="A171" s="6"/>
      <c r="B171" s="10" t="s">
        <v>1203</v>
      </c>
      <c r="C171" s="20" t="s">
        <v>280</v>
      </c>
      <c r="D171" s="20" t="s">
        <v>149</v>
      </c>
      <c r="E171" s="20" t="s">
        <v>330</v>
      </c>
      <c r="F171" s="20" t="s">
        <v>646</v>
      </c>
      <c r="G171" s="20" t="s">
        <v>160</v>
      </c>
      <c r="H171" s="20">
        <f>(6057.61*($L$8))</f>
        <v>32408.213499999994</v>
      </c>
      <c r="I171" s="20">
        <f>(6167.61*($L$8))</f>
        <v>32996.713499999998</v>
      </c>
      <c r="J171" s="20">
        <f>(6233.61*($L$8))</f>
        <v>33349.813499999997</v>
      </c>
      <c r="K171" s="20">
        <f>(6409.61*($L$8))</f>
        <v>34291.413499999995</v>
      </c>
      <c r="L171" s="20">
        <f>(6519.61*($L$8))</f>
        <v>34879.913499999995</v>
      </c>
      <c r="M171" s="20">
        <f>(6651.61*($L$8))</f>
        <v>35586.113499999999</v>
      </c>
      <c r="N171" s="20">
        <f>(6805.61*($L$8))</f>
        <v>36410.013499999994</v>
      </c>
      <c r="O171" s="20">
        <f>(7025.61*($L$8))</f>
        <v>37587.013499999994</v>
      </c>
      <c r="P171" s="20">
        <f>(7135.61*($L$8))</f>
        <v>38175.513499999994</v>
      </c>
      <c r="Q171" s="12">
        <f>(7575.61*($L$8))</f>
        <v>40529.513499999994</v>
      </c>
    </row>
    <row r="172" spans="1:17" ht="30" customHeight="1" x14ac:dyDescent="0.35">
      <c r="A172" s="6"/>
      <c r="B172" s="23" t="s">
        <v>1456</v>
      </c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5"/>
    </row>
    <row r="173" spans="1:17" ht="12.75" customHeight="1" x14ac:dyDescent="0.2">
      <c r="A173" s="7" t="s">
        <v>6</v>
      </c>
      <c r="B173" s="8" t="s">
        <v>7</v>
      </c>
      <c r="C173" s="8" t="s">
        <v>8</v>
      </c>
      <c r="D173" s="8" t="s">
        <v>9</v>
      </c>
      <c r="E173" s="8" t="s">
        <v>10</v>
      </c>
      <c r="F173" s="8" t="s">
        <v>11</v>
      </c>
      <c r="G173" s="8" t="s">
        <v>12</v>
      </c>
      <c r="H173" s="8" t="s">
        <v>13</v>
      </c>
      <c r="I173" s="8" t="s">
        <v>14</v>
      </c>
      <c r="J173" s="8" t="s">
        <v>15</v>
      </c>
      <c r="K173" s="8" t="s">
        <v>16</v>
      </c>
      <c r="L173" s="8" t="s">
        <v>17</v>
      </c>
      <c r="M173" s="8" t="s">
        <v>18</v>
      </c>
      <c r="N173" s="8" t="s">
        <v>19</v>
      </c>
      <c r="O173" s="8" t="s">
        <v>20</v>
      </c>
      <c r="P173" s="8" t="s">
        <v>21</v>
      </c>
      <c r="Q173" s="9" t="s">
        <v>22</v>
      </c>
    </row>
    <row r="174" spans="1:17" ht="12.75" customHeight="1" x14ac:dyDescent="0.2">
      <c r="A174" s="6"/>
      <c r="B174" s="10" t="s">
        <v>1204</v>
      </c>
      <c r="C174" s="20" t="s">
        <v>137</v>
      </c>
      <c r="D174" s="20" t="s">
        <v>1205</v>
      </c>
      <c r="E174" s="20" t="s">
        <v>330</v>
      </c>
      <c r="F174" s="20" t="s">
        <v>405</v>
      </c>
      <c r="G174" s="20" t="s">
        <v>166</v>
      </c>
      <c r="H174" s="20">
        <f>(4662.7*($L$8))</f>
        <v>24945.444999999996</v>
      </c>
      <c r="I174" s="20">
        <f>(4757.7*($L$8))</f>
        <v>25453.694999999996</v>
      </c>
      <c r="J174" s="20">
        <f>(4814.7*($L$8))</f>
        <v>25758.644999999997</v>
      </c>
      <c r="K174" s="20">
        <f>(4966.7*($L$8))</f>
        <v>26571.844999999998</v>
      </c>
      <c r="L174" s="20">
        <f>(5061.7*($L$8))</f>
        <v>27080.094999999998</v>
      </c>
      <c r="M174" s="20">
        <f>(5175.7*($L$8))</f>
        <v>27689.994999999999</v>
      </c>
      <c r="N174" s="20">
        <f>(5308.7*($L$8))</f>
        <v>28401.544999999998</v>
      </c>
      <c r="O174" s="20">
        <f>(5498.7*($L$8))</f>
        <v>29418.044999999998</v>
      </c>
      <c r="P174" s="20">
        <f>(5593.7*($L$8))</f>
        <v>29926.294999999998</v>
      </c>
      <c r="Q174" s="12">
        <f>(5973.7*($L$8))</f>
        <v>31959.294999999998</v>
      </c>
    </row>
    <row r="175" spans="1:17" ht="12.75" customHeight="1" x14ac:dyDescent="0.2">
      <c r="A175" s="6"/>
      <c r="B175" s="10" t="s">
        <v>1206</v>
      </c>
      <c r="C175" s="20" t="s">
        <v>292</v>
      </c>
      <c r="D175" s="20" t="s">
        <v>1205</v>
      </c>
      <c r="E175" s="20" t="s">
        <v>330</v>
      </c>
      <c r="F175" s="20" t="s">
        <v>405</v>
      </c>
      <c r="G175" s="20" t="s">
        <v>154</v>
      </c>
      <c r="H175" s="20">
        <f>(4871.5*($L$8))</f>
        <v>26062.524999999998</v>
      </c>
      <c r="I175" s="20">
        <f>(4971.5*($L$8))</f>
        <v>26597.524999999998</v>
      </c>
      <c r="J175" s="20">
        <f>(5031.5*($L$8))</f>
        <v>26918.524999999998</v>
      </c>
      <c r="K175" s="20">
        <f>(5191.5*($L$8))</f>
        <v>27774.524999999998</v>
      </c>
      <c r="L175" s="20">
        <f>(5291.5*($L$8))</f>
        <v>28309.524999999998</v>
      </c>
      <c r="M175" s="20">
        <f>(5411.5*($L$8))</f>
        <v>28951.524999999998</v>
      </c>
      <c r="N175" s="20">
        <f>(5551.5*($L$8))</f>
        <v>29700.524999999998</v>
      </c>
      <c r="O175" s="20">
        <f>(5751.5*($L$8))</f>
        <v>30770.524999999998</v>
      </c>
      <c r="P175" s="20">
        <f>(5851.5*($L$8))</f>
        <v>31305.524999999998</v>
      </c>
      <c r="Q175" s="12">
        <f>(6251.5*($L$8))</f>
        <v>33445.524999999994</v>
      </c>
    </row>
    <row r="176" spans="1:17" ht="12.75" customHeight="1" x14ac:dyDescent="0.2">
      <c r="A176" s="6"/>
      <c r="B176" s="10" t="s">
        <v>1207</v>
      </c>
      <c r="C176" s="20" t="s">
        <v>273</v>
      </c>
      <c r="D176" s="20" t="s">
        <v>1205</v>
      </c>
      <c r="E176" s="20" t="s">
        <v>330</v>
      </c>
      <c r="F176" s="20" t="s">
        <v>405</v>
      </c>
      <c r="G176" s="20" t="s">
        <v>157</v>
      </c>
      <c r="H176" s="20">
        <f>(5054.12*($L$8))</f>
        <v>27039.541999999998</v>
      </c>
      <c r="I176" s="20">
        <f>(5159.12*($L$8))</f>
        <v>27601.291999999998</v>
      </c>
      <c r="J176" s="20">
        <f>(5222.12*($L$8))</f>
        <v>27938.341999999997</v>
      </c>
      <c r="K176" s="20">
        <f>(5390.12*($L$8))</f>
        <v>28837.141999999996</v>
      </c>
      <c r="L176" s="20">
        <f>(5495.12*($L$8))</f>
        <v>29398.891999999996</v>
      </c>
      <c r="M176" s="20">
        <f>(5621.12*($L$8))</f>
        <v>30072.991999999998</v>
      </c>
      <c r="N176" s="20">
        <f>(5768.12*($L$8))</f>
        <v>30859.441999999999</v>
      </c>
      <c r="O176" s="20">
        <f>(5978.12*($L$8))</f>
        <v>31982.941999999999</v>
      </c>
      <c r="P176" s="20">
        <f>(6083.12*($L$8))</f>
        <v>32544.691999999995</v>
      </c>
      <c r="Q176" s="12">
        <f>(6503.12*($L$8))</f>
        <v>34791.691999999995</v>
      </c>
    </row>
    <row r="177" spans="1:17" ht="12.75" customHeight="1" x14ac:dyDescent="0.2">
      <c r="A177" s="6"/>
      <c r="B177" s="10" t="s">
        <v>1208</v>
      </c>
      <c r="C177" s="20" t="s">
        <v>278</v>
      </c>
      <c r="D177" s="20" t="s">
        <v>1205</v>
      </c>
      <c r="E177" s="20" t="s">
        <v>330</v>
      </c>
      <c r="F177" s="20" t="s">
        <v>405</v>
      </c>
      <c r="G177" s="20" t="s">
        <v>160</v>
      </c>
      <c r="H177" s="20">
        <f>(5240.6*($L$8))</f>
        <v>28037.21</v>
      </c>
      <c r="I177" s="20">
        <f>(5350.6*($L$8))</f>
        <v>28625.71</v>
      </c>
      <c r="J177" s="20">
        <f>(5416.6*($L$8))</f>
        <v>28978.81</v>
      </c>
      <c r="K177" s="20">
        <f>(5592.6*($L$8))</f>
        <v>29920.41</v>
      </c>
      <c r="L177" s="20">
        <f>(5702.6*($L$8))</f>
        <v>30508.91</v>
      </c>
      <c r="M177" s="20">
        <f>(5834.6*($L$8))</f>
        <v>31215.11</v>
      </c>
      <c r="N177" s="20">
        <f>(5988.6*($L$8))</f>
        <v>32039.01</v>
      </c>
      <c r="O177" s="20">
        <f>(6208.6*($L$8))</f>
        <v>33216.01</v>
      </c>
      <c r="P177" s="20">
        <f>(6318.6*($L$8))</f>
        <v>33804.51</v>
      </c>
      <c r="Q177" s="12">
        <f>(6758.6*($L$8))</f>
        <v>36158.51</v>
      </c>
    </row>
    <row r="178" spans="1:17" ht="12.75" customHeight="1" x14ac:dyDescent="0.2">
      <c r="A178" s="6"/>
      <c r="B178" s="10" t="s">
        <v>1209</v>
      </c>
      <c r="C178" s="20" t="s">
        <v>280</v>
      </c>
      <c r="D178" s="20" t="s">
        <v>1205</v>
      </c>
      <c r="E178" s="20" t="s">
        <v>330</v>
      </c>
      <c r="F178" s="20" t="s">
        <v>405</v>
      </c>
      <c r="G178" s="20" t="s">
        <v>182</v>
      </c>
      <c r="H178" s="20">
        <f>(5447.42*($L$8))</f>
        <v>29143.697</v>
      </c>
      <c r="I178" s="20">
        <f>(5567.42*($L$8))</f>
        <v>29785.697</v>
      </c>
      <c r="J178" s="20">
        <f>(5639.42*($L$8))</f>
        <v>30170.896999999997</v>
      </c>
      <c r="K178" s="20">
        <f>(5831.42*($L$8))</f>
        <v>31198.096999999998</v>
      </c>
      <c r="L178" s="20">
        <f>(5951.42*($L$8))</f>
        <v>31840.096999999998</v>
      </c>
      <c r="M178" s="20">
        <f>(6095.42*($L$8))</f>
        <v>32610.496999999999</v>
      </c>
      <c r="N178" s="20">
        <f>(6263.42*($L$8))</f>
        <v>33509.296999999999</v>
      </c>
      <c r="O178" s="20">
        <f>(6503.42*($L$8))</f>
        <v>34793.296999999999</v>
      </c>
      <c r="P178" s="20">
        <f>(6623.42*($L$8))</f>
        <v>35435.296999999999</v>
      </c>
      <c r="Q178" s="12">
        <f>(7103.42*($L$8))</f>
        <v>38003.296999999999</v>
      </c>
    </row>
    <row r="179" spans="1:17" ht="12.75" customHeight="1" x14ac:dyDescent="0.2">
      <c r="A179" s="6"/>
      <c r="B179" s="10" t="s">
        <v>1210</v>
      </c>
      <c r="C179" s="20" t="s">
        <v>236</v>
      </c>
      <c r="D179" s="20" t="s">
        <v>1205</v>
      </c>
      <c r="E179" s="20" t="s">
        <v>330</v>
      </c>
      <c r="F179" s="20" t="s">
        <v>405</v>
      </c>
      <c r="G179" s="20" t="s">
        <v>185</v>
      </c>
      <c r="H179" s="20">
        <f>(5636.43*($L$8))</f>
        <v>30154.9005</v>
      </c>
      <c r="I179" s="20">
        <f>(5761.43*($L$8))</f>
        <v>30823.6505</v>
      </c>
      <c r="J179" s="20">
        <f>(5836.43*($L$8))</f>
        <v>31224.9005</v>
      </c>
      <c r="K179" s="20">
        <f>(6036.43*($L$8))</f>
        <v>32294.9005</v>
      </c>
      <c r="L179" s="20">
        <f>(6161.43*($L$8))</f>
        <v>32963.650499999996</v>
      </c>
      <c r="M179" s="20">
        <f>(6311.43*($L$8))</f>
        <v>33766.150499999996</v>
      </c>
      <c r="N179" s="20">
        <f>(6486.43*($L$8))</f>
        <v>34702.400499999996</v>
      </c>
      <c r="O179" s="20">
        <f>(6736.43*($L$8))</f>
        <v>36039.900499999996</v>
      </c>
      <c r="P179" s="20">
        <f>(6861.43*($L$8))</f>
        <v>36708.650499999996</v>
      </c>
      <c r="Q179" s="12">
        <f>(7361.43*($L$8))</f>
        <v>39383.650499999996</v>
      </c>
    </row>
    <row r="180" spans="1:17" ht="30" customHeight="1" x14ac:dyDescent="0.35">
      <c r="A180" s="6"/>
      <c r="B180" s="23" t="s">
        <v>1459</v>
      </c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5"/>
    </row>
    <row r="181" spans="1:17" ht="12.75" customHeight="1" x14ac:dyDescent="0.2">
      <c r="A181" s="7" t="s">
        <v>6</v>
      </c>
      <c r="B181" s="8" t="s">
        <v>7</v>
      </c>
      <c r="C181" s="8" t="s">
        <v>8</v>
      </c>
      <c r="D181" s="8" t="s">
        <v>9</v>
      </c>
      <c r="E181" s="8" t="s">
        <v>10</v>
      </c>
      <c r="F181" s="8" t="s">
        <v>11</v>
      </c>
      <c r="G181" s="8" t="s">
        <v>12</v>
      </c>
      <c r="H181" s="8" t="s">
        <v>13</v>
      </c>
      <c r="I181" s="8" t="s">
        <v>14</v>
      </c>
      <c r="J181" s="8" t="s">
        <v>15</v>
      </c>
      <c r="K181" s="8" t="s">
        <v>16</v>
      </c>
      <c r="L181" s="8" t="s">
        <v>17</v>
      </c>
      <c r="M181" s="8" t="s">
        <v>18</v>
      </c>
      <c r="N181" s="8" t="s">
        <v>19</v>
      </c>
      <c r="O181" s="8" t="s">
        <v>20</v>
      </c>
      <c r="P181" s="8" t="s">
        <v>21</v>
      </c>
      <c r="Q181" s="9" t="s">
        <v>22</v>
      </c>
    </row>
    <row r="182" spans="1:17" ht="12.75" customHeight="1" x14ac:dyDescent="0.2">
      <c r="A182" s="6"/>
      <c r="B182" s="10" t="s">
        <v>1211</v>
      </c>
      <c r="C182" s="20" t="s">
        <v>256</v>
      </c>
      <c r="D182" s="20" t="s">
        <v>1212</v>
      </c>
      <c r="E182" s="20" t="s">
        <v>697</v>
      </c>
      <c r="F182" s="20" t="s">
        <v>1213</v>
      </c>
      <c r="G182" s="20" t="s">
        <v>28</v>
      </c>
      <c r="H182" s="20">
        <f>(3290.14*($L$8))</f>
        <v>17602.249</v>
      </c>
      <c r="I182" s="20">
        <f>(3330.14*($L$8))</f>
        <v>17816.249</v>
      </c>
      <c r="J182" s="20">
        <f>(3354.14*($L$8))</f>
        <v>17944.648999999998</v>
      </c>
      <c r="K182" s="20">
        <f>(3418.14*($L$8))</f>
        <v>18287.048999999999</v>
      </c>
      <c r="L182" s="20">
        <f>(3458.14*($L$8))</f>
        <v>18501.048999999999</v>
      </c>
      <c r="M182" s="20">
        <f>(3506.14*($L$8))</f>
        <v>18757.848999999998</v>
      </c>
      <c r="N182" s="20">
        <f>(3562.14*($L$8))</f>
        <v>19057.448999999997</v>
      </c>
      <c r="O182" s="20">
        <f>(3642.14*($L$8))</f>
        <v>19485.448999999997</v>
      </c>
      <c r="P182" s="20">
        <f>(3682.14*($L$8))</f>
        <v>19699.448999999997</v>
      </c>
      <c r="Q182" s="12">
        <f>(3842.14*($L$8))</f>
        <v>20555.448999999997</v>
      </c>
    </row>
    <row r="183" spans="1:17" ht="30" customHeight="1" x14ac:dyDescent="0.35">
      <c r="A183" s="6"/>
      <c r="B183" s="23" t="s">
        <v>1214</v>
      </c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5"/>
    </row>
    <row r="184" spans="1:17" ht="12.75" customHeight="1" x14ac:dyDescent="0.2">
      <c r="A184" s="7" t="s">
        <v>6</v>
      </c>
      <c r="B184" s="8" t="s">
        <v>7</v>
      </c>
      <c r="C184" s="8" t="s">
        <v>8</v>
      </c>
      <c r="D184" s="8" t="s">
        <v>9</v>
      </c>
      <c r="E184" s="8" t="s">
        <v>10</v>
      </c>
      <c r="F184" s="8" t="s">
        <v>11</v>
      </c>
      <c r="G184" s="8" t="s">
        <v>12</v>
      </c>
      <c r="H184" s="8" t="s">
        <v>13</v>
      </c>
      <c r="I184" s="8" t="s">
        <v>14</v>
      </c>
      <c r="J184" s="8" t="s">
        <v>15</v>
      </c>
      <c r="K184" s="8" t="s">
        <v>16</v>
      </c>
      <c r="L184" s="8" t="s">
        <v>17</v>
      </c>
      <c r="M184" s="8" t="s">
        <v>18</v>
      </c>
      <c r="N184" s="8" t="s">
        <v>19</v>
      </c>
      <c r="O184" s="8" t="s">
        <v>20</v>
      </c>
      <c r="P184" s="8" t="s">
        <v>21</v>
      </c>
      <c r="Q184" s="9" t="s">
        <v>22</v>
      </c>
    </row>
    <row r="185" spans="1:17" ht="12.75" customHeight="1" x14ac:dyDescent="0.2">
      <c r="A185" s="6"/>
      <c r="B185" s="10" t="s">
        <v>1215</v>
      </c>
      <c r="C185" s="20" t="s">
        <v>256</v>
      </c>
      <c r="D185" s="20" t="s">
        <v>1155</v>
      </c>
      <c r="E185" s="20" t="s">
        <v>747</v>
      </c>
      <c r="F185" s="20" t="s">
        <v>27</v>
      </c>
      <c r="G185" s="20" t="s">
        <v>236</v>
      </c>
      <c r="H185" s="20">
        <f>(3409.58*($L$8))</f>
        <v>18241.252999999997</v>
      </c>
      <c r="I185" s="20">
        <f>(3429.58*($L$8))</f>
        <v>18348.252999999997</v>
      </c>
      <c r="J185" s="20">
        <f>(3441.58*($L$8))</f>
        <v>18412.452999999998</v>
      </c>
      <c r="K185" s="20">
        <f>(3473.58*($L$8))</f>
        <v>18583.652999999998</v>
      </c>
      <c r="L185" s="20">
        <f>(3493.58*($L$8))</f>
        <v>18690.652999999998</v>
      </c>
      <c r="M185" s="20">
        <f>(3517.58*($L$8))</f>
        <v>18819.053</v>
      </c>
      <c r="N185" s="20">
        <f>(3545.58*($L$8))</f>
        <v>18968.852999999999</v>
      </c>
      <c r="O185" s="20">
        <f>(3585.58*($L$8))</f>
        <v>19182.852999999999</v>
      </c>
      <c r="P185" s="20">
        <f>(3605.58*($L$8))</f>
        <v>19289.852999999999</v>
      </c>
      <c r="Q185" s="12">
        <f>(3685.58*($L$8))</f>
        <v>19717.852999999999</v>
      </c>
    </row>
    <row r="186" spans="1:17" ht="12.75" customHeight="1" x14ac:dyDescent="0.2">
      <c r="A186" s="6"/>
      <c r="B186" s="10" t="s">
        <v>1216</v>
      </c>
      <c r="C186" s="20" t="s">
        <v>1217</v>
      </c>
      <c r="D186" s="20" t="s">
        <v>1218</v>
      </c>
      <c r="E186" s="20" t="s">
        <v>246</v>
      </c>
      <c r="F186" s="20" t="s">
        <v>27</v>
      </c>
      <c r="G186" s="20" t="s">
        <v>79</v>
      </c>
      <c r="H186" s="20">
        <f>(1921.21*($L$8))</f>
        <v>10278.4735</v>
      </c>
      <c r="I186" s="20">
        <f>(1931.21*($L$8))</f>
        <v>10331.9735</v>
      </c>
      <c r="J186" s="20">
        <f>(1937.21*($L$8))</f>
        <v>10364.073499999999</v>
      </c>
      <c r="K186" s="20">
        <f>(1953.21*($L$8))</f>
        <v>10449.673499999999</v>
      </c>
      <c r="L186" s="20">
        <f>(1963.21*($L$8))</f>
        <v>10503.173499999999</v>
      </c>
      <c r="M186" s="20">
        <f>(1975.21*($L$8))</f>
        <v>10567.3735</v>
      </c>
      <c r="N186" s="20">
        <f>(1989.21*($L$8))</f>
        <v>10642.273499999999</v>
      </c>
      <c r="O186" s="20">
        <f>(2009.21*($L$8))</f>
        <v>10749.273499999999</v>
      </c>
      <c r="P186" s="20">
        <f>(2019.21*($L$8))</f>
        <v>10802.773499999999</v>
      </c>
      <c r="Q186" s="12">
        <f>(2059.21*($L$8))</f>
        <v>11016.773499999999</v>
      </c>
    </row>
    <row r="187" spans="1:17" ht="30" customHeight="1" x14ac:dyDescent="0.35">
      <c r="A187" s="6"/>
      <c r="B187" s="23" t="s">
        <v>1219</v>
      </c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5"/>
    </row>
    <row r="188" spans="1:17" ht="12.75" customHeight="1" x14ac:dyDescent="0.2">
      <c r="A188" s="7" t="s">
        <v>6</v>
      </c>
      <c r="B188" s="8" t="s">
        <v>7</v>
      </c>
      <c r="C188" s="8" t="s">
        <v>8</v>
      </c>
      <c r="D188" s="8" t="s">
        <v>9</v>
      </c>
      <c r="E188" s="8" t="s">
        <v>10</v>
      </c>
      <c r="F188" s="8" t="s">
        <v>11</v>
      </c>
      <c r="G188" s="8" t="s">
        <v>12</v>
      </c>
      <c r="H188" s="8" t="s">
        <v>13</v>
      </c>
      <c r="I188" s="8" t="s">
        <v>14</v>
      </c>
      <c r="J188" s="8" t="s">
        <v>15</v>
      </c>
      <c r="K188" s="8" t="s">
        <v>16</v>
      </c>
      <c r="L188" s="8" t="s">
        <v>17</v>
      </c>
      <c r="M188" s="8" t="s">
        <v>18</v>
      </c>
      <c r="N188" s="8" t="s">
        <v>19</v>
      </c>
      <c r="O188" s="8" t="s">
        <v>20</v>
      </c>
      <c r="P188" s="8" t="s">
        <v>21</v>
      </c>
      <c r="Q188" s="9" t="s">
        <v>22</v>
      </c>
    </row>
    <row r="189" spans="1:17" ht="12.75" customHeight="1" x14ac:dyDescent="0.2">
      <c r="A189" s="6"/>
      <c r="B189" s="10" t="s">
        <v>1220</v>
      </c>
      <c r="C189" s="20" t="s">
        <v>316</v>
      </c>
      <c r="D189" s="15">
        <v>1.72</v>
      </c>
      <c r="E189" s="20" t="s">
        <v>330</v>
      </c>
      <c r="F189" s="20" t="s">
        <v>27</v>
      </c>
      <c r="G189" s="20" t="s">
        <v>48</v>
      </c>
      <c r="H189" s="20">
        <f>(5822.36*($L$8))</f>
        <v>31149.625999999997</v>
      </c>
      <c r="I189" s="20">
        <f>(5885.36*($L$8))</f>
        <v>31486.675999999996</v>
      </c>
      <c r="J189" s="20">
        <f>(5923.16*($L$8))</f>
        <v>31688.905999999995</v>
      </c>
      <c r="K189" s="20">
        <f>(6023.96*($L$8))</f>
        <v>32228.185999999998</v>
      </c>
      <c r="L189" s="20">
        <f>(6086.96*($L$8))</f>
        <v>32565.235999999997</v>
      </c>
      <c r="M189" s="20">
        <f>(6162.56*($L$8))</f>
        <v>32969.696000000004</v>
      </c>
      <c r="N189" s="20">
        <f>(6250.76*($L$8))</f>
        <v>33441.565999999999</v>
      </c>
      <c r="O189" s="20">
        <f>(6376.76*($L$8))</f>
        <v>34115.665999999997</v>
      </c>
      <c r="P189" s="20">
        <f>(6439.76*($L$8))</f>
        <v>34452.716</v>
      </c>
      <c r="Q189" s="12">
        <f>(6691.76*($L$8))</f>
        <v>35800.915999999997</v>
      </c>
    </row>
    <row r="190" spans="1:17" ht="12.75" customHeight="1" x14ac:dyDescent="0.2">
      <c r="A190" s="6"/>
      <c r="B190" s="10" t="s">
        <v>1221</v>
      </c>
      <c r="C190" s="20" t="s">
        <v>1222</v>
      </c>
      <c r="D190" s="15">
        <v>1.72</v>
      </c>
      <c r="E190" s="20" t="s">
        <v>330</v>
      </c>
      <c r="F190" s="20" t="s">
        <v>27</v>
      </c>
      <c r="G190" s="20" t="s">
        <v>35</v>
      </c>
      <c r="H190" s="20">
        <f>(6108.22*($L$8))</f>
        <v>32678.976999999999</v>
      </c>
      <c r="I190" s="20">
        <f>(6174.22*($L$8))</f>
        <v>33032.076999999997</v>
      </c>
      <c r="J190" s="20">
        <f>(6213.82*($L$8))</f>
        <v>33243.936999999998</v>
      </c>
      <c r="K190" s="20">
        <f>(6319.42*($L$8))</f>
        <v>33808.896999999997</v>
      </c>
      <c r="L190" s="20">
        <f>(6385.42*($L$8))</f>
        <v>34161.996999999996</v>
      </c>
      <c r="M190" s="20">
        <f>(6464.62*($L$8))</f>
        <v>34585.716999999997</v>
      </c>
      <c r="N190" s="20">
        <f>(6557.02*($L$8))</f>
        <v>35080.057000000001</v>
      </c>
      <c r="O190" s="20">
        <f>(6689.02*($L$8))</f>
        <v>35786.256999999998</v>
      </c>
      <c r="P190" s="20">
        <f>(6755.02*($L$8))</f>
        <v>36139.356999999996</v>
      </c>
      <c r="Q190" s="12">
        <f>(7019.02*($L$8))</f>
        <v>37551.756999999998</v>
      </c>
    </row>
    <row r="191" spans="1:17" ht="12.75" customHeight="1" x14ac:dyDescent="0.2">
      <c r="A191" s="6"/>
      <c r="B191" s="10" t="s">
        <v>1223</v>
      </c>
      <c r="C191" s="20" t="s">
        <v>318</v>
      </c>
      <c r="D191" s="15">
        <v>1.72</v>
      </c>
      <c r="E191" s="20" t="s">
        <v>330</v>
      </c>
      <c r="F191" s="20" t="s">
        <v>27</v>
      </c>
      <c r="G191" s="20" t="s">
        <v>54</v>
      </c>
      <c r="H191" s="20">
        <f>(6507.24*($L$8))</f>
        <v>34813.733999999997</v>
      </c>
      <c r="I191" s="20">
        <f>(6577.24*($L$8))</f>
        <v>35188.233999999997</v>
      </c>
      <c r="J191" s="20">
        <f>(6619.24*($L$8))</f>
        <v>35412.933999999994</v>
      </c>
      <c r="K191" s="20">
        <f>(6731.24*($L$8))</f>
        <v>36012.133999999998</v>
      </c>
      <c r="L191" s="20">
        <f>(6801.24*($L$8))</f>
        <v>36386.633999999998</v>
      </c>
      <c r="M191" s="20">
        <f>(6885.24*($L$8))</f>
        <v>36836.034</v>
      </c>
      <c r="N191" s="20">
        <f>(6983.24*($L$8))</f>
        <v>37360.333999999995</v>
      </c>
      <c r="O191" s="20">
        <f>(7123.24*($L$8))</f>
        <v>38109.333999999995</v>
      </c>
      <c r="P191" s="20">
        <f>(7193.24*($L$8))</f>
        <v>38483.833999999995</v>
      </c>
      <c r="Q191" s="12">
        <f>(7473.24*($L$8))</f>
        <v>39981.833999999995</v>
      </c>
    </row>
    <row r="192" spans="1:17" ht="12.75" customHeight="1" x14ac:dyDescent="0.2">
      <c r="A192" s="6"/>
      <c r="B192" s="10" t="s">
        <v>1224</v>
      </c>
      <c r="C192" s="20" t="s">
        <v>278</v>
      </c>
      <c r="D192" s="20" t="s">
        <v>1225</v>
      </c>
      <c r="E192" s="20" t="s">
        <v>330</v>
      </c>
      <c r="F192" s="20" t="s">
        <v>27</v>
      </c>
      <c r="G192" s="20" t="s">
        <v>67</v>
      </c>
      <c r="H192" s="20">
        <f>(6627.44*($L$8))</f>
        <v>35456.803999999996</v>
      </c>
      <c r="I192" s="20">
        <f>(6677.44*($L$8))</f>
        <v>35724.303999999996</v>
      </c>
      <c r="J192" s="20">
        <f>(6707.44*($L$8))</f>
        <v>35884.803999999996</v>
      </c>
      <c r="K192" s="20">
        <f>(6787.44*($L$8))</f>
        <v>36312.803999999996</v>
      </c>
      <c r="L192" s="20">
        <f>(6837.44*($L$8))</f>
        <v>36580.303999999996</v>
      </c>
      <c r="M192" s="20">
        <f>(6897.44*($L$8))</f>
        <v>36901.303999999996</v>
      </c>
      <c r="N192" s="20">
        <f>(6967.44*($L$8))</f>
        <v>37275.803999999996</v>
      </c>
      <c r="O192" s="20">
        <f>(7067.44*($L$8))</f>
        <v>37810.803999999996</v>
      </c>
      <c r="P192" s="20">
        <f>(7117.44*($L$8))</f>
        <v>38078.303999999996</v>
      </c>
      <c r="Q192" s="12">
        <f>(7317.44*($L$8))</f>
        <v>39148.303999999996</v>
      </c>
    </row>
    <row r="193" spans="1:17" ht="12.75" customHeight="1" x14ac:dyDescent="0.2">
      <c r="A193" s="6"/>
      <c r="B193" s="10" t="s">
        <v>1226</v>
      </c>
      <c r="C193" s="20" t="s">
        <v>278</v>
      </c>
      <c r="D193" s="20" t="s">
        <v>1225</v>
      </c>
      <c r="E193" s="20" t="s">
        <v>330</v>
      </c>
      <c r="F193" s="20" t="s">
        <v>27</v>
      </c>
      <c r="G193" s="20" t="s">
        <v>67</v>
      </c>
      <c r="H193" s="20">
        <f>(6702.52*($L$8))</f>
        <v>35858.481999999996</v>
      </c>
      <c r="I193" s="20">
        <f>(6757.52*($L$8))</f>
        <v>36152.731999999996</v>
      </c>
      <c r="J193" s="20">
        <f>(6790.52*($L$8))</f>
        <v>36329.281999999999</v>
      </c>
      <c r="K193" s="20">
        <f>(6878.52*($L$8))</f>
        <v>36800.082000000002</v>
      </c>
      <c r="L193" s="20">
        <f>(6933.52*($L$8))</f>
        <v>37094.332000000002</v>
      </c>
      <c r="M193" s="20">
        <f>(6999.52*($L$8))</f>
        <v>37447.432000000001</v>
      </c>
      <c r="N193" s="20">
        <f>(7076.52*($L$8))</f>
        <v>37859.381999999998</v>
      </c>
      <c r="O193" s="20">
        <f>(7186.52*($L$8))</f>
        <v>38447.881999999998</v>
      </c>
      <c r="P193" s="20">
        <f>(7241.52*($L$8))</f>
        <v>38742.131999999998</v>
      </c>
      <c r="Q193" s="12">
        <f>(7461.52*($L$8))</f>
        <v>39919.131999999998</v>
      </c>
    </row>
    <row r="194" spans="1:17" ht="12.75" customHeight="1" x14ac:dyDescent="0.2">
      <c r="A194" s="6"/>
      <c r="B194" s="10" t="s">
        <v>1227</v>
      </c>
      <c r="C194" s="20" t="s">
        <v>280</v>
      </c>
      <c r="D194" s="20" t="s">
        <v>1225</v>
      </c>
      <c r="E194" s="20" t="s">
        <v>330</v>
      </c>
      <c r="F194" s="20" t="s">
        <v>27</v>
      </c>
      <c r="G194" s="20" t="s">
        <v>31</v>
      </c>
      <c r="H194" s="20">
        <f>(7055.74*($L$8))</f>
        <v>37748.208999999995</v>
      </c>
      <c r="I194" s="20">
        <f>(7115.74*($L$8))</f>
        <v>38069.208999999995</v>
      </c>
      <c r="J194" s="20">
        <f>(7151.74*($L$8))</f>
        <v>38261.808999999994</v>
      </c>
      <c r="K194" s="20">
        <f>(7247.74*($L$8))</f>
        <v>38775.409</v>
      </c>
      <c r="L194" s="20">
        <f>(7307.74*($L$8))</f>
        <v>39096.409</v>
      </c>
      <c r="M194" s="20">
        <f>(7379.74*($L$8))</f>
        <v>39481.608999999997</v>
      </c>
      <c r="N194" s="20">
        <f>(7463.74*($L$8))</f>
        <v>39931.008999999998</v>
      </c>
      <c r="O194" s="20">
        <f>(7583.74*($L$8))</f>
        <v>40573.008999999998</v>
      </c>
      <c r="P194" s="20">
        <f>(7643.74*($L$8))</f>
        <v>40894.008999999998</v>
      </c>
      <c r="Q194" s="12">
        <f>(7883.74*($L$8))</f>
        <v>42178.008999999998</v>
      </c>
    </row>
    <row r="195" spans="1:17" ht="12.75" customHeight="1" x14ac:dyDescent="0.2">
      <c r="A195" s="6"/>
      <c r="B195" s="10" t="s">
        <v>1228</v>
      </c>
      <c r="C195" s="20" t="s">
        <v>236</v>
      </c>
      <c r="D195" s="20" t="s">
        <v>1225</v>
      </c>
      <c r="E195" s="20" t="s">
        <v>330</v>
      </c>
      <c r="F195" s="20" t="s">
        <v>27</v>
      </c>
      <c r="G195" s="20" t="s">
        <v>48</v>
      </c>
      <c r="H195" s="20">
        <f>(7475.38*($L$8))</f>
        <v>39993.282999999996</v>
      </c>
      <c r="I195" s="20">
        <f>(7540.38*($L$8))</f>
        <v>40341.032999999996</v>
      </c>
      <c r="J195" s="20">
        <f>(7579.38*($L$8))</f>
        <v>40549.682999999997</v>
      </c>
      <c r="K195" s="20">
        <f>(7683.38*($L$8))</f>
        <v>41106.082999999999</v>
      </c>
      <c r="L195" s="20">
        <f>(7748.38*($L$8))</f>
        <v>41453.832999999999</v>
      </c>
      <c r="M195" s="20">
        <f>(7826.38*($L$8))</f>
        <v>41871.132999999994</v>
      </c>
      <c r="N195" s="20">
        <f>(7917.38*($L$8))</f>
        <v>42357.983</v>
      </c>
      <c r="O195" s="20">
        <f>(8047.38*($L$8))</f>
        <v>43053.483</v>
      </c>
      <c r="P195" s="20">
        <f>(8112.38*($L$8))</f>
        <v>43401.233</v>
      </c>
      <c r="Q195" s="12">
        <f>(8372.38*($L$8))</f>
        <v>44792.232999999993</v>
      </c>
    </row>
    <row r="196" spans="1:17" ht="12.75" customHeight="1" x14ac:dyDescent="0.2">
      <c r="A196" s="6"/>
      <c r="B196" s="10" t="s">
        <v>1229</v>
      </c>
      <c r="C196" s="20" t="s">
        <v>236</v>
      </c>
      <c r="D196" s="20" t="s">
        <v>1225</v>
      </c>
      <c r="E196" s="20" t="s">
        <v>330</v>
      </c>
      <c r="F196" s="20" t="s">
        <v>27</v>
      </c>
      <c r="G196" s="20" t="s">
        <v>48</v>
      </c>
      <c r="H196" s="20">
        <f>(6492.22*($L$8))</f>
        <v>34733.377</v>
      </c>
      <c r="I196" s="20">
        <f>(6557.22*($L$8))</f>
        <v>35081.127</v>
      </c>
      <c r="J196" s="20">
        <f>(6596.22*($L$8))</f>
        <v>35289.777000000002</v>
      </c>
      <c r="K196" s="20">
        <f>(6700.22*($L$8))</f>
        <v>35846.176999999996</v>
      </c>
      <c r="L196" s="20">
        <f>(6765.22*($L$8))</f>
        <v>36193.926999999996</v>
      </c>
      <c r="M196" s="20">
        <f>(6843.22*($L$8))</f>
        <v>36611.226999999999</v>
      </c>
      <c r="N196" s="20">
        <f>(6934.22*($L$8))</f>
        <v>37098.076999999997</v>
      </c>
      <c r="O196" s="20">
        <f>(7064.22*($L$8))</f>
        <v>37793.576999999997</v>
      </c>
      <c r="P196" s="20">
        <f>(7129.22*($L$8))</f>
        <v>38141.326999999997</v>
      </c>
      <c r="Q196" s="12">
        <f>(7389.22*($L$8))</f>
        <v>39532.326999999997</v>
      </c>
    </row>
    <row r="197" spans="1:17" ht="12.75" customHeight="1" x14ac:dyDescent="0.2">
      <c r="A197" s="6"/>
      <c r="B197" s="10" t="s">
        <v>1230</v>
      </c>
      <c r="C197" s="20" t="s">
        <v>280</v>
      </c>
      <c r="D197" s="20" t="s">
        <v>1225</v>
      </c>
      <c r="E197" s="20" t="s">
        <v>330</v>
      </c>
      <c r="F197" s="20" t="s">
        <v>27</v>
      </c>
      <c r="G197" s="20" t="s">
        <v>54</v>
      </c>
      <c r="H197" s="20">
        <f>(7928.14*($L$8))</f>
        <v>42415.548999999999</v>
      </c>
      <c r="I197" s="20">
        <f>(8003.14*($L$8))</f>
        <v>42816.798999999999</v>
      </c>
      <c r="J197" s="20">
        <f>(8048.14*($L$8))</f>
        <v>43057.548999999999</v>
      </c>
      <c r="K197" s="20">
        <f>(8168.14*($L$8))</f>
        <v>43699.548999999999</v>
      </c>
      <c r="L197" s="20">
        <f>(8243.14*($L$8))</f>
        <v>44100.798999999992</v>
      </c>
      <c r="M197" s="20">
        <f>(8333.14*($L$8))</f>
        <v>44582.298999999992</v>
      </c>
      <c r="N197" s="20">
        <f>(8438.14*($L$8))</f>
        <v>45144.048999999992</v>
      </c>
      <c r="O197" s="20">
        <f>(8588.14*($L$8))</f>
        <v>45946.548999999992</v>
      </c>
      <c r="P197" s="20">
        <f>(8663.14*($L$8))</f>
        <v>46347.798999999992</v>
      </c>
      <c r="Q197" s="12">
        <f>(8963.14*($L$8))</f>
        <v>47952.798999999992</v>
      </c>
    </row>
    <row r="198" spans="1:17" ht="12.75" customHeight="1" x14ac:dyDescent="0.2">
      <c r="A198" s="6"/>
      <c r="B198" s="10" t="s">
        <v>1231</v>
      </c>
      <c r="C198" s="20" t="s">
        <v>236</v>
      </c>
      <c r="D198" s="20" t="s">
        <v>1225</v>
      </c>
      <c r="E198" s="20" t="s">
        <v>330</v>
      </c>
      <c r="F198" s="20" t="s">
        <v>27</v>
      </c>
      <c r="G198" s="20" t="s">
        <v>54</v>
      </c>
      <c r="H198" s="20">
        <f>(7928.14*($L$8))</f>
        <v>42415.548999999999</v>
      </c>
      <c r="I198" s="20">
        <f>(8003.14*($L$8))</f>
        <v>42816.798999999999</v>
      </c>
      <c r="J198" s="20">
        <f>(8048.14*($L$8))</f>
        <v>43057.548999999999</v>
      </c>
      <c r="K198" s="20">
        <f>(8168.14*($L$8))</f>
        <v>43699.548999999999</v>
      </c>
      <c r="L198" s="20">
        <f>(8243.14*($L$8))</f>
        <v>44100.798999999992</v>
      </c>
      <c r="M198" s="20">
        <f>(8333.14*($L$8))</f>
        <v>44582.298999999992</v>
      </c>
      <c r="N198" s="20">
        <f>(8438.14*($L$8))</f>
        <v>45144.048999999992</v>
      </c>
      <c r="O198" s="20">
        <f>(8588.14*($L$8))</f>
        <v>45946.548999999992</v>
      </c>
      <c r="P198" s="20">
        <f>(8663.14*($L$8))</f>
        <v>46347.798999999992</v>
      </c>
      <c r="Q198" s="12">
        <f>(8963.14*($L$8))</f>
        <v>47952.798999999992</v>
      </c>
    </row>
    <row r="199" spans="1:17" ht="30" customHeight="1" x14ac:dyDescent="0.35">
      <c r="A199" s="6"/>
      <c r="B199" s="23" t="s">
        <v>1232</v>
      </c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5"/>
    </row>
    <row r="200" spans="1:17" ht="12.75" customHeight="1" x14ac:dyDescent="0.2">
      <c r="A200" s="7" t="s">
        <v>6</v>
      </c>
      <c r="B200" s="8" t="s">
        <v>7</v>
      </c>
      <c r="C200" s="8" t="s">
        <v>8</v>
      </c>
      <c r="D200" s="8" t="s">
        <v>9</v>
      </c>
      <c r="E200" s="8" t="s">
        <v>10</v>
      </c>
      <c r="F200" s="8" t="s">
        <v>11</v>
      </c>
      <c r="G200" s="8" t="s">
        <v>12</v>
      </c>
      <c r="H200" s="8" t="s">
        <v>13</v>
      </c>
      <c r="I200" s="8" t="s">
        <v>14</v>
      </c>
      <c r="J200" s="8" t="s">
        <v>15</v>
      </c>
      <c r="K200" s="8" t="s">
        <v>16</v>
      </c>
      <c r="L200" s="8" t="s">
        <v>17</v>
      </c>
      <c r="M200" s="8" t="s">
        <v>18</v>
      </c>
      <c r="N200" s="8" t="s">
        <v>19</v>
      </c>
      <c r="O200" s="8" t="s">
        <v>20</v>
      </c>
      <c r="P200" s="8" t="s">
        <v>21</v>
      </c>
      <c r="Q200" s="9" t="s">
        <v>22</v>
      </c>
    </row>
    <row r="201" spans="1:17" ht="12.75" customHeight="1" x14ac:dyDescent="0.2">
      <c r="A201" s="6"/>
      <c r="B201" s="10" t="s">
        <v>1233</v>
      </c>
      <c r="C201" s="20" t="s">
        <v>1234</v>
      </c>
      <c r="D201" s="20" t="s">
        <v>1235</v>
      </c>
      <c r="E201" s="20" t="s">
        <v>1236</v>
      </c>
      <c r="F201" s="20" t="s">
        <v>27</v>
      </c>
      <c r="G201" s="20" t="s">
        <v>229</v>
      </c>
      <c r="H201" s="20">
        <f>(6495*($L$8))</f>
        <v>34748.25</v>
      </c>
      <c r="I201" s="20">
        <f>(6633*($L$8))</f>
        <v>35486.549999999996</v>
      </c>
      <c r="J201" s="20">
        <f>(6715.8*($L$8))</f>
        <v>35929.53</v>
      </c>
      <c r="K201" s="20">
        <f>(6936.6*($L$8))</f>
        <v>37110.81</v>
      </c>
      <c r="L201" s="20">
        <f>(7074.6*($L$8))</f>
        <v>37849.11</v>
      </c>
      <c r="M201" s="20">
        <f>(7240.2*($L$8))</f>
        <v>38735.07</v>
      </c>
      <c r="N201" s="20">
        <f>(7433.4*($L$8))</f>
        <v>39768.689999999995</v>
      </c>
      <c r="O201" s="20">
        <f>(7709.4*($L$8))</f>
        <v>41245.289999999994</v>
      </c>
      <c r="P201" s="20">
        <f>(7847.4*($L$8))</f>
        <v>41983.59</v>
      </c>
      <c r="Q201" s="12">
        <f>(8399.4*($L$8))</f>
        <v>44936.789999999994</v>
      </c>
    </row>
    <row r="202" spans="1:17" ht="12.75" customHeight="1" x14ac:dyDescent="0.2">
      <c r="A202" s="6"/>
      <c r="B202" s="10" t="s">
        <v>1237</v>
      </c>
      <c r="C202" s="20" t="s">
        <v>1238</v>
      </c>
      <c r="D202" s="20" t="s">
        <v>1235</v>
      </c>
      <c r="E202" s="20" t="s">
        <v>1236</v>
      </c>
      <c r="F202" s="20" t="s">
        <v>27</v>
      </c>
      <c r="G202" s="20" t="s">
        <v>231</v>
      </c>
      <c r="H202" s="20">
        <f>(7438.66*($L$8))</f>
        <v>39796.830999999998</v>
      </c>
      <c r="I202" s="20">
        <f>(7588.66*($L$8))</f>
        <v>40599.330999999998</v>
      </c>
      <c r="J202" s="20">
        <f>(7678.66*($L$8))</f>
        <v>41080.830999999998</v>
      </c>
      <c r="K202" s="20">
        <f>(7918.66*($L$8))</f>
        <v>42364.830999999998</v>
      </c>
      <c r="L202" s="20">
        <f>(8068.66*($L$8))</f>
        <v>43167.330999999998</v>
      </c>
      <c r="M202" s="20">
        <f>(8248.66*($L$8))</f>
        <v>44130.330999999998</v>
      </c>
      <c r="N202" s="20">
        <f>(8458.66*($L$8))</f>
        <v>45253.830999999998</v>
      </c>
      <c r="O202" s="20">
        <f>(8758.66*($L$8))</f>
        <v>46858.830999999998</v>
      </c>
      <c r="P202" s="20">
        <f>(8908.66*($L$8))</f>
        <v>47661.330999999998</v>
      </c>
      <c r="Q202" s="12">
        <f>(9508.66*($L$8))</f>
        <v>50871.330999999998</v>
      </c>
    </row>
    <row r="203" spans="1:17" ht="12.75" customHeight="1" x14ac:dyDescent="0.2">
      <c r="A203" s="6"/>
      <c r="B203" s="10" t="s">
        <v>1239</v>
      </c>
      <c r="C203" s="20" t="s">
        <v>88</v>
      </c>
      <c r="D203" s="20" t="s">
        <v>1235</v>
      </c>
      <c r="E203" s="20" t="s">
        <v>1236</v>
      </c>
      <c r="F203" s="20" t="s">
        <v>27</v>
      </c>
      <c r="G203" s="20" t="s">
        <v>154</v>
      </c>
      <c r="H203" s="20">
        <f>(6183.88*($L$8))</f>
        <v>33083.758000000002</v>
      </c>
      <c r="I203" s="20">
        <f>(6293.88*($L$8))</f>
        <v>33672.258000000002</v>
      </c>
      <c r="J203" s="20">
        <f>(6359.88*($L$8))</f>
        <v>34025.358</v>
      </c>
      <c r="K203" s="20">
        <f>(6535.88*($L$8))</f>
        <v>34966.957999999999</v>
      </c>
      <c r="L203" s="20">
        <f>(6645.88*($L$8))</f>
        <v>35555.457999999999</v>
      </c>
      <c r="M203" s="20">
        <f>(6777.88*($L$8))</f>
        <v>36261.657999999996</v>
      </c>
      <c r="N203" s="20">
        <f>(6931.88*($L$8))</f>
        <v>37085.557999999997</v>
      </c>
      <c r="O203" s="20">
        <f>(7151.88*($L$8))</f>
        <v>38262.557999999997</v>
      </c>
      <c r="P203" s="20">
        <f>(7261.88*($L$8))</f>
        <v>38851.057999999997</v>
      </c>
      <c r="Q203" s="12">
        <f>(7701.88*($L$8))</f>
        <v>41205.057999999997</v>
      </c>
    </row>
    <row r="204" spans="1:17" ht="12.75" customHeight="1" x14ac:dyDescent="0.2">
      <c r="A204" s="6"/>
      <c r="B204" s="10" t="s">
        <v>1240</v>
      </c>
      <c r="C204" s="32">
        <f>(920*($L$8))</f>
        <v>4922</v>
      </c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4"/>
    </row>
    <row r="205" spans="1:17" ht="12.75" customHeight="1" x14ac:dyDescent="0.2">
      <c r="A205" s="6"/>
      <c r="B205" s="10" t="s">
        <v>1241</v>
      </c>
      <c r="C205" s="32">
        <f>(2132.08*($L$8))</f>
        <v>11406.627999999999</v>
      </c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4"/>
    </row>
    <row r="206" spans="1:17" ht="30" customHeight="1" x14ac:dyDescent="0.35">
      <c r="A206" s="6"/>
      <c r="B206" s="23" t="s">
        <v>1242</v>
      </c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5"/>
    </row>
    <row r="207" spans="1:17" ht="12.75" customHeight="1" x14ac:dyDescent="0.2">
      <c r="A207" s="7" t="s">
        <v>6</v>
      </c>
      <c r="B207" s="8" t="s">
        <v>7</v>
      </c>
      <c r="C207" s="8" t="s">
        <v>8</v>
      </c>
      <c r="D207" s="8" t="s">
        <v>9</v>
      </c>
      <c r="E207" s="8" t="s">
        <v>10</v>
      </c>
      <c r="F207" s="8" t="s">
        <v>11</v>
      </c>
      <c r="G207" s="8" t="s">
        <v>12</v>
      </c>
      <c r="H207" s="8" t="s">
        <v>13</v>
      </c>
      <c r="I207" s="8" t="s">
        <v>14</v>
      </c>
      <c r="J207" s="8" t="s">
        <v>15</v>
      </c>
      <c r="K207" s="8" t="s">
        <v>16</v>
      </c>
      <c r="L207" s="8" t="s">
        <v>17</v>
      </c>
      <c r="M207" s="8" t="s">
        <v>18</v>
      </c>
      <c r="N207" s="8" t="s">
        <v>19</v>
      </c>
      <c r="O207" s="8" t="s">
        <v>20</v>
      </c>
      <c r="P207" s="8" t="s">
        <v>21</v>
      </c>
      <c r="Q207" s="9" t="s">
        <v>22</v>
      </c>
    </row>
    <row r="208" spans="1:17" ht="12.75" customHeight="1" x14ac:dyDescent="0.2">
      <c r="A208" s="6"/>
      <c r="B208" s="10" t="s">
        <v>1453</v>
      </c>
      <c r="C208" s="20" t="s">
        <v>1084</v>
      </c>
      <c r="D208" s="20" t="s">
        <v>1243</v>
      </c>
      <c r="E208" s="20" t="s">
        <v>1244</v>
      </c>
      <c r="F208" s="20" t="s">
        <v>27</v>
      </c>
      <c r="G208" s="20" t="s">
        <v>524</v>
      </c>
      <c r="H208" s="20">
        <f>(3020.18*($L$8))</f>
        <v>16157.962999999998</v>
      </c>
      <c r="I208" s="20">
        <f>(3055.18*($L$8))</f>
        <v>16345.212999999998</v>
      </c>
      <c r="J208" s="20">
        <f>(3076.18*($L$8))</f>
        <v>16457.562999999998</v>
      </c>
      <c r="K208" s="20">
        <f>(3132.18*($L$8))</f>
        <v>16757.162999999997</v>
      </c>
      <c r="L208" s="20">
        <f>(3167.18*($L$8))</f>
        <v>16944.412999999997</v>
      </c>
      <c r="M208" s="20">
        <f>(3209.18*($L$8))</f>
        <v>17169.112999999998</v>
      </c>
      <c r="N208" s="20">
        <f>(3258.18*($L$8))</f>
        <v>17431.262999999999</v>
      </c>
      <c r="O208" s="20">
        <f>(3328.18*($L$8))</f>
        <v>17805.762999999999</v>
      </c>
      <c r="P208" s="20">
        <f>(3363.18*($L$8))</f>
        <v>17993.012999999999</v>
      </c>
      <c r="Q208" s="12">
        <f>(3503.18*($L$8))</f>
        <v>18742.012999999999</v>
      </c>
    </row>
    <row r="209" spans="1:17" ht="30" customHeight="1" x14ac:dyDescent="0.3">
      <c r="A209" s="6"/>
      <c r="B209" s="35" t="s">
        <v>1245</v>
      </c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7"/>
    </row>
    <row r="210" spans="1:17" ht="12.75" customHeight="1" x14ac:dyDescent="0.2">
      <c r="A210" s="7" t="s">
        <v>6</v>
      </c>
      <c r="B210" s="8" t="s">
        <v>7</v>
      </c>
      <c r="C210" s="8" t="s">
        <v>8</v>
      </c>
      <c r="D210" s="8" t="s">
        <v>9</v>
      </c>
      <c r="E210" s="8" t="s">
        <v>10</v>
      </c>
      <c r="F210" s="8" t="s">
        <v>11</v>
      </c>
      <c r="G210" s="8" t="s">
        <v>12</v>
      </c>
      <c r="H210" s="8" t="s">
        <v>13</v>
      </c>
      <c r="I210" s="8" t="s">
        <v>14</v>
      </c>
      <c r="J210" s="8" t="s">
        <v>15</v>
      </c>
      <c r="K210" s="8" t="s">
        <v>16</v>
      </c>
      <c r="L210" s="8" t="s">
        <v>17</v>
      </c>
      <c r="M210" s="8" t="s">
        <v>18</v>
      </c>
      <c r="N210" s="8" t="s">
        <v>19</v>
      </c>
      <c r="O210" s="8" t="s">
        <v>20</v>
      </c>
      <c r="P210" s="8" t="s">
        <v>21</v>
      </c>
      <c r="Q210" s="9" t="s">
        <v>22</v>
      </c>
    </row>
    <row r="211" spans="1:17" ht="12.75" customHeight="1" x14ac:dyDescent="0.2">
      <c r="A211" s="6"/>
      <c r="B211" s="10" t="s">
        <v>1246</v>
      </c>
      <c r="C211" s="20" t="s">
        <v>275</v>
      </c>
      <c r="D211" s="20" t="s">
        <v>1247</v>
      </c>
      <c r="E211" s="20" t="s">
        <v>697</v>
      </c>
      <c r="F211" s="20" t="s">
        <v>27</v>
      </c>
      <c r="G211" s="20" t="s">
        <v>403</v>
      </c>
      <c r="H211" s="20">
        <f>(3707.83*($L$8))</f>
        <v>19836.890499999998</v>
      </c>
      <c r="I211" s="20">
        <f>(3737.83*($L$8))</f>
        <v>19997.390499999998</v>
      </c>
      <c r="J211" s="20">
        <f>(3755.83*($L$8))</f>
        <v>20093.690499999997</v>
      </c>
      <c r="K211" s="20">
        <f>(3803.83*($L$8))</f>
        <v>20350.4905</v>
      </c>
      <c r="L211" s="20">
        <f>(3833.83*($L$8))</f>
        <v>20510.9905</v>
      </c>
      <c r="M211" s="20">
        <f>(3869.83*($L$8))</f>
        <v>20703.590499999998</v>
      </c>
      <c r="N211" s="20">
        <f>(3911.83*($L$8))</f>
        <v>20928.290499999999</v>
      </c>
      <c r="O211" s="20">
        <f>(3971.83*($L$8))</f>
        <v>21249.290499999999</v>
      </c>
      <c r="P211" s="20">
        <f>(4001.83*($L$8))</f>
        <v>21409.790499999999</v>
      </c>
      <c r="Q211" s="12">
        <f>(4121.83*($L$8))</f>
        <v>22051.790499999999</v>
      </c>
    </row>
    <row r="212" spans="1:17" ht="30" customHeight="1" x14ac:dyDescent="0.35">
      <c r="A212" s="6"/>
      <c r="B212" s="23" t="s">
        <v>1248</v>
      </c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5"/>
    </row>
    <row r="213" spans="1:17" ht="12.75" customHeight="1" x14ac:dyDescent="0.2">
      <c r="A213" s="7" t="s">
        <v>6</v>
      </c>
      <c r="B213" s="8" t="s">
        <v>7</v>
      </c>
      <c r="C213" s="8" t="s">
        <v>8</v>
      </c>
      <c r="D213" s="8" t="s">
        <v>9</v>
      </c>
      <c r="E213" s="8" t="s">
        <v>10</v>
      </c>
      <c r="F213" s="8" t="s">
        <v>11</v>
      </c>
      <c r="G213" s="8" t="s">
        <v>12</v>
      </c>
      <c r="H213" s="8" t="s">
        <v>13</v>
      </c>
      <c r="I213" s="8" t="s">
        <v>14</v>
      </c>
      <c r="J213" s="8" t="s">
        <v>15</v>
      </c>
      <c r="K213" s="8" t="s">
        <v>16</v>
      </c>
      <c r="L213" s="8" t="s">
        <v>17</v>
      </c>
      <c r="M213" s="8" t="s">
        <v>18</v>
      </c>
      <c r="N213" s="8" t="s">
        <v>19</v>
      </c>
      <c r="O213" s="8" t="s">
        <v>20</v>
      </c>
      <c r="P213" s="8" t="s">
        <v>21</v>
      </c>
      <c r="Q213" s="9" t="s">
        <v>22</v>
      </c>
    </row>
    <row r="214" spans="1:17" ht="12.75" customHeight="1" x14ac:dyDescent="0.2">
      <c r="A214" s="6"/>
      <c r="B214" s="10" t="s">
        <v>1249</v>
      </c>
      <c r="C214" s="20" t="s">
        <v>137</v>
      </c>
      <c r="D214" s="20" t="s">
        <v>696</v>
      </c>
      <c r="E214" s="20" t="s">
        <v>124</v>
      </c>
      <c r="F214" s="20" t="s">
        <v>383</v>
      </c>
      <c r="G214" s="20" t="s">
        <v>166</v>
      </c>
      <c r="H214" s="20">
        <f>(5461.81*($L$8))</f>
        <v>29220.683499999999</v>
      </c>
      <c r="I214" s="20">
        <f>(5541.81*($L$8))</f>
        <v>29648.683499999999</v>
      </c>
      <c r="J214" s="20">
        <f>(5589.81*($L$8))</f>
        <v>29905.483499999998</v>
      </c>
      <c r="K214" s="20">
        <f>(5717.81*($L$8))</f>
        <v>30590.283500000001</v>
      </c>
      <c r="L214" s="20">
        <f>(5797.81*($L$8))</f>
        <v>31018.283500000001</v>
      </c>
      <c r="M214" s="20">
        <f>(5893.81*($L$8))</f>
        <v>31531.8835</v>
      </c>
      <c r="N214" s="20">
        <f>(6005.81*($L$8))</f>
        <v>32131.083500000001</v>
      </c>
      <c r="O214" s="20">
        <f>(6165.81*($L$8))</f>
        <v>32987.083500000001</v>
      </c>
      <c r="P214" s="20">
        <f>(6245.81*($L$8))</f>
        <v>33415.083500000001</v>
      </c>
      <c r="Q214" s="12">
        <f>(6565.81*($L$8))</f>
        <v>35127.083500000001</v>
      </c>
    </row>
    <row r="215" spans="1:17" ht="12.75" customHeight="1" x14ac:dyDescent="0.2">
      <c r="A215" s="6"/>
      <c r="B215" s="10" t="s">
        <v>1250</v>
      </c>
      <c r="C215" s="20" t="s">
        <v>292</v>
      </c>
      <c r="D215" s="20" t="s">
        <v>696</v>
      </c>
      <c r="E215" s="20" t="s">
        <v>124</v>
      </c>
      <c r="F215" s="20" t="s">
        <v>383</v>
      </c>
      <c r="G215" s="20" t="s">
        <v>154</v>
      </c>
      <c r="H215" s="20">
        <f>(5687.48*($L$8))</f>
        <v>30428.017999999996</v>
      </c>
      <c r="I215" s="20">
        <f>(5772.48*($L$8))</f>
        <v>30882.767999999996</v>
      </c>
      <c r="J215" s="20">
        <f>(5823.48*($L$8))</f>
        <v>31155.617999999995</v>
      </c>
      <c r="K215" s="20">
        <f>(5959.48*($L$8))</f>
        <v>31883.217999999997</v>
      </c>
      <c r="L215" s="20">
        <f>(6044.48*($L$8))</f>
        <v>32337.967999999997</v>
      </c>
      <c r="M215" s="20">
        <f>(6146.48*($L$8))</f>
        <v>32883.667999999998</v>
      </c>
      <c r="N215" s="20">
        <f>(6265.48*($L$8))</f>
        <v>33520.317999999992</v>
      </c>
      <c r="O215" s="20">
        <f>(6435.48*($L$8))</f>
        <v>34429.817999999992</v>
      </c>
      <c r="P215" s="20">
        <f>(6520.48*($L$8))</f>
        <v>34884.567999999992</v>
      </c>
      <c r="Q215" s="12">
        <f>(6860.48*($L$8))</f>
        <v>36703.567999999992</v>
      </c>
    </row>
    <row r="216" spans="1:17" ht="12.75" customHeight="1" x14ac:dyDescent="0.2">
      <c r="A216" s="6"/>
      <c r="B216" s="10" t="s">
        <v>1251</v>
      </c>
      <c r="C216" s="20" t="s">
        <v>273</v>
      </c>
      <c r="D216" s="20" t="s">
        <v>696</v>
      </c>
      <c r="E216" s="20" t="s">
        <v>124</v>
      </c>
      <c r="F216" s="20" t="s">
        <v>383</v>
      </c>
      <c r="G216" s="20" t="s">
        <v>157</v>
      </c>
      <c r="H216" s="20">
        <f>(5847.56*($L$8))</f>
        <v>31284.446</v>
      </c>
      <c r="I216" s="20">
        <f>(5937.56*($L$8))</f>
        <v>31765.946</v>
      </c>
      <c r="J216" s="20">
        <f>(5991.56*($L$8))</f>
        <v>32054.846000000001</v>
      </c>
      <c r="K216" s="20">
        <f>(6135.56*($L$8))</f>
        <v>32825.245999999999</v>
      </c>
      <c r="L216" s="20">
        <f>(6225.56*($L$8))</f>
        <v>33306.745999999999</v>
      </c>
      <c r="M216" s="20">
        <f>(6333.56*($L$8))</f>
        <v>33884.546000000002</v>
      </c>
      <c r="N216" s="20">
        <f>(6459.56*($L$8))</f>
        <v>34558.646000000001</v>
      </c>
      <c r="O216" s="20">
        <f>(6639.56*($L$8))</f>
        <v>35521.646000000001</v>
      </c>
      <c r="P216" s="20">
        <f>(6729.56*($L$8))</f>
        <v>36003.146000000001</v>
      </c>
      <c r="Q216" s="12">
        <f>(7089.56*($L$8))</f>
        <v>37929.146000000001</v>
      </c>
    </row>
    <row r="217" spans="1:17" ht="12.75" customHeight="1" x14ac:dyDescent="0.2">
      <c r="A217" s="6"/>
      <c r="B217" s="10" t="s">
        <v>1252</v>
      </c>
      <c r="C217" s="20" t="s">
        <v>278</v>
      </c>
      <c r="D217" s="20" t="s">
        <v>696</v>
      </c>
      <c r="E217" s="20" t="s">
        <v>124</v>
      </c>
      <c r="F217" s="20" t="s">
        <v>383</v>
      </c>
      <c r="G217" s="20" t="s">
        <v>160</v>
      </c>
      <c r="H217" s="20">
        <f>(6024.77*($L$8))</f>
        <v>32232.519499999999</v>
      </c>
      <c r="I217" s="20">
        <f>(6120.77*($L$8))</f>
        <v>32746.119500000001</v>
      </c>
      <c r="J217" s="20">
        <f>(6178.37*($L$8))</f>
        <v>33054.279499999997</v>
      </c>
      <c r="K217" s="20">
        <f>(6331.97*($L$8))</f>
        <v>33876.039499999999</v>
      </c>
      <c r="L217" s="20">
        <f>(6427.97*($L$8))</f>
        <v>34389.639499999997</v>
      </c>
      <c r="M217" s="20">
        <f>(6543.17*($L$8))</f>
        <v>35005.959499999997</v>
      </c>
      <c r="N217" s="20">
        <f>(6677.57*($L$8))</f>
        <v>35724.999499999998</v>
      </c>
      <c r="O217" s="20">
        <f>(6869.57*($L$8))</f>
        <v>36752.199499999995</v>
      </c>
      <c r="P217" s="20">
        <f>(6965.57*($L$8))</f>
        <v>37265.799499999994</v>
      </c>
      <c r="Q217" s="12">
        <f>(7349.57*($L$8))</f>
        <v>39320.199499999995</v>
      </c>
    </row>
    <row r="218" spans="1:17" ht="12.75" customHeight="1" x14ac:dyDescent="0.2">
      <c r="A218" s="6"/>
      <c r="B218" s="10" t="s">
        <v>1253</v>
      </c>
      <c r="C218" s="20" t="s">
        <v>280</v>
      </c>
      <c r="D218" s="20" t="s">
        <v>696</v>
      </c>
      <c r="E218" s="20" t="s">
        <v>124</v>
      </c>
      <c r="F218" s="20" t="s">
        <v>383</v>
      </c>
      <c r="G218" s="20" t="s">
        <v>163</v>
      </c>
      <c r="H218" s="20">
        <f>(6185.73*($L$8))</f>
        <v>33093.655499999993</v>
      </c>
      <c r="I218" s="20">
        <f>(6285.73*($L$8))</f>
        <v>33628.655499999993</v>
      </c>
      <c r="J218" s="20">
        <f>(6345.73*($L$8))</f>
        <v>33949.655499999993</v>
      </c>
      <c r="K218" s="20">
        <f>(6505.73*($L$8))</f>
        <v>34805.655499999993</v>
      </c>
      <c r="L218" s="20">
        <f>(6605.73*($L$8))</f>
        <v>35340.655499999993</v>
      </c>
      <c r="M218" s="20">
        <f>(6725.73*($L$8))</f>
        <v>35982.655499999993</v>
      </c>
      <c r="N218" s="20">
        <f>(6865.73*($L$8))</f>
        <v>36731.655499999993</v>
      </c>
      <c r="O218" s="20">
        <f>(7065.73*($L$8))</f>
        <v>37801.655499999993</v>
      </c>
      <c r="P218" s="20">
        <f>(7165.73*($L$8))</f>
        <v>38336.655499999993</v>
      </c>
      <c r="Q218" s="12">
        <f>(7565.73*($L$8))</f>
        <v>40476.655499999993</v>
      </c>
    </row>
    <row r="219" spans="1:17" ht="12.75" customHeight="1" x14ac:dyDescent="0.2">
      <c r="A219" s="6"/>
      <c r="B219" s="10" t="s">
        <v>1254</v>
      </c>
      <c r="C219" s="20" t="s">
        <v>236</v>
      </c>
      <c r="D219" s="20" t="s">
        <v>696</v>
      </c>
      <c r="E219" s="20" t="s">
        <v>124</v>
      </c>
      <c r="F219" s="20" t="s">
        <v>383</v>
      </c>
      <c r="G219" s="20" t="s">
        <v>182</v>
      </c>
      <c r="H219" s="20">
        <f>(6367.74*($L$8))</f>
        <v>34067.409</v>
      </c>
      <c r="I219" s="20">
        <f>(6477.74*($L$8))</f>
        <v>34655.909</v>
      </c>
      <c r="J219" s="20">
        <f>(6543.74*($L$8))</f>
        <v>35009.008999999998</v>
      </c>
      <c r="K219" s="20">
        <f>(6719.74*($L$8))</f>
        <v>35950.608999999997</v>
      </c>
      <c r="L219" s="20">
        <f>(6829.74*($L$8))</f>
        <v>36539.108999999997</v>
      </c>
      <c r="M219" s="20">
        <f>(6961.74*($L$8))</f>
        <v>37245.308999999994</v>
      </c>
      <c r="N219" s="20">
        <f>(7115.74*($L$8))</f>
        <v>38069.208999999995</v>
      </c>
      <c r="O219" s="20">
        <f>(7335.74*($L$8))</f>
        <v>39246.208999999995</v>
      </c>
      <c r="P219" s="20">
        <f>(7445.74*($L$8))</f>
        <v>39834.708999999995</v>
      </c>
      <c r="Q219" s="12">
        <f>(7885.74*($L$8))</f>
        <v>42188.708999999995</v>
      </c>
    </row>
    <row r="220" spans="1:17" ht="30" customHeight="1" x14ac:dyDescent="0.35">
      <c r="A220" s="6"/>
      <c r="B220" s="23" t="s">
        <v>1255</v>
      </c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5"/>
    </row>
    <row r="221" spans="1:17" ht="12.75" customHeight="1" x14ac:dyDescent="0.2">
      <c r="A221" s="7" t="s">
        <v>6</v>
      </c>
      <c r="B221" s="8" t="s">
        <v>7</v>
      </c>
      <c r="C221" s="8" t="s">
        <v>8</v>
      </c>
      <c r="D221" s="8" t="s">
        <v>9</v>
      </c>
      <c r="E221" s="8" t="s">
        <v>10</v>
      </c>
      <c r="F221" s="8" t="s">
        <v>11</v>
      </c>
      <c r="G221" s="8" t="s">
        <v>12</v>
      </c>
      <c r="H221" s="8" t="s">
        <v>13</v>
      </c>
      <c r="I221" s="8" t="s">
        <v>14</v>
      </c>
      <c r="J221" s="8" t="s">
        <v>15</v>
      </c>
      <c r="K221" s="8" t="s">
        <v>16</v>
      </c>
      <c r="L221" s="8" t="s">
        <v>17</v>
      </c>
      <c r="M221" s="8" t="s">
        <v>18</v>
      </c>
      <c r="N221" s="8" t="s">
        <v>19</v>
      </c>
      <c r="O221" s="8" t="s">
        <v>20</v>
      </c>
      <c r="P221" s="8" t="s">
        <v>21</v>
      </c>
      <c r="Q221" s="9" t="s">
        <v>22</v>
      </c>
    </row>
    <row r="222" spans="1:17" ht="12.75" customHeight="1" x14ac:dyDescent="0.2">
      <c r="A222" s="6"/>
      <c r="B222" s="10" t="s">
        <v>1256</v>
      </c>
      <c r="C222" s="20" t="s">
        <v>137</v>
      </c>
      <c r="D222" s="20" t="s">
        <v>149</v>
      </c>
      <c r="E222" s="20" t="s">
        <v>697</v>
      </c>
      <c r="F222" s="20" t="s">
        <v>300</v>
      </c>
      <c r="G222" s="20" t="s">
        <v>166</v>
      </c>
      <c r="H222" s="20">
        <f>(5731.43*($L$8))</f>
        <v>30663.1505</v>
      </c>
      <c r="I222" s="20">
        <f>(5816.43*($L$8))</f>
        <v>31117.9005</v>
      </c>
      <c r="J222" s="20">
        <f>(5867.43*($L$8))</f>
        <v>31390.750499999998</v>
      </c>
      <c r="K222" s="20">
        <f>(6003.43*($L$8))</f>
        <v>32118.3505</v>
      </c>
      <c r="L222" s="20">
        <f>(6088.43*($L$8))</f>
        <v>32573.1005</v>
      </c>
      <c r="M222" s="20">
        <f>(6190.43*($L$8))</f>
        <v>33118.800499999998</v>
      </c>
      <c r="N222" s="20">
        <f>(6309.43*($L$8))</f>
        <v>33755.450499999999</v>
      </c>
      <c r="O222" s="20">
        <f>(6479.43*($L$8))</f>
        <v>34664.950499999999</v>
      </c>
      <c r="P222" s="20">
        <f>(6564.43*($L$8))</f>
        <v>35119.700499999999</v>
      </c>
      <c r="Q222" s="12">
        <f>(6904.43*($L$8))</f>
        <v>36938.700499999999</v>
      </c>
    </row>
    <row r="223" spans="1:17" ht="12.75" customHeight="1" x14ac:dyDescent="0.2">
      <c r="A223" s="6"/>
      <c r="B223" s="10" t="s">
        <v>1257</v>
      </c>
      <c r="C223" s="20" t="s">
        <v>292</v>
      </c>
      <c r="D223" s="20" t="s">
        <v>149</v>
      </c>
      <c r="E223" s="20" t="s">
        <v>697</v>
      </c>
      <c r="F223" s="20" t="s">
        <v>300</v>
      </c>
      <c r="G223" s="20" t="s">
        <v>154</v>
      </c>
      <c r="H223" s="20">
        <f>(6182.62*($L$8))</f>
        <v>33077.017</v>
      </c>
      <c r="I223" s="20">
        <f>(6272.62*($L$8))</f>
        <v>33558.517</v>
      </c>
      <c r="J223" s="20">
        <f>(6326.62*($L$8))</f>
        <v>33847.416999999994</v>
      </c>
      <c r="K223" s="20">
        <f>(6470.62*($L$8))</f>
        <v>34617.816999999995</v>
      </c>
      <c r="L223" s="20">
        <f>(6560.62*($L$8))</f>
        <v>35099.316999999995</v>
      </c>
      <c r="M223" s="20">
        <f>(6668.62*($L$8))</f>
        <v>35677.116999999998</v>
      </c>
      <c r="N223" s="20">
        <f>(6794.62*($L$8))</f>
        <v>36351.216999999997</v>
      </c>
      <c r="O223" s="20">
        <f>(6974.62*($L$8))</f>
        <v>37314.216999999997</v>
      </c>
      <c r="P223" s="20">
        <f>(7064.62*($L$8))</f>
        <v>37795.716999999997</v>
      </c>
      <c r="Q223" s="12">
        <f>(7424.62*($L$8))</f>
        <v>39721.716999999997</v>
      </c>
    </row>
    <row r="224" spans="1:17" ht="12.75" customHeight="1" x14ac:dyDescent="0.2">
      <c r="A224" s="6"/>
      <c r="B224" s="10" t="s">
        <v>1258</v>
      </c>
      <c r="C224" s="20" t="s">
        <v>273</v>
      </c>
      <c r="D224" s="20" t="s">
        <v>149</v>
      </c>
      <c r="E224" s="20" t="s">
        <v>697</v>
      </c>
      <c r="F224" s="20" t="s">
        <v>300</v>
      </c>
      <c r="G224" s="20" t="s">
        <v>157</v>
      </c>
      <c r="H224" s="20">
        <f>(6439.93*($L$8))</f>
        <v>34453.625500000002</v>
      </c>
      <c r="I224" s="20">
        <f>(6534.93*($L$8))</f>
        <v>34961.875500000002</v>
      </c>
      <c r="J224" s="20">
        <f>(6591.93*($L$8))</f>
        <v>35266.825499999999</v>
      </c>
      <c r="K224" s="20">
        <f>(6743.93*($L$8))</f>
        <v>36080.025499999996</v>
      </c>
      <c r="L224" s="20">
        <f>(6838.93*($L$8))</f>
        <v>36588.275499999996</v>
      </c>
      <c r="M224" s="20">
        <f>(6952.93*($L$8))</f>
        <v>37198.175499999998</v>
      </c>
      <c r="N224" s="20">
        <f>(7085.93*($L$8))</f>
        <v>37909.7255</v>
      </c>
      <c r="O224" s="20">
        <f>(7275.93*($L$8))</f>
        <v>38926.2255</v>
      </c>
      <c r="P224" s="20">
        <f>(7370.93*($L$8))</f>
        <v>39434.4755</v>
      </c>
      <c r="Q224" s="12">
        <f>(7750.93*($L$8))</f>
        <v>41467.4755</v>
      </c>
    </row>
    <row r="225" spans="1:17" ht="12.75" customHeight="1" x14ac:dyDescent="0.2">
      <c r="A225" s="6"/>
      <c r="B225" s="10" t="s">
        <v>1259</v>
      </c>
      <c r="C225" s="20" t="s">
        <v>278</v>
      </c>
      <c r="D225" s="20" t="s">
        <v>149</v>
      </c>
      <c r="E225" s="20" t="s">
        <v>697</v>
      </c>
      <c r="F225" s="20" t="s">
        <v>300</v>
      </c>
      <c r="G225" s="20" t="s">
        <v>160</v>
      </c>
      <c r="H225" s="20">
        <f>(6703.51*($L$8))</f>
        <v>35863.7785</v>
      </c>
      <c r="I225" s="20">
        <f>(6803.51*($L$8))</f>
        <v>36398.7785</v>
      </c>
      <c r="J225" s="20">
        <f>(6863.51*($L$8))</f>
        <v>36719.7785</v>
      </c>
      <c r="K225" s="20">
        <f>(7023.51*($L$8))</f>
        <v>37575.7785</v>
      </c>
      <c r="L225" s="20">
        <f>(7123.51*($L$8))</f>
        <v>38110.7785</v>
      </c>
      <c r="M225" s="20">
        <f>(7243.51*($L$8))</f>
        <v>38752.7785</v>
      </c>
      <c r="N225" s="20">
        <f>(7383.51*($L$8))</f>
        <v>39501.7785</v>
      </c>
      <c r="O225" s="20">
        <f>(7583.51*($L$8))</f>
        <v>40571.7785</v>
      </c>
      <c r="P225" s="20">
        <f>(7683.51*($L$8))</f>
        <v>41106.7785</v>
      </c>
      <c r="Q225" s="12">
        <f>(8083.51*($L$8))</f>
        <v>43246.7785</v>
      </c>
    </row>
    <row r="226" spans="1:17" ht="12.75" customHeight="1" x14ac:dyDescent="0.2">
      <c r="A226" s="6"/>
      <c r="B226" s="10" t="s">
        <v>1260</v>
      </c>
      <c r="C226" s="20" t="s">
        <v>280</v>
      </c>
      <c r="D226" s="20" t="s">
        <v>149</v>
      </c>
      <c r="E226" s="20" t="s">
        <v>697</v>
      </c>
      <c r="F226" s="20" t="s">
        <v>300</v>
      </c>
      <c r="G226" s="20" t="s">
        <v>163</v>
      </c>
      <c r="H226" s="20">
        <f>(7017.26*($L$8))</f>
        <v>37542.341</v>
      </c>
      <c r="I226" s="20">
        <f>(7127.26*($L$8))</f>
        <v>38130.841</v>
      </c>
      <c r="J226" s="20">
        <f>(7193.26*($L$8))</f>
        <v>38483.940999999999</v>
      </c>
      <c r="K226" s="20">
        <f>(7369.26*($L$8))</f>
        <v>39425.540999999997</v>
      </c>
      <c r="L226" s="20">
        <f>(7479.26*($L$8))</f>
        <v>40014.040999999997</v>
      </c>
      <c r="M226" s="20">
        <f>(7611.26*($L$8))</f>
        <v>40720.241000000002</v>
      </c>
      <c r="N226" s="20">
        <f>(7765.26*($L$8))</f>
        <v>41544.140999999996</v>
      </c>
      <c r="O226" s="20">
        <f>(7985.26*($L$8))</f>
        <v>42721.140999999996</v>
      </c>
      <c r="P226" s="20">
        <f>(8095.26*($L$8))</f>
        <v>43309.640999999996</v>
      </c>
      <c r="Q226" s="12">
        <f>(8535.26*($L$8))</f>
        <v>45663.640999999996</v>
      </c>
    </row>
    <row r="227" spans="1:17" ht="12.75" customHeight="1" x14ac:dyDescent="0.2">
      <c r="A227" s="6"/>
      <c r="B227" s="10" t="s">
        <v>1261</v>
      </c>
      <c r="C227" s="20" t="s">
        <v>236</v>
      </c>
      <c r="D227" s="20" t="s">
        <v>149</v>
      </c>
      <c r="E227" s="20" t="s">
        <v>697</v>
      </c>
      <c r="F227" s="20" t="s">
        <v>300</v>
      </c>
      <c r="G227" s="20" t="s">
        <v>182</v>
      </c>
      <c r="H227" s="20">
        <f>(7398.64*($L$8))</f>
        <v>39582.724000000002</v>
      </c>
      <c r="I227" s="20">
        <f>(7523.64*($L$8))</f>
        <v>40251.474000000002</v>
      </c>
      <c r="J227" s="20">
        <f>(7598.64*($L$8))</f>
        <v>40652.724000000002</v>
      </c>
      <c r="K227" s="20">
        <f>(7798.64*($L$8))</f>
        <v>41722.724000000002</v>
      </c>
      <c r="L227" s="20">
        <f>(7923.64*($L$8))</f>
        <v>42391.474000000002</v>
      </c>
      <c r="M227" s="20">
        <f>(8073.64*($L$8))</f>
        <v>43193.974000000002</v>
      </c>
      <c r="N227" s="20">
        <f>(8248.64*($L$8))</f>
        <v>44130.223999999995</v>
      </c>
      <c r="O227" s="20">
        <f>(8498.64*($L$8))</f>
        <v>45467.723999999995</v>
      </c>
      <c r="P227" s="20">
        <f>(8623.64*($L$8))</f>
        <v>46136.473999999995</v>
      </c>
      <c r="Q227" s="12">
        <f>(9123.64*($L$8))</f>
        <v>48811.473999999995</v>
      </c>
    </row>
    <row r="228" spans="1:17" ht="12.75" customHeight="1" x14ac:dyDescent="0.2">
      <c r="A228" s="6"/>
      <c r="B228" s="10" t="s">
        <v>1262</v>
      </c>
      <c r="C228" s="20" t="s">
        <v>134</v>
      </c>
      <c r="D228" s="20" t="s">
        <v>149</v>
      </c>
      <c r="E228" s="20" t="s">
        <v>697</v>
      </c>
      <c r="F228" s="20" t="s">
        <v>300</v>
      </c>
      <c r="G228" s="20" t="s">
        <v>38</v>
      </c>
      <c r="H228" s="20">
        <f>(4851.84*($L$8))</f>
        <v>25957.343999999997</v>
      </c>
      <c r="I228" s="20">
        <f>(4921.84*($L$8))</f>
        <v>26331.843999999997</v>
      </c>
      <c r="J228" s="20">
        <f>(4963.84*($L$8))</f>
        <v>26556.543999999998</v>
      </c>
      <c r="K228" s="20">
        <f>(5075.84*($L$8))</f>
        <v>27155.743999999999</v>
      </c>
      <c r="L228" s="20">
        <f>(5145.84*($L$8))</f>
        <v>27530.243999999999</v>
      </c>
      <c r="M228" s="20">
        <f>(5229.84*($L$8))</f>
        <v>27979.644</v>
      </c>
      <c r="N228" s="20">
        <f>(5327.84*($L$8))</f>
        <v>28503.944</v>
      </c>
      <c r="O228" s="20">
        <f>(5467.84*($L$8))</f>
        <v>29252.944</v>
      </c>
      <c r="P228" s="20">
        <f>(5537.84*($L$8))</f>
        <v>29627.444</v>
      </c>
      <c r="Q228" s="12">
        <f>(5817.84*($L$8))</f>
        <v>31125.444</v>
      </c>
    </row>
    <row r="229" spans="1:17" ht="30" customHeight="1" x14ac:dyDescent="0.35">
      <c r="A229" s="6"/>
      <c r="B229" s="23" t="s">
        <v>1263</v>
      </c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5"/>
    </row>
    <row r="230" spans="1:17" ht="12.75" customHeight="1" x14ac:dyDescent="0.2">
      <c r="A230" s="7" t="s">
        <v>6</v>
      </c>
      <c r="B230" s="8" t="s">
        <v>7</v>
      </c>
      <c r="C230" s="8" t="s">
        <v>8</v>
      </c>
      <c r="D230" s="8" t="s">
        <v>9</v>
      </c>
      <c r="E230" s="8" t="s">
        <v>10</v>
      </c>
      <c r="F230" s="8" t="s">
        <v>11</v>
      </c>
      <c r="G230" s="8" t="s">
        <v>12</v>
      </c>
      <c r="H230" s="8" t="s">
        <v>13</v>
      </c>
      <c r="I230" s="8" t="s">
        <v>14</v>
      </c>
      <c r="J230" s="8" t="s">
        <v>15</v>
      </c>
      <c r="K230" s="8" t="s">
        <v>16</v>
      </c>
      <c r="L230" s="8" t="s">
        <v>17</v>
      </c>
      <c r="M230" s="8" t="s">
        <v>18</v>
      </c>
      <c r="N230" s="8" t="s">
        <v>19</v>
      </c>
      <c r="O230" s="8" t="s">
        <v>20</v>
      </c>
      <c r="P230" s="8" t="s">
        <v>21</v>
      </c>
      <c r="Q230" s="9" t="s">
        <v>22</v>
      </c>
    </row>
    <row r="231" spans="1:17" ht="12.75" customHeight="1" x14ac:dyDescent="0.2">
      <c r="A231" s="6"/>
      <c r="B231" s="10" t="s">
        <v>1264</v>
      </c>
      <c r="C231" s="20" t="s">
        <v>259</v>
      </c>
      <c r="D231" s="20" t="s">
        <v>1167</v>
      </c>
      <c r="E231" s="20" t="s">
        <v>1265</v>
      </c>
      <c r="F231" s="15">
        <v>0.12</v>
      </c>
      <c r="G231" s="20" t="s">
        <v>154</v>
      </c>
      <c r="H231" s="20">
        <f>(4871.85*($L$8))</f>
        <v>26064.397499999999</v>
      </c>
      <c r="I231" s="20">
        <f>(4981.85*($L$8))</f>
        <v>26652.897499999999</v>
      </c>
      <c r="J231" s="20">
        <f>(5047.85*($L$8))</f>
        <v>27005.997500000001</v>
      </c>
      <c r="K231" s="20">
        <f>(5223.85*($L$8))</f>
        <v>27947.5975</v>
      </c>
      <c r="L231" s="20">
        <f>(5333.85*($L$8))</f>
        <v>28536.0975</v>
      </c>
      <c r="M231" s="20">
        <f>(5465.85*($L$8))</f>
        <v>29242.297500000001</v>
      </c>
      <c r="N231" s="20">
        <f>(5619.85*($L$8))</f>
        <v>30066.197499999998</v>
      </c>
      <c r="O231" s="20">
        <f>(5839.85*($L$8))</f>
        <v>31243.197499999998</v>
      </c>
      <c r="P231" s="20">
        <f>(5949.85*($L$8))</f>
        <v>31831.697499999998</v>
      </c>
      <c r="Q231" s="12">
        <f>(6389.85*($L$8))</f>
        <v>34185.697500000002</v>
      </c>
    </row>
    <row r="232" spans="1:17" ht="12.75" customHeight="1" x14ac:dyDescent="0.2">
      <c r="A232" s="6"/>
      <c r="B232" s="10" t="s">
        <v>1266</v>
      </c>
      <c r="C232" s="20" t="s">
        <v>165</v>
      </c>
      <c r="D232" s="20" t="s">
        <v>1167</v>
      </c>
      <c r="E232" s="20" t="s">
        <v>1265</v>
      </c>
      <c r="F232" s="15">
        <v>0.12</v>
      </c>
      <c r="G232" s="20" t="s">
        <v>160</v>
      </c>
      <c r="H232" s="20">
        <f>(5082.07*($L$8))</f>
        <v>27189.074499999995</v>
      </c>
      <c r="I232" s="20">
        <f>(5202.07*($L$8))</f>
        <v>27831.074499999995</v>
      </c>
      <c r="J232" s="20">
        <f>(5274.07*($L$8))</f>
        <v>28216.274499999996</v>
      </c>
      <c r="K232" s="20">
        <f>(5466.07*($L$8))</f>
        <v>29243.474499999997</v>
      </c>
      <c r="L232" s="20">
        <f>(5586.07*($L$8))</f>
        <v>29885.474499999997</v>
      </c>
      <c r="M232" s="20">
        <f>(5730.07*($L$8))</f>
        <v>30655.874499999998</v>
      </c>
      <c r="N232" s="20">
        <f>(5898.07*($L$8))</f>
        <v>31554.674499999997</v>
      </c>
      <c r="O232" s="20">
        <f>(6138.07*($L$8))</f>
        <v>32838.674499999994</v>
      </c>
      <c r="P232" s="20">
        <f>(6258.07*($L$8))</f>
        <v>33480.674499999994</v>
      </c>
      <c r="Q232" s="12">
        <f>(6738.07*($L$8))</f>
        <v>36048.674499999994</v>
      </c>
    </row>
    <row r="233" spans="1:17" ht="12.75" customHeight="1" x14ac:dyDescent="0.2">
      <c r="A233" s="6"/>
      <c r="B233" s="10" t="s">
        <v>1267</v>
      </c>
      <c r="C233" s="20" t="s">
        <v>168</v>
      </c>
      <c r="D233" s="20" t="s">
        <v>1167</v>
      </c>
      <c r="E233" s="20" t="s">
        <v>1265</v>
      </c>
      <c r="F233" s="15">
        <v>0.12</v>
      </c>
      <c r="G233" s="20" t="s">
        <v>163</v>
      </c>
      <c r="H233" s="20">
        <f>(5272.14*($L$8))</f>
        <v>28205.949000000001</v>
      </c>
      <c r="I233" s="20">
        <f>(5397.14*($L$8))</f>
        <v>28874.699000000001</v>
      </c>
      <c r="J233" s="20">
        <f>(5472.14*($L$8))</f>
        <v>29275.949000000001</v>
      </c>
      <c r="K233" s="20">
        <f>(5672.14*($L$8))</f>
        <v>30345.949000000001</v>
      </c>
      <c r="L233" s="20">
        <f>(5797.14*($L$8))</f>
        <v>31014.699000000001</v>
      </c>
      <c r="M233" s="20">
        <f>(5947.14*($L$8))</f>
        <v>31817.199000000001</v>
      </c>
      <c r="N233" s="20">
        <f>(6122.14*($L$8))</f>
        <v>32753.449000000001</v>
      </c>
      <c r="O233" s="20">
        <f>(6372.14*($L$8))</f>
        <v>34090.949000000001</v>
      </c>
      <c r="P233" s="20">
        <f>(6497.14*($L$8))</f>
        <v>34759.699000000001</v>
      </c>
      <c r="Q233" s="12">
        <f>(6997.14*($L$8))</f>
        <v>37434.699000000001</v>
      </c>
    </row>
    <row r="234" spans="1:17" ht="12.75" customHeight="1" x14ac:dyDescent="0.2">
      <c r="A234" s="6"/>
      <c r="B234" s="10" t="s">
        <v>1268</v>
      </c>
      <c r="C234" s="20" t="s">
        <v>170</v>
      </c>
      <c r="D234" s="20" t="s">
        <v>1167</v>
      </c>
      <c r="E234" s="20" t="s">
        <v>1265</v>
      </c>
      <c r="F234" s="15">
        <v>0.12</v>
      </c>
      <c r="G234" s="20" t="s">
        <v>182</v>
      </c>
      <c r="H234" s="20">
        <f>(5464.76*($L$8))</f>
        <v>29236.466</v>
      </c>
      <c r="I234" s="20">
        <f>(5594.76*($L$8))</f>
        <v>29931.966</v>
      </c>
      <c r="J234" s="20">
        <f>(5672.76*($L$8))</f>
        <v>30349.266</v>
      </c>
      <c r="K234" s="20">
        <f>(5880.76*($L$8))</f>
        <v>31462.065999999999</v>
      </c>
      <c r="L234" s="20">
        <f>(6010.76*($L$8))</f>
        <v>32157.565999999999</v>
      </c>
      <c r="M234" s="20">
        <f>(6166.76*($L$8))</f>
        <v>32992.165999999997</v>
      </c>
      <c r="N234" s="20">
        <f>(6348.76*($L$8))</f>
        <v>33965.866000000002</v>
      </c>
      <c r="O234" s="20">
        <f>(6608.76*($L$8))</f>
        <v>35356.866000000002</v>
      </c>
      <c r="P234" s="20">
        <f>(6738.76*($L$8))</f>
        <v>36052.366000000002</v>
      </c>
      <c r="Q234" s="12">
        <f>(7258.76*($L$8))</f>
        <v>38834.366000000002</v>
      </c>
    </row>
    <row r="235" spans="1:17" ht="12.75" customHeight="1" x14ac:dyDescent="0.2">
      <c r="A235" s="6"/>
      <c r="B235" s="10" t="s">
        <v>1269</v>
      </c>
      <c r="C235" s="20" t="s">
        <v>172</v>
      </c>
      <c r="D235" s="20" t="s">
        <v>1167</v>
      </c>
      <c r="E235" s="20" t="s">
        <v>1265</v>
      </c>
      <c r="F235" s="15">
        <v>0.12</v>
      </c>
      <c r="G235" s="20" t="s">
        <v>185</v>
      </c>
      <c r="H235" s="20">
        <f>(5691.28*($L$8))</f>
        <v>30448.347999999998</v>
      </c>
      <c r="I235" s="20">
        <f>(5826.28*($L$8))</f>
        <v>31170.597999999998</v>
      </c>
      <c r="J235" s="20">
        <f>(5907.28*($L$8))</f>
        <v>31603.947999999997</v>
      </c>
      <c r="K235" s="20">
        <f>(6123.28*($L$8))</f>
        <v>32759.547999999995</v>
      </c>
      <c r="L235" s="20">
        <f>(6258.28*($L$8))</f>
        <v>33481.797999999995</v>
      </c>
      <c r="M235" s="20">
        <f>(6420.28*($L$8))</f>
        <v>34348.498</v>
      </c>
      <c r="N235" s="20">
        <f>(6609.28*($L$8))</f>
        <v>35359.647999999994</v>
      </c>
      <c r="O235" s="20">
        <f>(6879.28*($L$8))</f>
        <v>36804.147999999994</v>
      </c>
      <c r="P235" s="20">
        <f>(7014.28*($L$8))</f>
        <v>37526.397999999994</v>
      </c>
      <c r="Q235" s="12">
        <f>(7554.28*($L$8))</f>
        <v>40415.397999999994</v>
      </c>
    </row>
    <row r="236" spans="1:17" ht="30" customHeight="1" x14ac:dyDescent="0.35">
      <c r="A236" s="6"/>
      <c r="B236" s="23" t="s">
        <v>1270</v>
      </c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5"/>
    </row>
    <row r="237" spans="1:17" ht="12.75" customHeight="1" x14ac:dyDescent="0.2">
      <c r="A237" s="7" t="s">
        <v>6</v>
      </c>
      <c r="B237" s="8" t="s">
        <v>7</v>
      </c>
      <c r="C237" s="8" t="s">
        <v>8</v>
      </c>
      <c r="D237" s="8" t="s">
        <v>9</v>
      </c>
      <c r="E237" s="8" t="s">
        <v>10</v>
      </c>
      <c r="F237" s="8" t="s">
        <v>11</v>
      </c>
      <c r="G237" s="8" t="s">
        <v>12</v>
      </c>
      <c r="H237" s="8" t="s">
        <v>13</v>
      </c>
      <c r="I237" s="8" t="s">
        <v>14</v>
      </c>
      <c r="J237" s="8" t="s">
        <v>15</v>
      </c>
      <c r="K237" s="8" t="s">
        <v>16</v>
      </c>
      <c r="L237" s="8" t="s">
        <v>17</v>
      </c>
      <c r="M237" s="8" t="s">
        <v>18</v>
      </c>
      <c r="N237" s="8" t="s">
        <v>19</v>
      </c>
      <c r="O237" s="8" t="s">
        <v>20</v>
      </c>
      <c r="P237" s="8" t="s">
        <v>21</v>
      </c>
      <c r="Q237" s="9" t="s">
        <v>22</v>
      </c>
    </row>
    <row r="238" spans="1:17" ht="12.75" customHeight="1" x14ac:dyDescent="0.2">
      <c r="A238" s="6"/>
      <c r="B238" s="10" t="s">
        <v>1271</v>
      </c>
      <c r="C238" s="20" t="s">
        <v>1244</v>
      </c>
      <c r="D238" s="20" t="s">
        <v>1272</v>
      </c>
      <c r="E238" s="20" t="s">
        <v>275</v>
      </c>
      <c r="F238" s="20" t="s">
        <v>27</v>
      </c>
      <c r="G238" s="20" t="s">
        <v>236</v>
      </c>
      <c r="H238" s="20">
        <f>(3544.25*($L$8))</f>
        <v>18961.737499999999</v>
      </c>
      <c r="I238" s="20">
        <f>(3574.25*($L$8))</f>
        <v>19122.237499999999</v>
      </c>
      <c r="J238" s="20">
        <f>(3592.25*($L$8))</f>
        <v>19218.537499999999</v>
      </c>
      <c r="K238" s="20">
        <f>(3640.25*($L$8))</f>
        <v>19475.337499999998</v>
      </c>
      <c r="L238" s="20">
        <f>(3670.25*($L$8))</f>
        <v>19635.837499999998</v>
      </c>
      <c r="M238" s="20">
        <f>(3706.25*($L$8))</f>
        <v>19828.4375</v>
      </c>
      <c r="N238" s="20">
        <f>(3748.25*($L$8))</f>
        <v>20053.137499999997</v>
      </c>
      <c r="O238" s="20">
        <f>(3808.25*($L$8))</f>
        <v>20374.137499999997</v>
      </c>
      <c r="P238" s="20">
        <f>(3838.25*($L$8))</f>
        <v>20534.637499999997</v>
      </c>
      <c r="Q238" s="12">
        <f>(3958.25*($L$8))</f>
        <v>21176.637499999997</v>
      </c>
    </row>
    <row r="239" spans="1:17" ht="30" customHeight="1" x14ac:dyDescent="0.35">
      <c r="A239" s="6"/>
      <c r="B239" s="23" t="s">
        <v>1273</v>
      </c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5"/>
    </row>
    <row r="240" spans="1:17" ht="12.75" customHeight="1" x14ac:dyDescent="0.2">
      <c r="A240" s="7" t="s">
        <v>6</v>
      </c>
      <c r="B240" s="8" t="s">
        <v>7</v>
      </c>
      <c r="C240" s="8" t="s">
        <v>8</v>
      </c>
      <c r="D240" s="8" t="s">
        <v>9</v>
      </c>
      <c r="E240" s="8" t="s">
        <v>10</v>
      </c>
      <c r="F240" s="8" t="s">
        <v>11</v>
      </c>
      <c r="G240" s="8" t="s">
        <v>12</v>
      </c>
      <c r="H240" s="8" t="s">
        <v>13</v>
      </c>
      <c r="I240" s="8" t="s">
        <v>14</v>
      </c>
      <c r="J240" s="8" t="s">
        <v>15</v>
      </c>
      <c r="K240" s="8" t="s">
        <v>16</v>
      </c>
      <c r="L240" s="8" t="s">
        <v>17</v>
      </c>
      <c r="M240" s="8" t="s">
        <v>18</v>
      </c>
      <c r="N240" s="8" t="s">
        <v>19</v>
      </c>
      <c r="O240" s="8" t="s">
        <v>20</v>
      </c>
      <c r="P240" s="8" t="s">
        <v>21</v>
      </c>
      <c r="Q240" s="9" t="s">
        <v>22</v>
      </c>
    </row>
    <row r="241" spans="1:17" ht="12.75" customHeight="1" x14ac:dyDescent="0.2">
      <c r="A241" s="6"/>
      <c r="B241" s="10" t="s">
        <v>1274</v>
      </c>
      <c r="C241" s="20" t="s">
        <v>26</v>
      </c>
      <c r="D241" s="20" t="s">
        <v>1275</v>
      </c>
      <c r="E241" s="20" t="s">
        <v>828</v>
      </c>
      <c r="F241" s="20" t="s">
        <v>1276</v>
      </c>
      <c r="G241" s="20" t="s">
        <v>247</v>
      </c>
      <c r="H241" s="20">
        <f>(4094.45*($L$8))</f>
        <v>21905.307499999999</v>
      </c>
      <c r="I241" s="20">
        <f>(4129.45*($L$8))</f>
        <v>22092.557499999999</v>
      </c>
      <c r="J241" s="20">
        <f>(4150.45*($L$8))</f>
        <v>22204.907499999998</v>
      </c>
      <c r="K241" s="20">
        <f>(4206.45*($L$8))</f>
        <v>22504.507499999996</v>
      </c>
      <c r="L241" s="20">
        <f>(4241.45*($L$8))</f>
        <v>22691.757499999996</v>
      </c>
      <c r="M241" s="20">
        <f>(4283.45*($L$8))</f>
        <v>22916.457499999997</v>
      </c>
      <c r="N241" s="20">
        <f>(4332.45*($L$8))</f>
        <v>23178.607499999998</v>
      </c>
      <c r="O241" s="20">
        <f>(4402.45*($L$8))</f>
        <v>23553.107499999998</v>
      </c>
      <c r="P241" s="20">
        <f>(4437.45*($L$8))</f>
        <v>23740.357499999998</v>
      </c>
      <c r="Q241" s="12">
        <f>(4577.45*($L$8))</f>
        <v>24489.357499999998</v>
      </c>
    </row>
    <row r="242" spans="1:17" ht="12.75" customHeight="1" x14ac:dyDescent="0.2">
      <c r="A242" s="6"/>
      <c r="B242" s="10" t="s">
        <v>1277</v>
      </c>
      <c r="C242" s="20" t="s">
        <v>26</v>
      </c>
      <c r="D242" s="20" t="s">
        <v>1275</v>
      </c>
      <c r="E242" s="20" t="s">
        <v>828</v>
      </c>
      <c r="F242" s="20" t="s">
        <v>1276</v>
      </c>
      <c r="G242" s="20" t="s">
        <v>247</v>
      </c>
      <c r="H242" s="20">
        <f>(3896.24*($L$8))</f>
        <v>20844.883999999998</v>
      </c>
      <c r="I242" s="20">
        <f>(3931.24*($L$8))</f>
        <v>21032.133999999998</v>
      </c>
      <c r="J242" s="20">
        <f>(3952.24*($L$8))</f>
        <v>21144.483999999997</v>
      </c>
      <c r="K242" s="20">
        <f>(4008.24*($L$8))</f>
        <v>21444.083999999999</v>
      </c>
      <c r="L242" s="20">
        <f>(4043.24*($L$8))</f>
        <v>21631.333999999999</v>
      </c>
      <c r="M242" s="20">
        <f>(4085.24*($L$8))</f>
        <v>21856.033999999996</v>
      </c>
      <c r="N242" s="20">
        <f>(4134.24*($L$8))</f>
        <v>22118.183999999997</v>
      </c>
      <c r="O242" s="20">
        <f>(4204.24*($L$8))</f>
        <v>22492.683999999997</v>
      </c>
      <c r="P242" s="20">
        <f>(4239.24*($L$8))</f>
        <v>22679.933999999997</v>
      </c>
      <c r="Q242" s="12">
        <f>(4379.24*($L$8))</f>
        <v>23428.933999999997</v>
      </c>
    </row>
    <row r="243" spans="1:17" ht="30" customHeight="1" x14ac:dyDescent="0.35">
      <c r="A243" s="6"/>
      <c r="B243" s="23" t="s">
        <v>1278</v>
      </c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5"/>
    </row>
    <row r="244" spans="1:17" ht="12.75" customHeight="1" x14ac:dyDescent="0.2">
      <c r="A244" s="7" t="s">
        <v>6</v>
      </c>
      <c r="B244" s="8" t="s">
        <v>7</v>
      </c>
      <c r="C244" s="8" t="s">
        <v>8</v>
      </c>
      <c r="D244" s="8" t="s">
        <v>9</v>
      </c>
      <c r="E244" s="8" t="s">
        <v>10</v>
      </c>
      <c r="F244" s="8" t="s">
        <v>11</v>
      </c>
      <c r="G244" s="8" t="s">
        <v>12</v>
      </c>
      <c r="H244" s="8" t="s">
        <v>13</v>
      </c>
      <c r="I244" s="8" t="s">
        <v>14</v>
      </c>
      <c r="J244" s="8" t="s">
        <v>15</v>
      </c>
      <c r="K244" s="8" t="s">
        <v>16</v>
      </c>
      <c r="L244" s="8" t="s">
        <v>17</v>
      </c>
      <c r="M244" s="8" t="s">
        <v>18</v>
      </c>
      <c r="N244" s="8" t="s">
        <v>19</v>
      </c>
      <c r="O244" s="8" t="s">
        <v>20</v>
      </c>
      <c r="P244" s="8" t="s">
        <v>21</v>
      </c>
      <c r="Q244" s="9" t="s">
        <v>22</v>
      </c>
    </row>
    <row r="245" spans="1:17" ht="12.75" customHeight="1" x14ac:dyDescent="0.2">
      <c r="A245" s="6"/>
      <c r="B245" s="10" t="s">
        <v>1279</v>
      </c>
      <c r="C245" s="20" t="s">
        <v>473</v>
      </c>
      <c r="D245" s="20" t="s">
        <v>1280</v>
      </c>
      <c r="E245" s="20" t="s">
        <v>1281</v>
      </c>
      <c r="F245" s="20" t="s">
        <v>27</v>
      </c>
      <c r="G245" s="20" t="s">
        <v>137</v>
      </c>
      <c r="H245" s="20">
        <f>(1566.08*($L$8))</f>
        <v>8378.5279999999984</v>
      </c>
      <c r="I245" s="20">
        <f>(1576.08*($L$8))</f>
        <v>8432.0279999999984</v>
      </c>
      <c r="J245" s="20">
        <f>(1582.08*($L$8))</f>
        <v>8464.1279999999988</v>
      </c>
      <c r="K245" s="20">
        <f>(1598.08*($L$8))</f>
        <v>8549.7279999999992</v>
      </c>
      <c r="L245" s="20">
        <f>(1608.08*($L$8))</f>
        <v>8603.2279999999992</v>
      </c>
      <c r="M245" s="20">
        <f>(1620.08*($L$8))</f>
        <v>8667.4279999999999</v>
      </c>
      <c r="N245" s="20">
        <f>(1634.08*($L$8))</f>
        <v>8742.3279999999995</v>
      </c>
      <c r="O245" s="20">
        <f>(1654.08*($L$8))</f>
        <v>8849.3279999999995</v>
      </c>
      <c r="P245" s="20">
        <f>(1664.08*($L$8))</f>
        <v>8902.8279999999995</v>
      </c>
      <c r="Q245" s="12">
        <f>(1704.08*($L$8))</f>
        <v>9116.8279999999995</v>
      </c>
    </row>
    <row r="246" spans="1:17" ht="12.75" customHeight="1" x14ac:dyDescent="0.2">
      <c r="A246" s="6"/>
      <c r="B246" s="10" t="s">
        <v>1282</v>
      </c>
      <c r="C246" s="20" t="s">
        <v>305</v>
      </c>
      <c r="D246" s="20" t="s">
        <v>1283</v>
      </c>
      <c r="E246" s="20" t="s">
        <v>398</v>
      </c>
      <c r="F246" s="20" t="s">
        <v>27</v>
      </c>
      <c r="G246" s="20" t="s">
        <v>165</v>
      </c>
      <c r="H246" s="20">
        <f>(1656.17*($L$8))</f>
        <v>8860.5095000000001</v>
      </c>
      <c r="I246" s="20">
        <f>(1671.17*($L$8))</f>
        <v>8940.7595000000001</v>
      </c>
      <c r="J246" s="20">
        <f>(1680.17*($L$8))</f>
        <v>8988.9094999999998</v>
      </c>
      <c r="K246" s="20">
        <f>(1704.17*($L$8))</f>
        <v>9117.3094999999994</v>
      </c>
      <c r="L246" s="20">
        <f>(1719.17*($L$8))</f>
        <v>9197.5594999999994</v>
      </c>
      <c r="M246" s="20">
        <f>(1737.17*($L$8))</f>
        <v>9293.8595000000005</v>
      </c>
      <c r="N246" s="20">
        <f>(1758.17*($L$8))</f>
        <v>9406.209499999999</v>
      </c>
      <c r="O246" s="20">
        <f>(1788.17*($L$8))</f>
        <v>9566.709499999999</v>
      </c>
      <c r="P246" s="20">
        <f>(1803.17*($L$8))</f>
        <v>9646.959499999999</v>
      </c>
      <c r="Q246" s="12">
        <f>(1863.17*($L$8))</f>
        <v>9967.959499999999</v>
      </c>
    </row>
    <row r="247" spans="1:17" ht="30" customHeight="1" x14ac:dyDescent="0.25">
      <c r="A247" s="6"/>
      <c r="B247" s="39" t="s">
        <v>1284</v>
      </c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1"/>
    </row>
    <row r="248" spans="1:17" ht="12.75" customHeight="1" x14ac:dyDescent="0.2">
      <c r="A248" s="7" t="s">
        <v>6</v>
      </c>
      <c r="B248" s="8" t="s">
        <v>7</v>
      </c>
      <c r="C248" s="8" t="s">
        <v>8</v>
      </c>
      <c r="D248" s="8" t="s">
        <v>9</v>
      </c>
      <c r="E248" s="8" t="s">
        <v>10</v>
      </c>
      <c r="F248" s="8" t="s">
        <v>11</v>
      </c>
      <c r="G248" s="8" t="s">
        <v>12</v>
      </c>
      <c r="H248" s="8" t="s">
        <v>13</v>
      </c>
      <c r="I248" s="8" t="s">
        <v>14</v>
      </c>
      <c r="J248" s="8" t="s">
        <v>15</v>
      </c>
      <c r="K248" s="8" t="s">
        <v>16</v>
      </c>
      <c r="L248" s="8" t="s">
        <v>17</v>
      </c>
      <c r="M248" s="8" t="s">
        <v>18</v>
      </c>
      <c r="N248" s="8" t="s">
        <v>19</v>
      </c>
      <c r="O248" s="8" t="s">
        <v>20</v>
      </c>
      <c r="P248" s="8" t="s">
        <v>21</v>
      </c>
      <c r="Q248" s="9" t="s">
        <v>22</v>
      </c>
    </row>
    <row r="249" spans="1:17" ht="12.75" customHeight="1" x14ac:dyDescent="0.2">
      <c r="A249" s="6"/>
      <c r="B249" s="16" t="s">
        <v>1285</v>
      </c>
      <c r="C249" s="20" t="s">
        <v>275</v>
      </c>
      <c r="D249" s="20" t="s">
        <v>1286</v>
      </c>
      <c r="E249" s="20" t="s">
        <v>275</v>
      </c>
      <c r="F249" s="20" t="s">
        <v>60</v>
      </c>
      <c r="G249" s="20" t="s">
        <v>165</v>
      </c>
      <c r="H249" s="20">
        <f>(4260.16*($L$8))</f>
        <v>22791.855999999996</v>
      </c>
      <c r="I249" s="20">
        <f>(4280.16*($L$8))</f>
        <v>22898.855999999996</v>
      </c>
      <c r="J249" s="20">
        <f>(4292.16*($L$8))</f>
        <v>22963.055999999997</v>
      </c>
      <c r="K249" s="20">
        <f>(4324.16*($L$8))</f>
        <v>23134.255999999998</v>
      </c>
      <c r="L249" s="20">
        <f>(4344.16*($L$8))</f>
        <v>23241.255999999998</v>
      </c>
      <c r="M249" s="20">
        <f>(4368.16*($L$8))</f>
        <v>23369.655999999999</v>
      </c>
      <c r="N249" s="20">
        <f>(4396.16*($L$8))</f>
        <v>23519.455999999998</v>
      </c>
      <c r="O249" s="20">
        <f>(4436.16*($L$8))</f>
        <v>23733.455999999998</v>
      </c>
      <c r="P249" s="20">
        <f>(4456.16*($L$8))</f>
        <v>23840.455999999998</v>
      </c>
      <c r="Q249" s="12">
        <f>(4536.16*($L$8))</f>
        <v>24268.455999999998</v>
      </c>
    </row>
    <row r="250" spans="1:17" ht="30" customHeight="1" x14ac:dyDescent="0.35">
      <c r="A250" s="6"/>
      <c r="B250" s="23" t="s">
        <v>1425</v>
      </c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5"/>
    </row>
    <row r="251" spans="1:17" ht="12.75" customHeight="1" x14ac:dyDescent="0.2">
      <c r="A251" s="7" t="s">
        <v>6</v>
      </c>
      <c r="B251" s="8" t="s">
        <v>7</v>
      </c>
      <c r="C251" s="8" t="s">
        <v>8</v>
      </c>
      <c r="D251" s="8" t="s">
        <v>9</v>
      </c>
      <c r="E251" s="8" t="s">
        <v>10</v>
      </c>
      <c r="F251" s="8" t="s">
        <v>11</v>
      </c>
      <c r="G251" s="8" t="s">
        <v>12</v>
      </c>
      <c r="H251" s="8" t="s">
        <v>13</v>
      </c>
      <c r="I251" s="8" t="s">
        <v>14</v>
      </c>
      <c r="J251" s="8" t="s">
        <v>15</v>
      </c>
      <c r="K251" s="8" t="s">
        <v>16</v>
      </c>
      <c r="L251" s="8" t="s">
        <v>17</v>
      </c>
      <c r="M251" s="8" t="s">
        <v>18</v>
      </c>
      <c r="N251" s="8" t="s">
        <v>19</v>
      </c>
      <c r="O251" s="8" t="s">
        <v>20</v>
      </c>
      <c r="P251" s="8" t="s">
        <v>21</v>
      </c>
      <c r="Q251" s="9" t="s">
        <v>22</v>
      </c>
    </row>
    <row r="252" spans="1:17" ht="12.75" customHeight="1" x14ac:dyDescent="0.2">
      <c r="A252" s="6"/>
      <c r="B252" s="10" t="s">
        <v>1287</v>
      </c>
      <c r="C252" s="20" t="s">
        <v>226</v>
      </c>
      <c r="D252" s="20" t="s">
        <v>1286</v>
      </c>
      <c r="E252" s="20" t="s">
        <v>312</v>
      </c>
      <c r="F252" s="20" t="s">
        <v>1213</v>
      </c>
      <c r="G252" s="20" t="s">
        <v>403</v>
      </c>
      <c r="H252" s="20">
        <f>(3657.29*($L$8))</f>
        <v>19566.501499999998</v>
      </c>
      <c r="I252" s="20">
        <f>(3687.29*($L$8))</f>
        <v>19727.001499999998</v>
      </c>
      <c r="J252" s="20">
        <f>(3705.29*($L$8))</f>
        <v>19823.301499999998</v>
      </c>
      <c r="K252" s="20">
        <f>(3753.29*($L$8))</f>
        <v>20080.101499999997</v>
      </c>
      <c r="L252" s="20">
        <f>(3783.29*($L$8))</f>
        <v>20240.601499999997</v>
      </c>
      <c r="M252" s="20">
        <f>(3819.29*($L$8))</f>
        <v>20433.201499999999</v>
      </c>
      <c r="N252" s="20">
        <f>(3861.29*($L$8))</f>
        <v>20657.9015</v>
      </c>
      <c r="O252" s="20">
        <f>(3921.29*($L$8))</f>
        <v>20978.9015</v>
      </c>
      <c r="P252" s="20">
        <f>(3951.29*($L$8))</f>
        <v>21139.4015</v>
      </c>
      <c r="Q252" s="12">
        <f>(4071.29*($L$8))</f>
        <v>21781.4015</v>
      </c>
    </row>
    <row r="253" spans="1:17" ht="30" customHeight="1" x14ac:dyDescent="0.35">
      <c r="A253" s="6"/>
      <c r="B253" s="23" t="s">
        <v>1288</v>
      </c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5"/>
    </row>
    <row r="254" spans="1:17" ht="12.75" customHeight="1" x14ac:dyDescent="0.2">
      <c r="A254" s="7" t="s">
        <v>6</v>
      </c>
      <c r="B254" s="8" t="s">
        <v>7</v>
      </c>
      <c r="C254" s="8" t="s">
        <v>8</v>
      </c>
      <c r="D254" s="8" t="s">
        <v>9</v>
      </c>
      <c r="E254" s="8" t="s">
        <v>10</v>
      </c>
      <c r="F254" s="8" t="s">
        <v>11</v>
      </c>
      <c r="G254" s="8" t="s">
        <v>12</v>
      </c>
      <c r="H254" s="8" t="s">
        <v>13</v>
      </c>
      <c r="I254" s="8" t="s">
        <v>14</v>
      </c>
      <c r="J254" s="8" t="s">
        <v>15</v>
      </c>
      <c r="K254" s="8" t="s">
        <v>16</v>
      </c>
      <c r="L254" s="8" t="s">
        <v>17</v>
      </c>
      <c r="M254" s="8" t="s">
        <v>18</v>
      </c>
      <c r="N254" s="8" t="s">
        <v>19</v>
      </c>
      <c r="O254" s="8" t="s">
        <v>20</v>
      </c>
      <c r="P254" s="8" t="s">
        <v>21</v>
      </c>
      <c r="Q254" s="9" t="s">
        <v>22</v>
      </c>
    </row>
    <row r="255" spans="1:17" ht="12.75" customHeight="1" x14ac:dyDescent="0.2">
      <c r="A255" s="6"/>
      <c r="B255" s="10" t="s">
        <v>1289</v>
      </c>
      <c r="C255" s="20" t="s">
        <v>333</v>
      </c>
      <c r="D255" s="20" t="s">
        <v>644</v>
      </c>
      <c r="E255" s="20" t="s">
        <v>312</v>
      </c>
      <c r="F255" s="20" t="s">
        <v>698</v>
      </c>
      <c r="G255" s="20" t="s">
        <v>38</v>
      </c>
      <c r="H255" s="20">
        <f>(3645.74*($L$8))</f>
        <v>19504.708999999999</v>
      </c>
      <c r="I255" s="20">
        <f>(3725.74*($L$8))</f>
        <v>19932.708999999999</v>
      </c>
      <c r="J255" s="20">
        <f>(3773.74*($L$8))</f>
        <v>20189.508999999998</v>
      </c>
      <c r="K255" s="20">
        <f>(3901.74*($L$8))</f>
        <v>20874.308999999997</v>
      </c>
      <c r="L255" s="20">
        <f>(3981.74*($L$8))</f>
        <v>21302.308999999997</v>
      </c>
      <c r="M255" s="20">
        <f>(4077.74*($L$8))</f>
        <v>21815.908999999996</v>
      </c>
      <c r="N255" s="20">
        <f>(4189.74*($L$8))</f>
        <v>22415.108999999997</v>
      </c>
      <c r="O255" s="20">
        <f>(4349.74*($L$8))</f>
        <v>23271.108999999997</v>
      </c>
      <c r="P255" s="20">
        <f>(4429.74*($L$8))</f>
        <v>23699.108999999997</v>
      </c>
      <c r="Q255" s="12">
        <f>(4749.74*($L$8))</f>
        <v>25411.108999999997</v>
      </c>
    </row>
    <row r="256" spans="1:17" ht="12.75" customHeight="1" x14ac:dyDescent="0.2">
      <c r="A256" s="6"/>
      <c r="B256" s="10" t="s">
        <v>1290</v>
      </c>
      <c r="C256" s="20" t="s">
        <v>137</v>
      </c>
      <c r="D256" s="20" t="s">
        <v>644</v>
      </c>
      <c r="E256" s="20" t="s">
        <v>312</v>
      </c>
      <c r="F256" s="20" t="s">
        <v>698</v>
      </c>
      <c r="G256" s="20" t="s">
        <v>182</v>
      </c>
      <c r="H256" s="20">
        <f>(4891.93*($L$8))</f>
        <v>26171.825499999999</v>
      </c>
      <c r="I256" s="20">
        <f>(5011.93*($L$8))</f>
        <v>26813.825499999999</v>
      </c>
      <c r="J256" s="20">
        <f>(5083.93*($L$8))</f>
        <v>27199.0255</v>
      </c>
      <c r="K256" s="20">
        <f>(5275.93*($L$8))</f>
        <v>28226.2255</v>
      </c>
      <c r="L256" s="20">
        <f>(5395.93*($L$8))</f>
        <v>28868.2255</v>
      </c>
      <c r="M256" s="20">
        <f>(5539.93*($L$8))</f>
        <v>29638.625499999998</v>
      </c>
      <c r="N256" s="20">
        <f>(5707.93*($L$8))</f>
        <v>30537.425500000001</v>
      </c>
      <c r="O256" s="20">
        <f>(5947.93*($L$8))</f>
        <v>31821.425500000001</v>
      </c>
      <c r="P256" s="20">
        <f>(6067.93*($L$8))</f>
        <v>32463.425500000001</v>
      </c>
      <c r="Q256" s="12">
        <f>(6547.93*($L$8))</f>
        <v>35031.425499999998</v>
      </c>
    </row>
    <row r="257" spans="1:17" ht="12.75" customHeight="1" x14ac:dyDescent="0.2">
      <c r="A257" s="6"/>
      <c r="B257" s="10" t="s">
        <v>1291</v>
      </c>
      <c r="C257" s="20" t="s">
        <v>292</v>
      </c>
      <c r="D257" s="20" t="s">
        <v>644</v>
      </c>
      <c r="E257" s="20" t="s">
        <v>312</v>
      </c>
      <c r="F257" s="20" t="s">
        <v>698</v>
      </c>
      <c r="G257" s="20" t="s">
        <v>229</v>
      </c>
      <c r="H257" s="20">
        <f>(5214.93*($L$8))</f>
        <v>27899.875499999998</v>
      </c>
      <c r="I257" s="20">
        <f>(5344.93*($L$8))</f>
        <v>28595.375499999998</v>
      </c>
      <c r="J257" s="20">
        <f>(5422.93*($L$8))</f>
        <v>29012.675500000001</v>
      </c>
      <c r="K257" s="20">
        <f>(5630.93*($L$8))</f>
        <v>30125.4755</v>
      </c>
      <c r="L257" s="20">
        <f>(5760.93*($L$8))</f>
        <v>30820.9755</v>
      </c>
      <c r="M257" s="20">
        <f>(5916.93*($L$8))</f>
        <v>31655.575499999999</v>
      </c>
      <c r="N257" s="20">
        <f>(6098.93*($L$8))</f>
        <v>32629.2755</v>
      </c>
      <c r="O257" s="20">
        <f>(6358.93*($L$8))</f>
        <v>34020.275499999996</v>
      </c>
      <c r="P257" s="20">
        <f>(6488.93*($L$8))</f>
        <v>34715.775499999996</v>
      </c>
      <c r="Q257" s="12">
        <f>(7008.93*($L$8))</f>
        <v>37497.775499999996</v>
      </c>
    </row>
    <row r="258" spans="1:17" ht="12.75" customHeight="1" x14ac:dyDescent="0.2">
      <c r="A258" s="6"/>
      <c r="B258" s="10" t="s">
        <v>1292</v>
      </c>
      <c r="C258" s="20" t="s">
        <v>273</v>
      </c>
      <c r="D258" s="20" t="s">
        <v>644</v>
      </c>
      <c r="E258" s="20" t="s">
        <v>312</v>
      </c>
      <c r="F258" s="20" t="s">
        <v>698</v>
      </c>
      <c r="G258" s="20" t="s">
        <v>231</v>
      </c>
      <c r="H258" s="20">
        <f>(5340.7*($L$8))</f>
        <v>28572.744999999995</v>
      </c>
      <c r="I258" s="20">
        <f>(5480.7*($L$8))</f>
        <v>29321.744999999995</v>
      </c>
      <c r="J258" s="20">
        <f>(5564.7*($L$8))</f>
        <v>29771.144999999997</v>
      </c>
      <c r="K258" s="20">
        <f>(5788.7*($L$8))</f>
        <v>30969.544999999998</v>
      </c>
      <c r="L258" s="20">
        <f>(5928.7*($L$8))</f>
        <v>31718.544999999998</v>
      </c>
      <c r="M258" s="20">
        <f>(6096.7*($L$8))</f>
        <v>32617.344999999998</v>
      </c>
      <c r="N258" s="20">
        <f>(6292.7*($L$8))</f>
        <v>33665.945</v>
      </c>
      <c r="O258" s="20">
        <f>(6572.7*($L$8))</f>
        <v>35163.945</v>
      </c>
      <c r="P258" s="20">
        <f>(6712.7*($L$8))</f>
        <v>35912.945</v>
      </c>
      <c r="Q258" s="12">
        <f>(7272.7*($L$8))</f>
        <v>38908.945</v>
      </c>
    </row>
    <row r="259" spans="1:17" ht="12.75" customHeight="1" x14ac:dyDescent="0.2">
      <c r="A259" s="6"/>
      <c r="B259" s="10" t="s">
        <v>1293</v>
      </c>
      <c r="C259" s="20" t="s">
        <v>278</v>
      </c>
      <c r="D259" s="20" t="s">
        <v>644</v>
      </c>
      <c r="E259" s="20" t="s">
        <v>312</v>
      </c>
      <c r="F259" s="20" t="s">
        <v>698</v>
      </c>
      <c r="G259" s="20" t="s">
        <v>237</v>
      </c>
      <c r="H259" s="20">
        <f>(5573.12*($L$8))</f>
        <v>29816.191999999999</v>
      </c>
      <c r="I259" s="20">
        <f>(5723.12*($L$8))</f>
        <v>30618.691999999999</v>
      </c>
      <c r="J259" s="20">
        <f>(5813.12*($L$8))</f>
        <v>31100.191999999999</v>
      </c>
      <c r="K259" s="20">
        <f>(6053.12*($L$8))</f>
        <v>32384.191999999995</v>
      </c>
      <c r="L259" s="20">
        <f>(6203.12*($L$8))</f>
        <v>33186.691999999995</v>
      </c>
      <c r="M259" s="20">
        <f>(6383.12*($L$8))</f>
        <v>34149.691999999995</v>
      </c>
      <c r="N259" s="20">
        <f>(6593.12*($L$8))</f>
        <v>35273.191999999995</v>
      </c>
      <c r="O259" s="20">
        <f>(6893.12*($L$8))</f>
        <v>36878.191999999995</v>
      </c>
      <c r="P259" s="20">
        <f>(7043.12*($L$8))</f>
        <v>37680.691999999995</v>
      </c>
      <c r="Q259" s="12">
        <f>(7643.12*($L$8))</f>
        <v>40890.691999999995</v>
      </c>
    </row>
    <row r="260" spans="1:17" ht="12.75" customHeight="1" x14ac:dyDescent="0.2">
      <c r="A260" s="6"/>
      <c r="B260" s="10" t="s">
        <v>1294</v>
      </c>
      <c r="C260" s="20" t="s">
        <v>280</v>
      </c>
      <c r="D260" s="20" t="s">
        <v>644</v>
      </c>
      <c r="E260" s="20" t="s">
        <v>312</v>
      </c>
      <c r="F260" s="20" t="s">
        <v>698</v>
      </c>
      <c r="G260" s="20" t="s">
        <v>234</v>
      </c>
      <c r="H260" s="20">
        <f>(5655.73*($L$8))</f>
        <v>30258.155499999997</v>
      </c>
      <c r="I260" s="20">
        <f>(5810.73*($L$8))</f>
        <v>31087.405499999997</v>
      </c>
      <c r="J260" s="20">
        <f>(5903.73*($L$8))</f>
        <v>31584.955499999996</v>
      </c>
      <c r="K260" s="20">
        <f>(6151.73*($L$8))</f>
        <v>32911.755499999992</v>
      </c>
      <c r="L260" s="20">
        <f>(6306.73*($L$8))</f>
        <v>33741.005499999992</v>
      </c>
      <c r="M260" s="20">
        <f>(6492.73*($L$8))</f>
        <v>34736.105499999998</v>
      </c>
      <c r="N260" s="20">
        <f>(6709.73*($L$8))</f>
        <v>35897.055499999995</v>
      </c>
      <c r="O260" s="20">
        <f>(7019.73*($L$8))</f>
        <v>37555.555499999995</v>
      </c>
      <c r="P260" s="20">
        <f>(7174.73*($L$8))</f>
        <v>38384.805499999995</v>
      </c>
      <c r="Q260" s="12">
        <f>(7794.73*($L$8))</f>
        <v>41701.805499999995</v>
      </c>
    </row>
    <row r="261" spans="1:17" ht="12.75" customHeight="1" x14ac:dyDescent="0.2">
      <c r="A261" s="6"/>
      <c r="B261" s="10" t="s">
        <v>1295</v>
      </c>
      <c r="C261" s="20" t="s">
        <v>236</v>
      </c>
      <c r="D261" s="20" t="s">
        <v>644</v>
      </c>
      <c r="E261" s="20" t="s">
        <v>312</v>
      </c>
      <c r="F261" s="20" t="s">
        <v>698</v>
      </c>
      <c r="G261" s="20" t="s">
        <v>243</v>
      </c>
      <c r="H261" s="20">
        <f>(5950.55*($L$8))</f>
        <v>31835.442499999997</v>
      </c>
      <c r="I261" s="20">
        <f>(6110.55*($L$8))</f>
        <v>32691.442499999997</v>
      </c>
      <c r="J261" s="20">
        <f>(6206.55*($L$8))</f>
        <v>33205.042499999996</v>
      </c>
      <c r="K261" s="20">
        <f>(6462.55*($L$8))</f>
        <v>34574.642500000002</v>
      </c>
      <c r="L261" s="20">
        <f>(6622.55*($L$8))</f>
        <v>35430.642500000002</v>
      </c>
      <c r="M261" s="20">
        <f>(6814.55*($L$8))</f>
        <v>36457.842499999999</v>
      </c>
      <c r="N261" s="20">
        <f>(7038.55*($L$8))</f>
        <v>37656.2425</v>
      </c>
      <c r="O261" s="20">
        <f>(7358.55*($L$8))</f>
        <v>39368.2425</v>
      </c>
      <c r="P261" s="20">
        <f>(7518.55*($L$8))</f>
        <v>40224.2425</v>
      </c>
      <c r="Q261" s="12">
        <f>(8158.55*($L$8))</f>
        <v>43648.2425</v>
      </c>
    </row>
    <row r="262" spans="1:17" ht="12.75" customHeight="1" x14ac:dyDescent="0.2">
      <c r="A262" s="6"/>
      <c r="B262" s="10" t="s">
        <v>1296</v>
      </c>
      <c r="C262" s="20" t="s">
        <v>79</v>
      </c>
      <c r="D262" s="20" t="s">
        <v>397</v>
      </c>
      <c r="E262" s="20" t="s">
        <v>312</v>
      </c>
      <c r="F262" s="20" t="s">
        <v>27</v>
      </c>
      <c r="G262" s="20" t="s">
        <v>218</v>
      </c>
      <c r="H262" s="20">
        <f>(2204.43*($L$8))</f>
        <v>11793.700499999999</v>
      </c>
      <c r="I262" s="20">
        <f>(2234.43*($L$8))</f>
        <v>11954.200499999999</v>
      </c>
      <c r="J262" s="20">
        <f>(2252.43*($L$8))</f>
        <v>12050.500499999998</v>
      </c>
      <c r="K262" s="20">
        <f>(2300.43*($L$8))</f>
        <v>12307.300499999998</v>
      </c>
      <c r="L262" s="20">
        <f>(2330.43*($L$8))</f>
        <v>12467.800499999998</v>
      </c>
      <c r="M262" s="20">
        <f>(2366.43*($L$8))</f>
        <v>12660.400499999998</v>
      </c>
      <c r="N262" s="20">
        <f>(2408.43*($L$8))</f>
        <v>12885.100499999999</v>
      </c>
      <c r="O262" s="20">
        <f>(2468.43*($L$8))</f>
        <v>13206.100499999999</v>
      </c>
      <c r="P262" s="20">
        <f>(2498.43*($L$8))</f>
        <v>13366.600499999999</v>
      </c>
      <c r="Q262" s="12">
        <f>(2618.43*($L$8))</f>
        <v>14008.600499999999</v>
      </c>
    </row>
    <row r="263" spans="1:17" ht="12.75" customHeight="1" x14ac:dyDescent="0.2">
      <c r="A263" s="6"/>
      <c r="B263" s="10" t="s">
        <v>1297</v>
      </c>
      <c r="C263" s="20" t="s">
        <v>79</v>
      </c>
      <c r="D263" s="20" t="s">
        <v>149</v>
      </c>
      <c r="E263" s="20" t="s">
        <v>312</v>
      </c>
      <c r="F263" s="20" t="s">
        <v>27</v>
      </c>
      <c r="G263" s="20" t="s">
        <v>403</v>
      </c>
      <c r="H263" s="20">
        <f>(2445.33*($L$8))</f>
        <v>13082.5155</v>
      </c>
      <c r="I263" s="20">
        <f>(2475.33*($L$8))</f>
        <v>13243.0155</v>
      </c>
      <c r="J263" s="20">
        <f>(2493.33*($L$8))</f>
        <v>13339.315499999999</v>
      </c>
      <c r="K263" s="20">
        <f>(2541.33*($L$8))</f>
        <v>13596.115499999998</v>
      </c>
      <c r="L263" s="20">
        <f>(2571.33*($L$8))</f>
        <v>13756.615499999998</v>
      </c>
      <c r="M263" s="20">
        <f>(2607.33*($L$8))</f>
        <v>13949.215499999998</v>
      </c>
      <c r="N263" s="20">
        <f>(2649.33*($L$8))</f>
        <v>14173.915499999999</v>
      </c>
      <c r="O263" s="20">
        <f>(2709.33*($L$8))</f>
        <v>14494.915499999999</v>
      </c>
      <c r="P263" s="20">
        <f>(2739.33*($L$8))</f>
        <v>14655.415499999999</v>
      </c>
      <c r="Q263" s="12">
        <f>(2859.33*($L$8))</f>
        <v>15297.415499999999</v>
      </c>
    </row>
    <row r="264" spans="1:17" ht="30" customHeight="1" x14ac:dyDescent="0.35">
      <c r="A264" s="6"/>
      <c r="B264" s="23" t="s">
        <v>1299</v>
      </c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5"/>
    </row>
    <row r="265" spans="1:17" ht="12.75" customHeight="1" x14ac:dyDescent="0.2">
      <c r="A265" s="7" t="s">
        <v>6</v>
      </c>
      <c r="B265" s="8" t="s">
        <v>7</v>
      </c>
      <c r="C265" s="8" t="s">
        <v>8</v>
      </c>
      <c r="D265" s="8" t="s">
        <v>9</v>
      </c>
      <c r="E265" s="8" t="s">
        <v>10</v>
      </c>
      <c r="F265" s="8" t="s">
        <v>11</v>
      </c>
      <c r="G265" s="8" t="s">
        <v>12</v>
      </c>
      <c r="H265" s="8" t="s">
        <v>13</v>
      </c>
      <c r="I265" s="8" t="s">
        <v>14</v>
      </c>
      <c r="J265" s="8" t="s">
        <v>15</v>
      </c>
      <c r="K265" s="8" t="s">
        <v>16</v>
      </c>
      <c r="L265" s="8" t="s">
        <v>17</v>
      </c>
      <c r="M265" s="8" t="s">
        <v>18</v>
      </c>
      <c r="N265" s="8" t="s">
        <v>19</v>
      </c>
      <c r="O265" s="8" t="s">
        <v>20</v>
      </c>
      <c r="P265" s="8" t="s">
        <v>21</v>
      </c>
      <c r="Q265" s="9" t="s">
        <v>22</v>
      </c>
    </row>
    <row r="266" spans="1:17" ht="12.75" customHeight="1" x14ac:dyDescent="0.2">
      <c r="A266" s="6"/>
      <c r="B266" s="10" t="s">
        <v>1300</v>
      </c>
      <c r="C266" s="20" t="s">
        <v>280</v>
      </c>
      <c r="D266" s="20" t="s">
        <v>149</v>
      </c>
      <c r="E266" s="20" t="s">
        <v>256</v>
      </c>
      <c r="F266" s="20" t="s">
        <v>405</v>
      </c>
      <c r="G266" s="20" t="s">
        <v>160</v>
      </c>
      <c r="H266" s="20">
        <f>(5229.72*($L$8))</f>
        <v>27979.002</v>
      </c>
      <c r="I266" s="20">
        <f>(5339.72*($L$8))</f>
        <v>28567.502</v>
      </c>
      <c r="J266" s="20">
        <f>(5405.72*($L$8))</f>
        <v>28920.601999999999</v>
      </c>
      <c r="K266" s="20">
        <f>(5581.72*($L$8))</f>
        <v>29862.202000000001</v>
      </c>
      <c r="L266" s="20">
        <f>(5691.72*($L$8))</f>
        <v>30450.702000000001</v>
      </c>
      <c r="M266" s="20">
        <f>(5823.72*($L$8))</f>
        <v>31156.901999999998</v>
      </c>
      <c r="N266" s="20">
        <f>(5977.72*($L$8))</f>
        <v>31980.802</v>
      </c>
      <c r="O266" s="20">
        <f>(6197.72*($L$8))</f>
        <v>33157.801999999996</v>
      </c>
      <c r="P266" s="20">
        <f>(6307.72*($L$8))</f>
        <v>33746.301999999996</v>
      </c>
      <c r="Q266" s="12">
        <f>(6747.72*($L$8))</f>
        <v>36100.301999999996</v>
      </c>
    </row>
    <row r="267" spans="1:17" ht="12.75" customHeight="1" x14ac:dyDescent="0.2">
      <c r="A267" s="6"/>
      <c r="B267" s="10" t="s">
        <v>1301</v>
      </c>
      <c r="C267" s="20" t="s">
        <v>236</v>
      </c>
      <c r="D267" s="20" t="s">
        <v>149</v>
      </c>
      <c r="E267" s="20" t="s">
        <v>256</v>
      </c>
      <c r="F267" s="20" t="s">
        <v>405</v>
      </c>
      <c r="G267" s="20" t="s">
        <v>163</v>
      </c>
      <c r="H267" s="20">
        <f>(5361.64*($L$8))</f>
        <v>28684.774000000001</v>
      </c>
      <c r="I267" s="20">
        <f>(5476.64*($L$8))</f>
        <v>29300.024000000001</v>
      </c>
      <c r="J267" s="20">
        <f>(5545.64*($L$8))</f>
        <v>29669.173999999999</v>
      </c>
      <c r="K267" s="20">
        <f>(5729.64*($L$8))</f>
        <v>30653.574000000001</v>
      </c>
      <c r="L267" s="20">
        <f>(5844.64*($L$8))</f>
        <v>31268.824000000001</v>
      </c>
      <c r="M267" s="20">
        <f>(5982.64*($L$8))</f>
        <v>32007.124</v>
      </c>
      <c r="N267" s="20">
        <f>(6143.64*($L$8))</f>
        <v>32868.474000000002</v>
      </c>
      <c r="O267" s="20">
        <f>(6373.64*($L$8))</f>
        <v>34098.974000000002</v>
      </c>
      <c r="P267" s="20">
        <f>(6488.64*($L$8))</f>
        <v>34714.224000000002</v>
      </c>
      <c r="Q267" s="12">
        <f>(6948.64*($L$8))</f>
        <v>37175.224000000002</v>
      </c>
    </row>
    <row r="268" spans="1:17" ht="12.75" customHeight="1" x14ac:dyDescent="0.2">
      <c r="A268" s="6"/>
      <c r="B268" s="10" t="s">
        <v>1302</v>
      </c>
      <c r="C268" s="20" t="s">
        <v>282</v>
      </c>
      <c r="D268" s="20" t="s">
        <v>149</v>
      </c>
      <c r="E268" s="20" t="s">
        <v>256</v>
      </c>
      <c r="F268" s="20" t="s">
        <v>405</v>
      </c>
      <c r="G268" s="20" t="s">
        <v>182</v>
      </c>
      <c r="H268" s="20">
        <f>(5544.84*($L$8))</f>
        <v>29664.894</v>
      </c>
      <c r="I268" s="20">
        <f>(5662.84*($L$8))</f>
        <v>30296.194</v>
      </c>
      <c r="J268" s="20">
        <f>(5733.64*($L$8))</f>
        <v>30674.973999999998</v>
      </c>
      <c r="K268" s="20">
        <f>(5922.44*($L$8))</f>
        <v>31685.053999999996</v>
      </c>
      <c r="L268" s="20">
        <f>(6040.44*($L$8))</f>
        <v>32316.353999999996</v>
      </c>
      <c r="M268" s="20">
        <f>(6182.04*($L$8))</f>
        <v>33073.913999999997</v>
      </c>
      <c r="N268" s="20">
        <f>(6347.24*($L$8))</f>
        <v>33957.733999999997</v>
      </c>
      <c r="O268" s="20">
        <f>(6583.24*($L$8))</f>
        <v>35220.333999999995</v>
      </c>
      <c r="P268" s="20">
        <f>(6701.24*($L$8))</f>
        <v>35851.633999999998</v>
      </c>
      <c r="Q268" s="12">
        <f>(7173.24*($L$8))</f>
        <v>38376.833999999995</v>
      </c>
    </row>
    <row r="269" spans="1:17" ht="12.75" customHeight="1" x14ac:dyDescent="0.2">
      <c r="A269" s="6"/>
      <c r="B269" s="10" t="s">
        <v>1303</v>
      </c>
      <c r="C269" s="20" t="s">
        <v>285</v>
      </c>
      <c r="D269" s="20" t="s">
        <v>149</v>
      </c>
      <c r="E269" s="20" t="s">
        <v>256</v>
      </c>
      <c r="F269" s="20" t="s">
        <v>405</v>
      </c>
      <c r="G269" s="20" t="s">
        <v>185</v>
      </c>
      <c r="H269" s="20">
        <f>(5680.6*($L$8))</f>
        <v>30391.21</v>
      </c>
      <c r="I269" s="20">
        <f>(5802.6*($L$8))</f>
        <v>31043.91</v>
      </c>
      <c r="J269" s="20">
        <f>(5875.8*($L$8))</f>
        <v>31435.53</v>
      </c>
      <c r="K269" s="20">
        <f>(6071*($L$8))</f>
        <v>32479.85</v>
      </c>
      <c r="L269" s="20">
        <f>(6193*($L$8))</f>
        <v>33132.549999999996</v>
      </c>
      <c r="M269" s="20">
        <f>(6339.4*($L$8))</f>
        <v>33915.789999999994</v>
      </c>
      <c r="N269" s="20">
        <f>(6510.2*($L$8))</f>
        <v>34829.57</v>
      </c>
      <c r="O269" s="20">
        <f>(6754.2*($L$8))</f>
        <v>36134.969999999994</v>
      </c>
      <c r="P269" s="20">
        <f>(6876.2*($L$8))</f>
        <v>36787.67</v>
      </c>
      <c r="Q269" s="12">
        <f>(7364.2*($L$8))</f>
        <v>39398.469999999994</v>
      </c>
    </row>
    <row r="270" spans="1:17" ht="30" customHeight="1" x14ac:dyDescent="0.35">
      <c r="A270" s="6"/>
      <c r="B270" s="23" t="s">
        <v>1304</v>
      </c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5"/>
    </row>
    <row r="271" spans="1:17" ht="12.75" customHeight="1" x14ac:dyDescent="0.2">
      <c r="A271" s="7" t="s">
        <v>6</v>
      </c>
      <c r="B271" s="8" t="s">
        <v>7</v>
      </c>
      <c r="C271" s="8" t="s">
        <v>8</v>
      </c>
      <c r="D271" s="8" t="s">
        <v>9</v>
      </c>
      <c r="E271" s="8" t="s">
        <v>10</v>
      </c>
      <c r="F271" s="8" t="s">
        <v>11</v>
      </c>
      <c r="G271" s="8" t="s">
        <v>12</v>
      </c>
      <c r="H271" s="8" t="s">
        <v>13</v>
      </c>
      <c r="I271" s="8" t="s">
        <v>14</v>
      </c>
      <c r="J271" s="8" t="s">
        <v>15</v>
      </c>
      <c r="K271" s="8" t="s">
        <v>16</v>
      </c>
      <c r="L271" s="8" t="s">
        <v>17</v>
      </c>
      <c r="M271" s="8" t="s">
        <v>18</v>
      </c>
      <c r="N271" s="8" t="s">
        <v>19</v>
      </c>
      <c r="O271" s="8" t="s">
        <v>20</v>
      </c>
      <c r="P271" s="8" t="s">
        <v>21</v>
      </c>
      <c r="Q271" s="9" t="s">
        <v>22</v>
      </c>
    </row>
    <row r="272" spans="1:17" ht="12.75" customHeight="1" x14ac:dyDescent="0.2">
      <c r="A272" s="6"/>
      <c r="B272" s="10" t="s">
        <v>1305</v>
      </c>
      <c r="C272" s="20" t="s">
        <v>150</v>
      </c>
      <c r="D272" s="20" t="s">
        <v>1306</v>
      </c>
      <c r="E272" s="20" t="s">
        <v>365</v>
      </c>
      <c r="F272" s="20" t="s">
        <v>858</v>
      </c>
      <c r="G272" s="20" t="s">
        <v>236</v>
      </c>
      <c r="H272" s="20">
        <f>(4469.92*($L$8))</f>
        <v>23914.072</v>
      </c>
      <c r="I272" s="20">
        <f>(4494.92*($L$8))</f>
        <v>24047.822</v>
      </c>
      <c r="J272" s="20">
        <f>(4509.92*($L$8))</f>
        <v>24128.072</v>
      </c>
      <c r="K272" s="20">
        <f>(4549.92*($L$8))</f>
        <v>24342.072</v>
      </c>
      <c r="L272" s="20">
        <f>(4574.92*($L$8))</f>
        <v>24475.822</v>
      </c>
      <c r="M272" s="20">
        <f>(4604.92*($L$8))</f>
        <v>24636.322</v>
      </c>
      <c r="N272" s="20">
        <f>(4639.92*($L$8))</f>
        <v>24823.572</v>
      </c>
      <c r="O272" s="20">
        <f>(4689.92*($L$8))</f>
        <v>25091.072</v>
      </c>
      <c r="P272" s="20">
        <f>(4714.92*($L$8))</f>
        <v>25224.822</v>
      </c>
      <c r="Q272" s="12">
        <f>(4814.92*($L$8))</f>
        <v>25759.822</v>
      </c>
    </row>
    <row r="273" spans="1:17" ht="30" customHeight="1" x14ac:dyDescent="0.35">
      <c r="A273" s="6"/>
      <c r="B273" s="23" t="s">
        <v>1307</v>
      </c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5"/>
    </row>
    <row r="274" spans="1:17" ht="12.75" customHeight="1" x14ac:dyDescent="0.2">
      <c r="A274" s="7" t="s">
        <v>6</v>
      </c>
      <c r="B274" s="8" t="s">
        <v>7</v>
      </c>
      <c r="C274" s="8" t="s">
        <v>8</v>
      </c>
      <c r="D274" s="8" t="s">
        <v>9</v>
      </c>
      <c r="E274" s="8" t="s">
        <v>10</v>
      </c>
      <c r="F274" s="8" t="s">
        <v>11</v>
      </c>
      <c r="G274" s="8" t="s">
        <v>12</v>
      </c>
      <c r="H274" s="8" t="s">
        <v>13</v>
      </c>
      <c r="I274" s="8" t="s">
        <v>14</v>
      </c>
      <c r="J274" s="8" t="s">
        <v>15</v>
      </c>
      <c r="K274" s="8" t="s">
        <v>16</v>
      </c>
      <c r="L274" s="8" t="s">
        <v>17</v>
      </c>
      <c r="M274" s="8" t="s">
        <v>18</v>
      </c>
      <c r="N274" s="8" t="s">
        <v>19</v>
      </c>
      <c r="O274" s="8" t="s">
        <v>20</v>
      </c>
      <c r="P274" s="8" t="s">
        <v>21</v>
      </c>
      <c r="Q274" s="9" t="s">
        <v>22</v>
      </c>
    </row>
    <row r="275" spans="1:17" ht="12.75" customHeight="1" x14ac:dyDescent="0.2">
      <c r="A275" s="6"/>
      <c r="B275" s="10" t="s">
        <v>1308</v>
      </c>
      <c r="C275" s="20" t="s">
        <v>1309</v>
      </c>
      <c r="D275" s="20" t="s">
        <v>311</v>
      </c>
      <c r="E275" s="20" t="s">
        <v>256</v>
      </c>
      <c r="F275" s="20" t="s">
        <v>652</v>
      </c>
      <c r="G275" s="20" t="s">
        <v>38</v>
      </c>
      <c r="H275" s="20">
        <f>(3727.67*($L$8))</f>
        <v>19943.034499999998</v>
      </c>
      <c r="I275" s="20">
        <f>(3802.67*($L$8))</f>
        <v>20344.284499999998</v>
      </c>
      <c r="J275" s="20">
        <f>(3847.67*($L$8))</f>
        <v>20585.034499999998</v>
      </c>
      <c r="K275" s="20">
        <f>(3967.67*($L$8))</f>
        <v>21227.034499999998</v>
      </c>
      <c r="L275" s="20">
        <f>(4042.67*($L$8))</f>
        <v>21628.284499999998</v>
      </c>
      <c r="M275" s="20">
        <f>(4132.67*($L$8))</f>
        <v>22109.784499999998</v>
      </c>
      <c r="N275" s="20">
        <f>(4237.67*($L$8))</f>
        <v>22671.534499999998</v>
      </c>
      <c r="O275" s="20">
        <f>(4387.67*($L$8))</f>
        <v>23474.034499999998</v>
      </c>
      <c r="P275" s="20">
        <f>(4462.67*($L$8))</f>
        <v>23875.284499999998</v>
      </c>
      <c r="Q275" s="12">
        <f>(4762.67*($L$8))</f>
        <v>25480.284499999998</v>
      </c>
    </row>
    <row r="276" spans="1:17" ht="12.75" customHeight="1" x14ac:dyDescent="0.2">
      <c r="A276" s="6"/>
      <c r="B276" s="10" t="s">
        <v>1310</v>
      </c>
      <c r="C276" s="20" t="s">
        <v>320</v>
      </c>
      <c r="D276" s="20" t="s">
        <v>311</v>
      </c>
      <c r="E276" s="20" t="s">
        <v>256</v>
      </c>
      <c r="F276" s="20" t="s">
        <v>652</v>
      </c>
      <c r="G276" s="20" t="s">
        <v>60</v>
      </c>
      <c r="H276" s="20">
        <f>(3836.65*($L$8))</f>
        <v>20526.077499999999</v>
      </c>
      <c r="I276" s="20">
        <f>(3916.65*($L$8))</f>
        <v>20954.077499999999</v>
      </c>
      <c r="J276" s="20">
        <f>(3964.65*($L$8))</f>
        <v>21210.877499999999</v>
      </c>
      <c r="K276" s="20">
        <f>(4092.65*($L$8))</f>
        <v>21895.677499999998</v>
      </c>
      <c r="L276" s="20">
        <f>(4172.65*($L$8))</f>
        <v>22323.677499999998</v>
      </c>
      <c r="M276" s="20">
        <f>(4268.65*($L$8))</f>
        <v>22837.277499999997</v>
      </c>
      <c r="N276" s="20">
        <f>(4380.65*($L$8))</f>
        <v>23436.477499999997</v>
      </c>
      <c r="O276" s="20">
        <f>(4540.65*($L$8))</f>
        <v>24292.477499999997</v>
      </c>
      <c r="P276" s="20">
        <f>(4620.65*($L$8))</f>
        <v>24720.477499999997</v>
      </c>
      <c r="Q276" s="12">
        <f>(4940.65*($L$8))</f>
        <v>26432.477499999997</v>
      </c>
    </row>
    <row r="277" spans="1:17" ht="12.75" customHeight="1" x14ac:dyDescent="0.2">
      <c r="A277" s="6"/>
      <c r="B277" s="10" t="s">
        <v>1311</v>
      </c>
      <c r="C277" s="20" t="s">
        <v>1312</v>
      </c>
      <c r="D277" s="20" t="s">
        <v>311</v>
      </c>
      <c r="E277" s="20" t="s">
        <v>256</v>
      </c>
      <c r="F277" s="20" t="s">
        <v>652</v>
      </c>
      <c r="G277" s="20" t="s">
        <v>60</v>
      </c>
      <c r="H277" s="20">
        <f>(3940.33*($L$8))</f>
        <v>21080.765499999998</v>
      </c>
      <c r="I277" s="20">
        <f>(4025.33*($L$8))</f>
        <v>21535.515499999998</v>
      </c>
      <c r="J277" s="20">
        <f>(4076.33*($L$8))</f>
        <v>21808.3655</v>
      </c>
      <c r="K277" s="20">
        <f>(4212.33*($L$8))</f>
        <v>22535.965499999998</v>
      </c>
      <c r="L277" s="20">
        <f>(4297.33*($L$8))</f>
        <v>22990.715499999998</v>
      </c>
      <c r="M277" s="20">
        <f>(4399.33*($L$8))</f>
        <v>23536.415499999999</v>
      </c>
      <c r="N277" s="20">
        <f>(4518.33*($L$8))</f>
        <v>24173.065499999997</v>
      </c>
      <c r="O277" s="20">
        <f>(4688.33*($L$8))</f>
        <v>25082.565499999997</v>
      </c>
      <c r="P277" s="20">
        <f>(4773.33*($L$8))</f>
        <v>25537.315499999997</v>
      </c>
      <c r="Q277" s="12">
        <f>(5113.33*($L$8))</f>
        <v>27356.315499999997</v>
      </c>
    </row>
    <row r="278" spans="1:17" ht="12.75" customHeight="1" x14ac:dyDescent="0.2">
      <c r="A278" s="6"/>
      <c r="B278" s="10" t="s">
        <v>1313</v>
      </c>
      <c r="C278" s="20" t="s">
        <v>1314</v>
      </c>
      <c r="D278" s="20" t="s">
        <v>311</v>
      </c>
      <c r="E278" s="20" t="s">
        <v>256</v>
      </c>
      <c r="F278" s="20" t="s">
        <v>652</v>
      </c>
      <c r="G278" s="20" t="s">
        <v>262</v>
      </c>
      <c r="H278" s="20">
        <f>(4046.01*($L$8))</f>
        <v>21646.1535</v>
      </c>
      <c r="I278" s="20">
        <f>(4136.01*($L$8))</f>
        <v>22127.6535</v>
      </c>
      <c r="J278" s="20">
        <f>(4190.01*($L$8))</f>
        <v>22416.553499999998</v>
      </c>
      <c r="K278" s="20">
        <f>(4334.01*($L$8))</f>
        <v>23186.9535</v>
      </c>
      <c r="L278" s="20">
        <f>(4424.01*($L$8))</f>
        <v>23668.4535</v>
      </c>
      <c r="M278" s="20">
        <f>(4532.01*($L$8))</f>
        <v>24246.253499999999</v>
      </c>
      <c r="N278" s="20">
        <f>(4658.01*($L$8))</f>
        <v>24920.353500000001</v>
      </c>
      <c r="O278" s="20">
        <f>(4838.01*($L$8))</f>
        <v>25883.353500000001</v>
      </c>
      <c r="P278" s="20">
        <f>(4928.01*($L$8))</f>
        <v>26364.853500000001</v>
      </c>
      <c r="Q278" s="12">
        <f>(5288.01*($L$8))</f>
        <v>28290.853500000001</v>
      </c>
    </row>
    <row r="279" spans="1:17" ht="12.75" customHeight="1" x14ac:dyDescent="0.2">
      <c r="A279" s="6"/>
      <c r="B279" s="10" t="s">
        <v>1315</v>
      </c>
      <c r="C279" s="20" t="s">
        <v>361</v>
      </c>
      <c r="D279" s="20" t="s">
        <v>311</v>
      </c>
      <c r="E279" s="20" t="s">
        <v>256</v>
      </c>
      <c r="F279" s="20" t="s">
        <v>652</v>
      </c>
      <c r="G279" s="20" t="s">
        <v>152</v>
      </c>
      <c r="H279" s="20">
        <f>(4152.29*($L$8))</f>
        <v>22214.751499999998</v>
      </c>
      <c r="I279" s="20">
        <f>(4247.29*($L$8))</f>
        <v>22723.001499999998</v>
      </c>
      <c r="J279" s="20">
        <f>(4304.29*($L$8))</f>
        <v>23027.951499999999</v>
      </c>
      <c r="K279" s="20">
        <f>(4456.29*($L$8))</f>
        <v>23841.1515</v>
      </c>
      <c r="L279" s="20">
        <f>(4551.29*($L$8))</f>
        <v>24349.4015</v>
      </c>
      <c r="M279" s="20">
        <f>(4665.29*($L$8))</f>
        <v>24959.301499999998</v>
      </c>
      <c r="N279" s="20">
        <f>(4798.29*($L$8))</f>
        <v>25670.851499999997</v>
      </c>
      <c r="O279" s="20">
        <f>(4988.29*($L$8))</f>
        <v>26687.351499999997</v>
      </c>
      <c r="P279" s="20">
        <f>(5083.29*($L$8))</f>
        <v>27195.601499999997</v>
      </c>
      <c r="Q279" s="12">
        <f>(5463.29*($L$8))</f>
        <v>29228.601499999997</v>
      </c>
    </row>
    <row r="280" spans="1:17" ht="12.75" customHeight="1" x14ac:dyDescent="0.2">
      <c r="A280" s="6"/>
      <c r="B280" s="10" t="s">
        <v>1316</v>
      </c>
      <c r="C280" s="20" t="s">
        <v>1317</v>
      </c>
      <c r="D280" s="20" t="s">
        <v>311</v>
      </c>
      <c r="E280" s="20" t="s">
        <v>256</v>
      </c>
      <c r="F280" s="20" t="s">
        <v>652</v>
      </c>
      <c r="G280" s="20" t="s">
        <v>166</v>
      </c>
      <c r="H280" s="20">
        <f>(4254.91*($L$8))</f>
        <v>22763.768499999998</v>
      </c>
      <c r="I280" s="20">
        <f>(4354.91*($L$8))</f>
        <v>23298.768499999998</v>
      </c>
      <c r="J280" s="20">
        <f>(4414.91*($L$8))</f>
        <v>23619.768499999998</v>
      </c>
      <c r="K280" s="20">
        <f>(4574.91*($L$8))</f>
        <v>24475.768499999998</v>
      </c>
      <c r="L280" s="20">
        <f>(4674.91*($L$8))</f>
        <v>25010.768499999998</v>
      </c>
      <c r="M280" s="20">
        <f>(4794.91*($L$8))</f>
        <v>25652.768499999998</v>
      </c>
      <c r="N280" s="20">
        <f>(4934.91*($L$8))</f>
        <v>26401.768499999998</v>
      </c>
      <c r="O280" s="20">
        <f>(5134.91*($L$8))</f>
        <v>27471.768499999998</v>
      </c>
      <c r="P280" s="20">
        <f>(5234.91*($L$8))</f>
        <v>28006.768499999998</v>
      </c>
      <c r="Q280" s="12">
        <f>(5634.91*($L$8))</f>
        <v>30146.768499999998</v>
      </c>
    </row>
    <row r="281" spans="1:17" ht="12.75" customHeight="1" x14ac:dyDescent="0.2">
      <c r="A281" s="6"/>
      <c r="B281" s="10" t="s">
        <v>1318</v>
      </c>
      <c r="C281" s="20" t="s">
        <v>330</v>
      </c>
      <c r="D281" s="20" t="s">
        <v>311</v>
      </c>
      <c r="E281" s="20" t="s">
        <v>256</v>
      </c>
      <c r="F281" s="20" t="s">
        <v>652</v>
      </c>
      <c r="G281" s="20" t="s">
        <v>31</v>
      </c>
      <c r="H281" s="20">
        <f>(3250.96*($L$8))</f>
        <v>17392.635999999999</v>
      </c>
      <c r="I281" s="20">
        <f>(3303.96*($L$8))</f>
        <v>17676.185999999998</v>
      </c>
      <c r="J281" s="20">
        <f>(3335.76*($L$8))</f>
        <v>17846.315999999999</v>
      </c>
      <c r="K281" s="20">
        <f>(3420.56*($L$8))</f>
        <v>18299.995999999999</v>
      </c>
      <c r="L281" s="20">
        <f>(3473.56*($L$8))</f>
        <v>18583.545999999998</v>
      </c>
      <c r="M281" s="20">
        <f>(3537.16*($L$8))</f>
        <v>18923.805999999997</v>
      </c>
      <c r="N281" s="20">
        <f>(3611.36*($L$8))</f>
        <v>19320.775999999998</v>
      </c>
      <c r="O281" s="20">
        <f>(3717.36*($L$8))</f>
        <v>19887.876</v>
      </c>
      <c r="P281" s="20">
        <f>(3770.36*($L$8))</f>
        <v>20171.425999999999</v>
      </c>
      <c r="Q281" s="12">
        <f>(3982.36*($L$8))</f>
        <v>21305.626</v>
      </c>
    </row>
    <row r="282" spans="1:17" ht="12.75" customHeight="1" x14ac:dyDescent="0.2">
      <c r="A282" s="6"/>
      <c r="B282" s="10" t="s">
        <v>1319</v>
      </c>
      <c r="C282" s="20" t="s">
        <v>79</v>
      </c>
      <c r="D282" s="20" t="s">
        <v>311</v>
      </c>
      <c r="E282" s="20" t="s">
        <v>256</v>
      </c>
      <c r="F282" s="20" t="s">
        <v>652</v>
      </c>
      <c r="G282" s="20" t="s">
        <v>48</v>
      </c>
      <c r="H282" s="20">
        <f>(3342.18*($L$8))</f>
        <v>17880.662999999997</v>
      </c>
      <c r="I282" s="20">
        <f>(3397.18*($L$8))</f>
        <v>18174.912999999997</v>
      </c>
      <c r="J282" s="20">
        <f>(3430.18*($L$8))</f>
        <v>18351.462999999996</v>
      </c>
      <c r="K282" s="20">
        <f>(3518.18*($L$8))</f>
        <v>18822.262999999999</v>
      </c>
      <c r="L282" s="20">
        <f>(3573.18*($L$8))</f>
        <v>19116.512999999999</v>
      </c>
      <c r="M282" s="20">
        <f>(3639.18*($L$8))</f>
        <v>19469.612999999998</v>
      </c>
      <c r="N282" s="20">
        <f>(3716.18*($L$8))</f>
        <v>19881.562999999998</v>
      </c>
      <c r="O282" s="20">
        <f>(3826.18*($L$8))</f>
        <v>20470.062999999998</v>
      </c>
      <c r="P282" s="20">
        <f>(3881.18*($L$8))</f>
        <v>20764.312999999998</v>
      </c>
      <c r="Q282" s="12">
        <f>(4101.18*($L$8))</f>
        <v>21941.312999999998</v>
      </c>
    </row>
    <row r="283" spans="1:17" ht="12.75" customHeight="1" x14ac:dyDescent="0.2">
      <c r="A283" s="6"/>
      <c r="B283" s="10" t="s">
        <v>1320</v>
      </c>
      <c r="C283" s="20" t="s">
        <v>134</v>
      </c>
      <c r="D283" s="20" t="s">
        <v>311</v>
      </c>
      <c r="E283" s="20" t="s">
        <v>256</v>
      </c>
      <c r="F283" s="20" t="s">
        <v>652</v>
      </c>
      <c r="G283" s="20" t="s">
        <v>48</v>
      </c>
      <c r="H283" s="20">
        <f>(3495.02*($L$8))</f>
        <v>18698.357</v>
      </c>
      <c r="I283" s="20">
        <f>(3552.02*($L$8))</f>
        <v>19003.306999999997</v>
      </c>
      <c r="J283" s="20">
        <f>(3586.22*($L$8))</f>
        <v>19186.276999999998</v>
      </c>
      <c r="K283" s="20">
        <f>(3677.42*($L$8))</f>
        <v>19674.197</v>
      </c>
      <c r="L283" s="20">
        <f>(3734.42*($L$8))</f>
        <v>19979.147000000001</v>
      </c>
      <c r="M283" s="20">
        <f>(3802.82*($L$8))</f>
        <v>20345.087</v>
      </c>
      <c r="N283" s="20">
        <f>(3882.62*($L$8))</f>
        <v>20772.017</v>
      </c>
      <c r="O283" s="20">
        <f>(3996.62*($L$8))</f>
        <v>21381.916999999998</v>
      </c>
      <c r="P283" s="20">
        <f>(4053.62*($L$8))</f>
        <v>21686.866999999998</v>
      </c>
      <c r="Q283" s="12">
        <f>(4281.62*($L$8))</f>
        <v>22906.666999999998</v>
      </c>
    </row>
    <row r="284" spans="1:17" ht="12.75" customHeight="1" x14ac:dyDescent="0.2">
      <c r="A284" s="6"/>
      <c r="B284" s="10" t="s">
        <v>1321</v>
      </c>
      <c r="C284" s="20" t="s">
        <v>333</v>
      </c>
      <c r="D284" s="20" t="s">
        <v>311</v>
      </c>
      <c r="E284" s="20" t="s">
        <v>256</v>
      </c>
      <c r="F284" s="20" t="s">
        <v>652</v>
      </c>
      <c r="G284" s="20" t="s">
        <v>35</v>
      </c>
      <c r="H284" s="20">
        <f>(3583.33*($L$8))</f>
        <v>19170.815499999997</v>
      </c>
      <c r="I284" s="20">
        <f>(3642.33*($L$8))</f>
        <v>19486.465499999998</v>
      </c>
      <c r="J284" s="20">
        <f>(3677.73*($L$8))</f>
        <v>19675.855499999998</v>
      </c>
      <c r="K284" s="20">
        <f>(3772.13*($L$8))</f>
        <v>20180.895499999999</v>
      </c>
      <c r="L284" s="20">
        <f>(3831.13*($L$8))</f>
        <v>20496.5455</v>
      </c>
      <c r="M284" s="20">
        <f>(3901.93*($L$8))</f>
        <v>20875.325499999999</v>
      </c>
      <c r="N284" s="20">
        <f>(3984.53*($L$8))</f>
        <v>21317.235499999999</v>
      </c>
      <c r="O284" s="20">
        <f>(4102.53*($L$8))</f>
        <v>21948.535499999998</v>
      </c>
      <c r="P284" s="20">
        <f>(4161.53*($L$8))</f>
        <v>22264.185499999996</v>
      </c>
      <c r="Q284" s="12">
        <f>(4397.53*($L$8))</f>
        <v>23526.785499999998</v>
      </c>
    </row>
    <row r="285" spans="1:17" ht="12.75" customHeight="1" x14ac:dyDescent="0.2">
      <c r="A285" s="6"/>
      <c r="B285" s="10" t="s">
        <v>1322</v>
      </c>
      <c r="C285" s="20" t="s">
        <v>565</v>
      </c>
      <c r="D285" s="20" t="s">
        <v>311</v>
      </c>
      <c r="E285" s="20" t="s">
        <v>256</v>
      </c>
      <c r="F285" s="20" t="s">
        <v>652</v>
      </c>
      <c r="G285" s="20" t="s">
        <v>35</v>
      </c>
      <c r="H285" s="20">
        <f>(3676.24*($L$8))</f>
        <v>19667.883999999998</v>
      </c>
      <c r="I285" s="20">
        <f>(3737.24*($L$8))</f>
        <v>19994.233999999997</v>
      </c>
      <c r="J285" s="20">
        <f>(3773.84*($L$8))</f>
        <v>20190.043999999998</v>
      </c>
      <c r="K285" s="20">
        <f>(3871.44*($L$8))</f>
        <v>20712.203999999998</v>
      </c>
      <c r="L285" s="20">
        <f>(3932.44*($L$8))</f>
        <v>21038.554</v>
      </c>
      <c r="M285" s="20">
        <f>(4005.64*($L$8))</f>
        <v>21430.173999999999</v>
      </c>
      <c r="N285" s="20">
        <f>(4091.04*($L$8))</f>
        <v>21887.063999999998</v>
      </c>
      <c r="O285" s="20">
        <f>(4213.04*($L$8))</f>
        <v>22539.763999999999</v>
      </c>
      <c r="P285" s="20">
        <f>(4274.04*($L$8))</f>
        <v>22866.113999999998</v>
      </c>
      <c r="Q285" s="12">
        <f>(4518.04*($L$8))</f>
        <v>24171.513999999999</v>
      </c>
    </row>
    <row r="286" spans="1:17" ht="12.75" customHeight="1" x14ac:dyDescent="0.2">
      <c r="A286" s="6"/>
      <c r="B286" s="10" t="s">
        <v>1323</v>
      </c>
      <c r="C286" s="20" t="s">
        <v>385</v>
      </c>
      <c r="D286" s="20" t="s">
        <v>311</v>
      </c>
      <c r="E286" s="20" t="s">
        <v>256</v>
      </c>
      <c r="F286" s="20" t="s">
        <v>652</v>
      </c>
      <c r="G286" s="20" t="s">
        <v>54</v>
      </c>
      <c r="H286" s="20">
        <f>(3766.29*($L$8))</f>
        <v>20149.6515</v>
      </c>
      <c r="I286" s="20">
        <f>(3829.29*($L$8))</f>
        <v>20486.701499999999</v>
      </c>
      <c r="J286" s="20">
        <f>(3867.09*($L$8))</f>
        <v>20688.931499999999</v>
      </c>
      <c r="K286" s="20">
        <f>(3967.89*($L$8))</f>
        <v>21228.211499999998</v>
      </c>
      <c r="L286" s="20">
        <f>(4030.89*($L$8))</f>
        <v>21565.261499999997</v>
      </c>
      <c r="M286" s="20">
        <f>(4106.49*($L$8))</f>
        <v>21969.721499999996</v>
      </c>
      <c r="N286" s="20">
        <f>(4194.69*($L$8))</f>
        <v>22441.591499999995</v>
      </c>
      <c r="O286" s="20">
        <f>(4320.69*($L$8))</f>
        <v>23115.691499999997</v>
      </c>
      <c r="P286" s="20">
        <f>(4383.69*($L$8))</f>
        <v>23452.741499999996</v>
      </c>
      <c r="Q286" s="12">
        <f>(4635.69*($L$8))</f>
        <v>24800.941499999997</v>
      </c>
    </row>
    <row r="287" spans="1:17" ht="30" customHeight="1" x14ac:dyDescent="0.35">
      <c r="A287" s="6"/>
      <c r="B287" s="23" t="s">
        <v>1324</v>
      </c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5"/>
    </row>
    <row r="288" spans="1:17" ht="12.75" customHeight="1" x14ac:dyDescent="0.2">
      <c r="A288" s="7" t="s">
        <v>6</v>
      </c>
      <c r="B288" s="8" t="s">
        <v>7</v>
      </c>
      <c r="C288" s="8" t="s">
        <v>8</v>
      </c>
      <c r="D288" s="8" t="s">
        <v>9</v>
      </c>
      <c r="E288" s="8" t="s">
        <v>10</v>
      </c>
      <c r="F288" s="8" t="s">
        <v>11</v>
      </c>
      <c r="G288" s="8" t="s">
        <v>12</v>
      </c>
      <c r="H288" s="8" t="s">
        <v>13</v>
      </c>
      <c r="I288" s="8" t="s">
        <v>14</v>
      </c>
      <c r="J288" s="8" t="s">
        <v>15</v>
      </c>
      <c r="K288" s="8" t="s">
        <v>16</v>
      </c>
      <c r="L288" s="8" t="s">
        <v>17</v>
      </c>
      <c r="M288" s="8" t="s">
        <v>18</v>
      </c>
      <c r="N288" s="8" t="s">
        <v>19</v>
      </c>
      <c r="O288" s="8" t="s">
        <v>20</v>
      </c>
      <c r="P288" s="8" t="s">
        <v>21</v>
      </c>
      <c r="Q288" s="9" t="s">
        <v>22</v>
      </c>
    </row>
    <row r="289" spans="1:17" ht="12.75" customHeight="1" x14ac:dyDescent="0.2">
      <c r="A289" s="6"/>
      <c r="B289" s="10" t="s">
        <v>1325</v>
      </c>
      <c r="C289" s="20" t="s">
        <v>320</v>
      </c>
      <c r="D289" s="20" t="s">
        <v>1326</v>
      </c>
      <c r="E289" s="20" t="s">
        <v>567</v>
      </c>
      <c r="F289" s="20" t="s">
        <v>652</v>
      </c>
      <c r="G289" s="20" t="s">
        <v>31</v>
      </c>
      <c r="H289" s="20">
        <f>(3235.35*($L$8))</f>
        <v>17309.122499999998</v>
      </c>
      <c r="I289" s="20">
        <f>(3289.35*($L$8))</f>
        <v>17598.022499999999</v>
      </c>
      <c r="J289" s="20">
        <f>(3321.75*($L$8))</f>
        <v>17771.362499999999</v>
      </c>
      <c r="K289" s="20">
        <f>(3408.15*($L$8))</f>
        <v>18233.602500000001</v>
      </c>
      <c r="L289" s="20">
        <f>(3462.15*($L$8))</f>
        <v>18522.502499999999</v>
      </c>
      <c r="M289" s="20">
        <f>(3526.95*($L$8))</f>
        <v>18869.182499999999</v>
      </c>
      <c r="N289" s="20">
        <f>(3602.55*($L$8))</f>
        <v>19273.642499999998</v>
      </c>
      <c r="O289" s="20">
        <f>(3710.55*($L$8))</f>
        <v>19851.442500000001</v>
      </c>
      <c r="P289" s="20">
        <f>(3764.55*($L$8))</f>
        <v>20140.342499999999</v>
      </c>
      <c r="Q289" s="12">
        <f>(3980.55*($L$8))</f>
        <v>21295.942500000001</v>
      </c>
    </row>
    <row r="290" spans="1:17" ht="12.75" customHeight="1" x14ac:dyDescent="0.2">
      <c r="A290" s="6"/>
      <c r="B290" s="10" t="s">
        <v>1327</v>
      </c>
      <c r="C290" s="20" t="s">
        <v>320</v>
      </c>
      <c r="D290" s="20" t="s">
        <v>1326</v>
      </c>
      <c r="E290" s="20" t="s">
        <v>567</v>
      </c>
      <c r="F290" s="20" t="s">
        <v>652</v>
      </c>
      <c r="G290" s="20" t="s">
        <v>28</v>
      </c>
      <c r="H290" s="20">
        <f>(3030.74*($L$8))</f>
        <v>16214.458999999997</v>
      </c>
      <c r="I290" s="20">
        <f>(3080.74*($L$8))</f>
        <v>16481.958999999999</v>
      </c>
      <c r="J290" s="20">
        <f>(3110.74*($L$8))</f>
        <v>16642.458999999999</v>
      </c>
      <c r="K290" s="20">
        <f>(3190.74*($L$8))</f>
        <v>17070.458999999999</v>
      </c>
      <c r="L290" s="20">
        <f>(3240.74*($L$8))</f>
        <v>17337.958999999999</v>
      </c>
      <c r="M290" s="20">
        <f>(3300.74*($L$8))</f>
        <v>17658.958999999999</v>
      </c>
      <c r="N290" s="20">
        <f>(3370.74*($L$8))</f>
        <v>18033.458999999999</v>
      </c>
      <c r="O290" s="20">
        <f>(3470.74*($L$8))</f>
        <v>18568.458999999999</v>
      </c>
      <c r="P290" s="20">
        <f>(3520.74*($L$8))</f>
        <v>18835.958999999999</v>
      </c>
      <c r="Q290" s="12">
        <f>(3720.74*($L$8))</f>
        <v>19905.958999999999</v>
      </c>
    </row>
    <row r="291" spans="1:17" ht="12.75" customHeight="1" x14ac:dyDescent="0.2">
      <c r="A291" s="6"/>
      <c r="B291" s="10" t="s">
        <v>1328</v>
      </c>
      <c r="C291" s="20" t="s">
        <v>1312</v>
      </c>
      <c r="D291" s="20" t="s">
        <v>1326</v>
      </c>
      <c r="E291" s="20" t="s">
        <v>567</v>
      </c>
      <c r="F291" s="20" t="s">
        <v>652</v>
      </c>
      <c r="G291" s="20" t="s">
        <v>67</v>
      </c>
      <c r="H291" s="20">
        <f>(3152.78*($L$8))</f>
        <v>16867.373</v>
      </c>
      <c r="I291" s="20">
        <f>(3207.78*($L$8))</f>
        <v>17161.623</v>
      </c>
      <c r="J291" s="20">
        <f>(3240.78*($L$8))</f>
        <v>17338.172999999999</v>
      </c>
      <c r="K291" s="20">
        <f>(3328.78*($L$8))</f>
        <v>17808.972999999998</v>
      </c>
      <c r="L291" s="20">
        <f>(3383.78*($L$8))</f>
        <v>18103.222999999998</v>
      </c>
      <c r="M291" s="20">
        <f>(3449.78*($L$8))</f>
        <v>18456.323</v>
      </c>
      <c r="N291" s="20">
        <f>(3526.78*($L$8))</f>
        <v>18868.273000000001</v>
      </c>
      <c r="O291" s="20">
        <f>(3636.78*($L$8))</f>
        <v>19456.773000000001</v>
      </c>
      <c r="P291" s="20">
        <f>(3691.78*($L$8))</f>
        <v>19751.023000000001</v>
      </c>
      <c r="Q291" s="12">
        <f>(3911.78*($L$8))</f>
        <v>20928.023000000001</v>
      </c>
    </row>
    <row r="292" spans="1:17" ht="12.75" customHeight="1" x14ac:dyDescent="0.2">
      <c r="A292" s="6"/>
      <c r="B292" s="10" t="s">
        <v>1329</v>
      </c>
      <c r="C292" s="20" t="s">
        <v>1314</v>
      </c>
      <c r="D292" s="20" t="s">
        <v>1326</v>
      </c>
      <c r="E292" s="20" t="s">
        <v>567</v>
      </c>
      <c r="F292" s="20" t="s">
        <v>652</v>
      </c>
      <c r="G292" s="20" t="s">
        <v>31</v>
      </c>
      <c r="H292" s="20">
        <f>(3245.56*($L$8))</f>
        <v>17363.745999999999</v>
      </c>
      <c r="I292" s="20">
        <f>(3303.56*($L$8))</f>
        <v>17674.045999999998</v>
      </c>
      <c r="J292" s="20">
        <f>(3338.36*($L$8))</f>
        <v>17860.225999999999</v>
      </c>
      <c r="K292" s="20">
        <f>(3431.16*($L$8))</f>
        <v>18356.705999999998</v>
      </c>
      <c r="L292" s="20">
        <f>(3489.16*($L$8))</f>
        <v>18667.005999999998</v>
      </c>
      <c r="M292" s="20">
        <f>(3558.76*($L$8))</f>
        <v>19039.365999999998</v>
      </c>
      <c r="N292" s="20">
        <f>(3639.96*($L$8))</f>
        <v>19473.786</v>
      </c>
      <c r="O292" s="20">
        <f>(3755.96*($L$8))</f>
        <v>20094.385999999999</v>
      </c>
      <c r="P292" s="20">
        <f>(3813.96*($L$8))</f>
        <v>20404.685999999998</v>
      </c>
      <c r="Q292" s="12">
        <f>(4045.96*($L$8))</f>
        <v>21645.885999999999</v>
      </c>
    </row>
    <row r="293" spans="1:17" ht="12.75" customHeight="1" x14ac:dyDescent="0.2">
      <c r="A293" s="6"/>
      <c r="B293" s="10" t="s">
        <v>1330</v>
      </c>
      <c r="C293" s="20" t="s">
        <v>361</v>
      </c>
      <c r="D293" s="20" t="s">
        <v>1326</v>
      </c>
      <c r="E293" s="20" t="s">
        <v>567</v>
      </c>
      <c r="F293" s="20" t="s">
        <v>652</v>
      </c>
      <c r="G293" s="20" t="s">
        <v>48</v>
      </c>
      <c r="H293" s="20">
        <f>(3338.12*($L$8))</f>
        <v>17858.941999999999</v>
      </c>
      <c r="I293" s="20">
        <f>(3399.12*($L$8))</f>
        <v>18185.291999999998</v>
      </c>
      <c r="J293" s="20">
        <f>(3435.72*($L$8))</f>
        <v>18381.101999999999</v>
      </c>
      <c r="K293" s="20">
        <f>(3533.32*($L$8))</f>
        <v>18903.261999999999</v>
      </c>
      <c r="L293" s="20">
        <f>(3594.32*($L$8))</f>
        <v>19229.612000000001</v>
      </c>
      <c r="M293" s="20">
        <f>(3667.52*($L$8))</f>
        <v>19621.232</v>
      </c>
      <c r="N293" s="20">
        <f>(3752.92*($L$8))</f>
        <v>20078.121999999999</v>
      </c>
      <c r="O293" s="20">
        <f>(3874.92*($L$8))</f>
        <v>20730.822</v>
      </c>
      <c r="P293" s="20">
        <f>(3935.92*($L$8))</f>
        <v>21057.171999999999</v>
      </c>
      <c r="Q293" s="12">
        <f>(4179.92*($L$8))</f>
        <v>22362.572</v>
      </c>
    </row>
    <row r="294" spans="1:17" ht="12.75" customHeight="1" x14ac:dyDescent="0.2">
      <c r="A294" s="6"/>
      <c r="B294" s="10" t="s">
        <v>1331</v>
      </c>
      <c r="C294" s="20" t="s">
        <v>1317</v>
      </c>
      <c r="D294" s="20" t="s">
        <v>1326</v>
      </c>
      <c r="E294" s="20" t="s">
        <v>567</v>
      </c>
      <c r="F294" s="20" t="s">
        <v>652</v>
      </c>
      <c r="G294" s="20" t="s">
        <v>35</v>
      </c>
      <c r="H294" s="20">
        <f>(3429.63*($L$8))</f>
        <v>18348.520499999999</v>
      </c>
      <c r="I294" s="20">
        <f>(3492.63*($L$8))</f>
        <v>18685.570499999998</v>
      </c>
      <c r="J294" s="20">
        <f>(3530.43*($L$8))</f>
        <v>18887.800499999998</v>
      </c>
      <c r="K294" s="20">
        <f>(3631.23*($L$8))</f>
        <v>19427.0805</v>
      </c>
      <c r="L294" s="20">
        <f>(3694.23*($L$8))</f>
        <v>19764.130499999999</v>
      </c>
      <c r="M294" s="20">
        <f>(3769.83*($L$8))</f>
        <v>20168.590499999998</v>
      </c>
      <c r="N294" s="20">
        <f>(3858.03*($L$8))</f>
        <v>20640.460500000001</v>
      </c>
      <c r="O294" s="20">
        <f>(3984.03*($L$8))</f>
        <v>21314.5605</v>
      </c>
      <c r="P294" s="20">
        <f>(4047.03*($L$8))</f>
        <v>21651.610499999999</v>
      </c>
      <c r="Q294" s="12">
        <f>(4299.03*($L$8))</f>
        <v>22999.810499999996</v>
      </c>
    </row>
    <row r="295" spans="1:17" ht="12.75" customHeight="1" x14ac:dyDescent="0.2">
      <c r="A295" s="6"/>
      <c r="B295" s="10" t="s">
        <v>1332</v>
      </c>
      <c r="C295" s="20" t="s">
        <v>45</v>
      </c>
      <c r="D295" s="20" t="s">
        <v>1326</v>
      </c>
      <c r="E295" s="20" t="s">
        <v>567</v>
      </c>
      <c r="F295" s="20" t="s">
        <v>652</v>
      </c>
      <c r="G295" s="20" t="s">
        <v>35</v>
      </c>
      <c r="H295" s="20">
        <f>(3147*($L$8))</f>
        <v>16836.449999999997</v>
      </c>
      <c r="I295" s="20">
        <f>(3216*($L$8))</f>
        <v>17205.599999999999</v>
      </c>
      <c r="J295" s="20">
        <f>(3257.4*($L$8))</f>
        <v>17427.09</v>
      </c>
      <c r="K295" s="20">
        <f>(3367.8*($L$8))</f>
        <v>18017.73</v>
      </c>
      <c r="L295" s="20">
        <f>(3436.8*($L$8))</f>
        <v>18386.88</v>
      </c>
      <c r="M295" s="20">
        <f>(3519.6*($L$8))</f>
        <v>18829.859999999997</v>
      </c>
      <c r="N295" s="20">
        <f>(3616.2*($L$8))</f>
        <v>19346.669999999998</v>
      </c>
      <c r="O295" s="20">
        <f>(3754.2*($L$8))</f>
        <v>20084.969999999998</v>
      </c>
      <c r="P295" s="20">
        <f>(3823.2*($L$8))</f>
        <v>20454.12</v>
      </c>
      <c r="Q295" s="12">
        <f>(4099.2*($L$8))</f>
        <v>21930.719999999998</v>
      </c>
    </row>
    <row r="296" spans="1:17" ht="12.75" customHeight="1" x14ac:dyDescent="0.2">
      <c r="A296" s="6"/>
      <c r="B296" s="10" t="s">
        <v>1333</v>
      </c>
      <c r="C296" s="20" t="s">
        <v>330</v>
      </c>
      <c r="D296" s="20" t="s">
        <v>1326</v>
      </c>
      <c r="E296" s="20" t="s">
        <v>275</v>
      </c>
      <c r="F296" s="20" t="s">
        <v>652</v>
      </c>
      <c r="G296" s="20" t="s">
        <v>247</v>
      </c>
      <c r="H296" s="20">
        <f>(2662.73*($L$8))</f>
        <v>14245.6055</v>
      </c>
      <c r="I296" s="20">
        <f>(2702.73*($L$8))</f>
        <v>14459.6055</v>
      </c>
      <c r="J296" s="20">
        <f>(2726.73*($L$8))</f>
        <v>14588.005499999999</v>
      </c>
      <c r="K296" s="20">
        <f>(2790.73*($L$8))</f>
        <v>14930.405499999999</v>
      </c>
      <c r="L296" s="20">
        <f>(2830.73*($L$8))</f>
        <v>15144.405499999999</v>
      </c>
      <c r="M296" s="20">
        <f>(2878.73*($L$8))</f>
        <v>15401.205499999998</v>
      </c>
      <c r="N296" s="20">
        <f>(2934.73*($L$8))</f>
        <v>15700.805499999999</v>
      </c>
      <c r="O296" s="20">
        <f>(3014.73*($L$8))</f>
        <v>16128.805499999999</v>
      </c>
      <c r="P296" s="20">
        <f>(3054.73*($L$8))</f>
        <v>16342.805499999999</v>
      </c>
      <c r="Q296" s="12">
        <f>(3214.73*($L$8))</f>
        <v>17198.805499999999</v>
      </c>
    </row>
    <row r="297" spans="1:17" ht="12.75" customHeight="1" x14ac:dyDescent="0.2">
      <c r="A297" s="6"/>
      <c r="B297" s="10" t="s">
        <v>1334</v>
      </c>
      <c r="C297" s="20" t="s">
        <v>79</v>
      </c>
      <c r="D297" s="20" t="s">
        <v>1326</v>
      </c>
      <c r="E297" s="20" t="s">
        <v>275</v>
      </c>
      <c r="F297" s="20" t="s">
        <v>652</v>
      </c>
      <c r="G297" s="20" t="s">
        <v>268</v>
      </c>
      <c r="H297" s="20">
        <f>(2757.93*($L$8))</f>
        <v>14754.925499999998</v>
      </c>
      <c r="I297" s="20">
        <f>(2802.93*($L$8))</f>
        <v>14995.675499999998</v>
      </c>
      <c r="J297" s="20">
        <f>(2829.93*($L$8))</f>
        <v>15140.125499999998</v>
      </c>
      <c r="K297" s="20">
        <f>(2901.93*($L$8))</f>
        <v>15525.325499999997</v>
      </c>
      <c r="L297" s="20">
        <f>(2946.93*($L$8))</f>
        <v>15766.075499999997</v>
      </c>
      <c r="M297" s="20">
        <f>(3000.93*($L$8))</f>
        <v>16054.975499999999</v>
      </c>
      <c r="N297" s="20">
        <f>(3063.93*($L$8))</f>
        <v>16392.0255</v>
      </c>
      <c r="O297" s="20">
        <f>(3153.93*($L$8))</f>
        <v>16873.5255</v>
      </c>
      <c r="P297" s="20">
        <f>(3198.93*($L$8))</f>
        <v>17114.2755</v>
      </c>
      <c r="Q297" s="12">
        <f>(3378.93*($L$8))</f>
        <v>18077.2755</v>
      </c>
    </row>
    <row r="298" spans="1:17" ht="12.75" customHeight="1" x14ac:dyDescent="0.2">
      <c r="A298" s="6"/>
      <c r="B298" s="10" t="s">
        <v>1335</v>
      </c>
      <c r="C298" s="20" t="s">
        <v>134</v>
      </c>
      <c r="D298" s="20" t="s">
        <v>1326</v>
      </c>
      <c r="E298" s="20" t="s">
        <v>275</v>
      </c>
      <c r="F298" s="20" t="s">
        <v>652</v>
      </c>
      <c r="G298" s="20" t="s">
        <v>28</v>
      </c>
      <c r="H298" s="20">
        <f>(2903.97*($L$8))</f>
        <v>15536.239499999998</v>
      </c>
      <c r="I298" s="20">
        <f>(2953.97*($L$8))</f>
        <v>15803.739499999998</v>
      </c>
      <c r="J298" s="20">
        <f>(2983.97*($L$8))</f>
        <v>15964.239499999998</v>
      </c>
      <c r="K298" s="20">
        <f>(3063.97*($L$8))</f>
        <v>16392.239499999996</v>
      </c>
      <c r="L298" s="20">
        <f>(3113.97*($L$8))</f>
        <v>16659.739499999996</v>
      </c>
      <c r="M298" s="20">
        <f>(3173.97*($L$8))</f>
        <v>16980.739499999996</v>
      </c>
      <c r="N298" s="20">
        <f>(3243.97*($L$8))</f>
        <v>17355.239499999996</v>
      </c>
      <c r="O298" s="20">
        <f>(3343.97*($L$8))</f>
        <v>17890.239499999996</v>
      </c>
      <c r="P298" s="20">
        <f>(3393.97*($L$8))</f>
        <v>18157.739499999996</v>
      </c>
      <c r="Q298" s="12">
        <f>(3593.97*($L$8))</f>
        <v>19227.739499999996</v>
      </c>
    </row>
    <row r="299" spans="1:17" ht="12.75" customHeight="1" x14ac:dyDescent="0.2">
      <c r="A299" s="6"/>
      <c r="B299" s="10" t="s">
        <v>1336</v>
      </c>
      <c r="C299" s="20" t="s">
        <v>333</v>
      </c>
      <c r="D299" s="20" t="s">
        <v>1326</v>
      </c>
      <c r="E299" s="20" t="s">
        <v>275</v>
      </c>
      <c r="F299" s="20" t="s">
        <v>652</v>
      </c>
      <c r="G299" s="20" t="s">
        <v>67</v>
      </c>
      <c r="H299" s="20">
        <f>(2996.3*($L$8))</f>
        <v>16030.205</v>
      </c>
      <c r="I299" s="20">
        <f>(3051.3*($L$8))</f>
        <v>16324.455</v>
      </c>
      <c r="J299" s="20">
        <f>(3084.3*($L$8))</f>
        <v>16501.005000000001</v>
      </c>
      <c r="K299" s="20">
        <f>(3172.3*($L$8))</f>
        <v>16971.805</v>
      </c>
      <c r="L299" s="20">
        <f>(3227.3*($L$8))</f>
        <v>17266.055</v>
      </c>
      <c r="M299" s="20">
        <f>(3293.3*($L$8))</f>
        <v>17619.154999999999</v>
      </c>
      <c r="N299" s="20">
        <f>(3370.3*($L$8))</f>
        <v>18031.105</v>
      </c>
      <c r="O299" s="20">
        <f>(3480.3*($L$8))</f>
        <v>18619.605</v>
      </c>
      <c r="P299" s="20">
        <f>(3535.3*($L$8))</f>
        <v>18913.855</v>
      </c>
      <c r="Q299" s="12">
        <f>(3755.3*($L$8))</f>
        <v>20090.855</v>
      </c>
    </row>
    <row r="300" spans="1:17" ht="12.75" customHeight="1" x14ac:dyDescent="0.2">
      <c r="A300" s="6"/>
      <c r="B300" s="10" t="s">
        <v>1337</v>
      </c>
      <c r="C300" s="20" t="s">
        <v>565</v>
      </c>
      <c r="D300" s="20" t="s">
        <v>1326</v>
      </c>
      <c r="E300" s="20" t="s">
        <v>275</v>
      </c>
      <c r="F300" s="20" t="s">
        <v>652</v>
      </c>
      <c r="G300" s="20" t="s">
        <v>31</v>
      </c>
      <c r="H300" s="20">
        <f>(3079.03*($L$8))</f>
        <v>16472.8105</v>
      </c>
      <c r="I300" s="20">
        <f>(3139.03*($L$8))</f>
        <v>16793.8105</v>
      </c>
      <c r="J300" s="20">
        <f>(3175.03*($L$8))</f>
        <v>16986.410499999998</v>
      </c>
      <c r="K300" s="20">
        <f>(3271.03*($L$8))</f>
        <v>17500.0105</v>
      </c>
      <c r="L300" s="20">
        <f>(3331.03*($L$8))</f>
        <v>17821.0105</v>
      </c>
      <c r="M300" s="20">
        <f>(3403.03*($L$8))</f>
        <v>18206.210500000001</v>
      </c>
      <c r="N300" s="20">
        <f>(3487.03*($L$8))</f>
        <v>18655.610499999999</v>
      </c>
      <c r="O300" s="20">
        <f>(3607.03*($L$8))</f>
        <v>19297.610499999999</v>
      </c>
      <c r="P300" s="20">
        <f>(3667.03*($L$8))</f>
        <v>19618.610499999999</v>
      </c>
      <c r="Q300" s="12">
        <f>(3907.03*($L$8))</f>
        <v>20902.610499999999</v>
      </c>
    </row>
    <row r="301" spans="1:17" ht="12.75" customHeight="1" x14ac:dyDescent="0.2">
      <c r="A301" s="6"/>
      <c r="B301" s="10" t="s">
        <v>1338</v>
      </c>
      <c r="C301" s="20" t="s">
        <v>134</v>
      </c>
      <c r="D301" s="20" t="s">
        <v>397</v>
      </c>
      <c r="E301" s="20" t="s">
        <v>567</v>
      </c>
      <c r="F301" s="20" t="s">
        <v>27</v>
      </c>
      <c r="G301" s="20" t="s">
        <v>403</v>
      </c>
      <c r="H301" s="20">
        <f>(2456.23*($L$8))</f>
        <v>13140.8305</v>
      </c>
      <c r="I301" s="20">
        <f>(2486.23*($L$8))</f>
        <v>13301.3305</v>
      </c>
      <c r="J301" s="20">
        <f>(2504.23*($L$8))</f>
        <v>13397.630499999999</v>
      </c>
      <c r="K301" s="20">
        <f>(2552.23*($L$8))</f>
        <v>13654.430499999999</v>
      </c>
      <c r="L301" s="20">
        <f>(2582.23*($L$8))</f>
        <v>13814.930499999999</v>
      </c>
      <c r="M301" s="20">
        <f>(2618.23*($L$8))</f>
        <v>14007.530499999999</v>
      </c>
      <c r="N301" s="20">
        <f>(2660.23*($L$8))</f>
        <v>14232.2305</v>
      </c>
      <c r="O301" s="20">
        <f>(2720.23*($L$8))</f>
        <v>14553.2305</v>
      </c>
      <c r="P301" s="20">
        <f>(2750.23*($L$8))</f>
        <v>14713.7305</v>
      </c>
      <c r="Q301" s="12">
        <f>(2870.23*($L$8))</f>
        <v>15355.7305</v>
      </c>
    </row>
    <row r="302" spans="1:17" ht="12.75" customHeight="1" x14ac:dyDescent="0.2">
      <c r="A302" s="6"/>
      <c r="B302" s="10" t="s">
        <v>1339</v>
      </c>
      <c r="C302" s="20" t="s">
        <v>333</v>
      </c>
      <c r="D302" s="20" t="s">
        <v>397</v>
      </c>
      <c r="E302" s="20" t="s">
        <v>567</v>
      </c>
      <c r="F302" s="20" t="s">
        <v>27</v>
      </c>
      <c r="G302" s="20" t="s">
        <v>524</v>
      </c>
      <c r="H302" s="20">
        <f>(2503.67*($L$8))</f>
        <v>13394.6345</v>
      </c>
      <c r="I302" s="20">
        <f>(2536.67*($L$8))</f>
        <v>13571.184499999999</v>
      </c>
      <c r="J302" s="20">
        <f>(2556.47*($L$8))</f>
        <v>13677.114499999998</v>
      </c>
      <c r="K302" s="20">
        <f>(2609.27*($L$8))</f>
        <v>13959.594499999999</v>
      </c>
      <c r="L302" s="20">
        <f>(2642.27*($L$8))</f>
        <v>14136.144499999999</v>
      </c>
      <c r="M302" s="20">
        <f>(2681.87*($L$8))</f>
        <v>14348.004499999999</v>
      </c>
      <c r="N302" s="20">
        <f>(2728.07*($L$8))</f>
        <v>14595.174499999999</v>
      </c>
      <c r="O302" s="20">
        <f>(2794.07*($L$8))</f>
        <v>14948.2745</v>
      </c>
      <c r="P302" s="20">
        <f>(2827.07*($L$8))</f>
        <v>15124.824500000001</v>
      </c>
      <c r="Q302" s="12">
        <f>(2959.07*($L$8))</f>
        <v>15831.0245</v>
      </c>
    </row>
    <row r="303" spans="1:17" ht="12.75" customHeight="1" x14ac:dyDescent="0.2">
      <c r="A303" s="6"/>
      <c r="B303" s="10" t="s">
        <v>1340</v>
      </c>
      <c r="C303" s="20" t="s">
        <v>565</v>
      </c>
      <c r="D303" s="20" t="s">
        <v>397</v>
      </c>
      <c r="E303" s="20" t="s">
        <v>567</v>
      </c>
      <c r="F303" s="20" t="s">
        <v>27</v>
      </c>
      <c r="G303" s="20" t="s">
        <v>247</v>
      </c>
      <c r="H303" s="20">
        <f>(2567.94*($L$8))</f>
        <v>13738.478999999999</v>
      </c>
      <c r="I303" s="20">
        <f>(2602.94*($L$8))</f>
        <v>13925.728999999999</v>
      </c>
      <c r="J303" s="20">
        <f>(2623.94*($L$8))</f>
        <v>14038.079</v>
      </c>
      <c r="K303" s="20">
        <f>(2679.94*($L$8))</f>
        <v>14337.679</v>
      </c>
      <c r="L303" s="20">
        <f>(2714.94*($L$8))</f>
        <v>14524.929</v>
      </c>
      <c r="M303" s="20">
        <f>(2756.94*($L$8))</f>
        <v>14749.628999999999</v>
      </c>
      <c r="N303" s="20">
        <f>(2805.94*($L$8))</f>
        <v>15011.778999999999</v>
      </c>
      <c r="O303" s="20">
        <f>(2875.94*($L$8))</f>
        <v>15386.278999999999</v>
      </c>
      <c r="P303" s="20">
        <f>(2910.94*($L$8))</f>
        <v>15573.528999999999</v>
      </c>
      <c r="Q303" s="12">
        <f>(3050.94*($L$8))</f>
        <v>16322.528999999999</v>
      </c>
    </row>
    <row r="304" spans="1:17" ht="12.75" customHeight="1" x14ac:dyDescent="0.2">
      <c r="A304" s="6"/>
      <c r="B304" s="10" t="s">
        <v>1341</v>
      </c>
      <c r="C304" s="20" t="s">
        <v>385</v>
      </c>
      <c r="D304" s="20" t="s">
        <v>397</v>
      </c>
      <c r="E304" s="20" t="s">
        <v>567</v>
      </c>
      <c r="F304" s="20" t="s">
        <v>27</v>
      </c>
      <c r="G304" s="20" t="s">
        <v>268</v>
      </c>
      <c r="H304" s="20">
        <f>(2627.42*($L$8))</f>
        <v>14056.697</v>
      </c>
      <c r="I304" s="20">
        <f>(2664.42*($L$8))</f>
        <v>14254.646999999999</v>
      </c>
      <c r="J304" s="20">
        <f>(2686.62*($L$8))</f>
        <v>14373.416999999998</v>
      </c>
      <c r="K304" s="20">
        <f>(2745.82*($L$8))</f>
        <v>14690.137000000001</v>
      </c>
      <c r="L304" s="20">
        <f>(2782.82*($L$8))</f>
        <v>14888.087</v>
      </c>
      <c r="M304" s="20">
        <f>(2827.22*($L$8))</f>
        <v>15125.626999999999</v>
      </c>
      <c r="N304" s="20">
        <f>(2879.02*($L$8))</f>
        <v>15402.757</v>
      </c>
      <c r="O304" s="20">
        <f>(2953.02*($L$8))</f>
        <v>15798.656999999999</v>
      </c>
      <c r="P304" s="20">
        <f>(2990.02*($L$8))</f>
        <v>15996.606999999998</v>
      </c>
      <c r="Q304" s="12">
        <f>(3138.02*($L$8))</f>
        <v>16788.406999999999</v>
      </c>
    </row>
    <row r="305" spans="1:18" ht="12.75" customHeight="1" x14ac:dyDescent="0.2">
      <c r="A305" s="6"/>
      <c r="B305" s="10" t="s">
        <v>1342</v>
      </c>
      <c r="C305" s="20" t="s">
        <v>85</v>
      </c>
      <c r="D305" s="20" t="s">
        <v>397</v>
      </c>
      <c r="E305" s="20" t="s">
        <v>567</v>
      </c>
      <c r="F305" s="20" t="s">
        <v>27</v>
      </c>
      <c r="G305" s="20" t="s">
        <v>28</v>
      </c>
      <c r="H305" s="20">
        <f>(2697.42*($L$8))</f>
        <v>14431.197</v>
      </c>
      <c r="I305" s="20">
        <f>(2737.42*($L$8))</f>
        <v>14645.197</v>
      </c>
      <c r="J305" s="20">
        <f>(2761.42*($L$8))</f>
        <v>14773.597</v>
      </c>
      <c r="K305" s="20">
        <f>(2825.42*($L$8))</f>
        <v>15115.996999999999</v>
      </c>
      <c r="L305" s="20">
        <f>(2865.42*($L$8))</f>
        <v>15329.996999999999</v>
      </c>
      <c r="M305" s="20">
        <f>(2913.42*($L$8))</f>
        <v>15586.796999999999</v>
      </c>
      <c r="N305" s="20">
        <f>(2969.42*($L$8))</f>
        <v>15886.396999999999</v>
      </c>
      <c r="O305" s="20">
        <f>(3049.42*($L$8))</f>
        <v>16314.396999999999</v>
      </c>
      <c r="P305" s="20">
        <f>(3089.42*($L$8))</f>
        <v>16528.397000000001</v>
      </c>
      <c r="Q305" s="12">
        <f>(3249.42*($L$8))</f>
        <v>17384.397000000001</v>
      </c>
    </row>
    <row r="306" spans="1:18" ht="30" customHeight="1" x14ac:dyDescent="0.35">
      <c r="A306" s="6"/>
      <c r="B306" s="23" t="s">
        <v>1343</v>
      </c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5"/>
    </row>
    <row r="307" spans="1:18" ht="12.75" customHeight="1" x14ac:dyDescent="0.2">
      <c r="A307" s="7" t="s">
        <v>6</v>
      </c>
      <c r="B307" s="8" t="s">
        <v>7</v>
      </c>
      <c r="C307" s="8" t="s">
        <v>8</v>
      </c>
      <c r="D307" s="8" t="s">
        <v>9</v>
      </c>
      <c r="E307" s="8" t="s">
        <v>10</v>
      </c>
      <c r="F307" s="8" t="s">
        <v>11</v>
      </c>
      <c r="G307" s="8" t="s">
        <v>12</v>
      </c>
      <c r="H307" s="8" t="s">
        <v>13</v>
      </c>
      <c r="I307" s="8" t="s">
        <v>14</v>
      </c>
      <c r="J307" s="8" t="s">
        <v>15</v>
      </c>
      <c r="K307" s="8" t="s">
        <v>16</v>
      </c>
      <c r="L307" s="8" t="s">
        <v>17</v>
      </c>
      <c r="M307" s="8" t="s">
        <v>18</v>
      </c>
      <c r="N307" s="8" t="s">
        <v>19</v>
      </c>
      <c r="O307" s="8" t="s">
        <v>20</v>
      </c>
      <c r="P307" s="8" t="s">
        <v>21</v>
      </c>
      <c r="Q307" s="9" t="s">
        <v>22</v>
      </c>
    </row>
    <row r="308" spans="1:18" ht="12.75" customHeight="1" x14ac:dyDescent="0.2">
      <c r="B308" s="6" t="s">
        <v>1462</v>
      </c>
      <c r="C308" s="6" t="s">
        <v>273</v>
      </c>
      <c r="D308" s="17">
        <v>1.18</v>
      </c>
      <c r="E308" s="6"/>
      <c r="F308" s="17">
        <v>0</v>
      </c>
      <c r="G308" s="18" t="s">
        <v>54</v>
      </c>
      <c r="H308" s="20">
        <f>(4725.23*($L$8))</f>
        <v>25279.980499999994</v>
      </c>
      <c r="I308" s="20">
        <f>(4798.23*($L$8))</f>
        <v>25670.530499999997</v>
      </c>
      <c r="J308" s="20">
        <f>(4842.03*($L$8))</f>
        <v>25904.860499999995</v>
      </c>
      <c r="K308" s="20">
        <f>(4958.83*($L$8))</f>
        <v>26529.740499999996</v>
      </c>
      <c r="L308" s="20">
        <f>(5031.83*($L$8))</f>
        <v>26920.290499999999</v>
      </c>
      <c r="M308" s="20">
        <f>(5119.43*($L$8))</f>
        <v>27388.950499999999</v>
      </c>
      <c r="N308" s="20">
        <f>(5221.63*($L$8))</f>
        <v>27935.720499999999</v>
      </c>
      <c r="O308" s="20">
        <f>(5367.63*($L$8))</f>
        <v>28716.820499999998</v>
      </c>
      <c r="P308" s="20">
        <f>(5440.63*($L$8))</f>
        <v>29107.370499999997</v>
      </c>
      <c r="Q308" s="20">
        <f>(5732.63*($L$8))</f>
        <v>30669.570499999998</v>
      </c>
      <c r="R308" s="19"/>
    </row>
    <row r="309" spans="1:18" ht="12.75" customHeight="1" x14ac:dyDescent="0.2">
      <c r="B309" s="6" t="s">
        <v>1463</v>
      </c>
      <c r="C309" s="6" t="s">
        <v>273</v>
      </c>
      <c r="D309" s="17">
        <v>1.18</v>
      </c>
      <c r="E309" s="6"/>
      <c r="F309" s="17">
        <v>0</v>
      </c>
      <c r="G309" s="18"/>
      <c r="H309" s="38">
        <f>(7826.63*($L$8))</f>
        <v>41872.470499999996</v>
      </c>
      <c r="I309" s="38"/>
      <c r="J309" s="38"/>
      <c r="K309" s="38"/>
      <c r="L309" s="38"/>
      <c r="M309" s="38"/>
      <c r="N309" s="38"/>
      <c r="O309" s="38"/>
      <c r="P309" s="38"/>
      <c r="Q309" s="38"/>
      <c r="R309" s="21"/>
    </row>
    <row r="310" spans="1:18" ht="12.75" customHeight="1" x14ac:dyDescent="0.2">
      <c r="B310" s="6" t="s">
        <v>1464</v>
      </c>
      <c r="C310" s="6" t="s">
        <v>278</v>
      </c>
      <c r="D310" s="17">
        <v>1.18</v>
      </c>
      <c r="E310" s="6"/>
      <c r="F310" s="17">
        <v>0</v>
      </c>
      <c r="G310" s="18" t="s">
        <v>60</v>
      </c>
      <c r="H310" s="20">
        <f>(4888.27*($L$8))</f>
        <v>26152.244500000001</v>
      </c>
      <c r="I310" s="20">
        <f>(4966.27*($L$8))</f>
        <v>26569.5445</v>
      </c>
      <c r="J310" s="20">
        <f>(5013.07*($L$8))</f>
        <v>26819.924499999997</v>
      </c>
      <c r="K310" s="20">
        <f>(5137.87*($L$8))</f>
        <v>27487.604499999998</v>
      </c>
      <c r="L310" s="20">
        <f>(5215.87*($L$8))</f>
        <v>27904.904499999997</v>
      </c>
      <c r="M310" s="20">
        <f>(5309.47*($L$8))</f>
        <v>28405.664499999999</v>
      </c>
      <c r="N310" s="20">
        <f>(5418.67*($L$8))</f>
        <v>28989.8845</v>
      </c>
      <c r="O310" s="20">
        <f>(5574.67*($L$8))</f>
        <v>29824.484499999999</v>
      </c>
      <c r="P310" s="20">
        <f>(5652.67*($L$8))</f>
        <v>30241.784499999998</v>
      </c>
      <c r="Q310" s="20">
        <f>(5964.67*($L$8))</f>
        <v>31910.984499999999</v>
      </c>
      <c r="R310" s="19"/>
    </row>
    <row r="311" spans="1:18" ht="12.75" customHeight="1" x14ac:dyDescent="0.2">
      <c r="B311" s="6" t="s">
        <v>1465</v>
      </c>
      <c r="C311" s="6" t="s">
        <v>278</v>
      </c>
      <c r="D311" s="17">
        <v>1.18</v>
      </c>
      <c r="E311" s="6"/>
      <c r="F311" s="17">
        <v>0</v>
      </c>
      <c r="G311" s="18"/>
      <c r="H311" s="38">
        <f>(8252.67*($L$8))</f>
        <v>44151.784499999994</v>
      </c>
      <c r="I311" s="38"/>
      <c r="J311" s="38"/>
      <c r="K311" s="38"/>
      <c r="L311" s="38"/>
      <c r="M311" s="38"/>
      <c r="N311" s="38"/>
      <c r="O311" s="38"/>
      <c r="P311" s="38"/>
      <c r="Q311" s="38"/>
      <c r="R311" s="21"/>
    </row>
    <row r="312" spans="1:18" ht="12.75" customHeight="1" x14ac:dyDescent="0.2">
      <c r="B312" s="6" t="s">
        <v>1466</v>
      </c>
      <c r="C312" s="6" t="s">
        <v>280</v>
      </c>
      <c r="D312" s="17" t="s">
        <v>1344</v>
      </c>
      <c r="E312" s="6"/>
      <c r="F312" s="17">
        <v>0</v>
      </c>
      <c r="G312" s="18" t="s">
        <v>60</v>
      </c>
      <c r="H312" s="20">
        <f>(5203.35*($L$8))</f>
        <v>27837.922500000001</v>
      </c>
      <c r="I312" s="20">
        <f>(5288.35*($L$8))</f>
        <v>28292.672500000001</v>
      </c>
      <c r="J312" s="20">
        <f>(5339.35*($L$8))</f>
        <v>28565.522499999999</v>
      </c>
      <c r="K312" s="20">
        <f>(5475.35*($L$8))</f>
        <v>29293.122500000001</v>
      </c>
      <c r="L312" s="20">
        <f>(5560.35*($L$8))</f>
        <v>29747.872500000001</v>
      </c>
      <c r="M312" s="20">
        <f>(5662.35*($L$8))</f>
        <v>30293.572499999998</v>
      </c>
      <c r="N312" s="20">
        <f>(5781.35*($L$8))</f>
        <v>30930.2225</v>
      </c>
      <c r="O312" s="20">
        <f>(5951.35*($L$8))</f>
        <v>31839.7225</v>
      </c>
      <c r="P312" s="20">
        <f>(6036.35*($L$8))</f>
        <v>32294.4725</v>
      </c>
      <c r="Q312" s="20">
        <f>(6376.35*($L$8))</f>
        <v>34113.472499999996</v>
      </c>
      <c r="R312" s="19"/>
    </row>
    <row r="313" spans="1:18" ht="12.75" customHeight="1" x14ac:dyDescent="0.2">
      <c r="B313" s="6" t="s">
        <v>1469</v>
      </c>
      <c r="C313" s="6" t="s">
        <v>280</v>
      </c>
      <c r="D313" s="17" t="s">
        <v>1344</v>
      </c>
      <c r="E313" s="6"/>
      <c r="F313" s="17">
        <v>0</v>
      </c>
      <c r="G313" s="18"/>
      <c r="H313" s="38">
        <f>(8538.35*($L$8))</f>
        <v>45680.172500000001</v>
      </c>
      <c r="I313" s="38"/>
      <c r="J313" s="38"/>
      <c r="K313" s="38"/>
      <c r="L313" s="38"/>
      <c r="M313" s="38"/>
      <c r="N313" s="38"/>
      <c r="O313" s="38"/>
      <c r="P313" s="38"/>
      <c r="Q313" s="38"/>
      <c r="R313" s="21"/>
    </row>
    <row r="314" spans="1:18" ht="12.75" customHeight="1" x14ac:dyDescent="0.2">
      <c r="B314" s="6" t="s">
        <v>1467</v>
      </c>
      <c r="C314" s="6" t="s">
        <v>236</v>
      </c>
      <c r="D314" s="17">
        <v>1.18</v>
      </c>
      <c r="E314" s="6"/>
      <c r="F314" s="17">
        <v>0</v>
      </c>
      <c r="G314" s="18" t="s">
        <v>262</v>
      </c>
      <c r="H314" s="20">
        <f>(5434.04*($L$8))</f>
        <v>29072.113999999998</v>
      </c>
      <c r="I314" s="20">
        <f>(5523.04*($L$8))</f>
        <v>29548.263999999999</v>
      </c>
      <c r="J314" s="20">
        <f>(5576.44*($L$8))</f>
        <v>29833.953999999994</v>
      </c>
      <c r="K314" s="20">
        <f>(5718.84*($L$8))</f>
        <v>30595.793999999998</v>
      </c>
      <c r="L314" s="20">
        <f>(5807.84*($L$8))</f>
        <v>31071.944</v>
      </c>
      <c r="M314" s="20">
        <f>(5914.64*($L$8))</f>
        <v>31643.324000000001</v>
      </c>
      <c r="N314" s="20">
        <f>(6039.24*($L$8))</f>
        <v>32309.933999999997</v>
      </c>
      <c r="O314" s="20">
        <f>(6217.24*($L$8))</f>
        <v>33262.233999999997</v>
      </c>
      <c r="P314" s="20">
        <f>(6306.24*($L$8))</f>
        <v>33738.383999999998</v>
      </c>
      <c r="Q314" s="20">
        <f>(6662.24*($L$8))</f>
        <v>35642.983999999997</v>
      </c>
      <c r="R314" s="19"/>
    </row>
    <row r="315" spans="1:18" ht="12.75" customHeight="1" x14ac:dyDescent="0.2">
      <c r="B315" s="6" t="s">
        <v>1468</v>
      </c>
      <c r="C315" s="6" t="s">
        <v>236</v>
      </c>
      <c r="D315" s="17">
        <v>1.18</v>
      </c>
      <c r="E315" s="6"/>
      <c r="F315" s="17">
        <v>0</v>
      </c>
      <c r="G315" s="18"/>
      <c r="H315" s="38">
        <f>(8865.84*($L$8))</f>
        <v>47432.243999999999</v>
      </c>
      <c r="I315" s="38"/>
      <c r="J315" s="38"/>
      <c r="K315" s="38"/>
      <c r="L315" s="38"/>
      <c r="M315" s="38"/>
      <c r="N315" s="38"/>
      <c r="O315" s="38"/>
      <c r="P315" s="38"/>
      <c r="Q315" s="38"/>
      <c r="R315" s="21"/>
    </row>
    <row r="316" spans="1:18" ht="12.75" customHeight="1" x14ac:dyDescent="0.2">
      <c r="A316" s="6"/>
      <c r="B316" s="10" t="s">
        <v>1345</v>
      </c>
      <c r="C316" s="32"/>
      <c r="D316" s="33"/>
      <c r="E316" s="33"/>
      <c r="F316" s="33"/>
      <c r="G316" s="34"/>
      <c r="H316" s="38">
        <f>(668.08*($L$8))</f>
        <v>3574.2280000000001</v>
      </c>
      <c r="I316" s="38"/>
      <c r="J316" s="38"/>
      <c r="K316" s="38"/>
      <c r="L316" s="38"/>
      <c r="M316" s="38"/>
      <c r="N316" s="38"/>
      <c r="O316" s="38"/>
      <c r="P316" s="38"/>
      <c r="Q316" s="38"/>
    </row>
    <row r="317" spans="1:18" ht="30" customHeight="1" x14ac:dyDescent="0.3">
      <c r="A317" s="6"/>
      <c r="B317" s="35" t="s">
        <v>1346</v>
      </c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7"/>
    </row>
    <row r="318" spans="1:18" ht="12.75" customHeight="1" x14ac:dyDescent="0.2">
      <c r="A318" s="7" t="s">
        <v>6</v>
      </c>
      <c r="B318" s="8" t="s">
        <v>7</v>
      </c>
      <c r="C318" s="8" t="s">
        <v>8</v>
      </c>
      <c r="D318" s="8" t="s">
        <v>9</v>
      </c>
      <c r="E318" s="8" t="s">
        <v>10</v>
      </c>
      <c r="F318" s="8" t="s">
        <v>11</v>
      </c>
      <c r="G318" s="8" t="s">
        <v>12</v>
      </c>
      <c r="H318" s="8" t="s">
        <v>13</v>
      </c>
      <c r="I318" s="8" t="s">
        <v>14</v>
      </c>
      <c r="J318" s="8" t="s">
        <v>15</v>
      </c>
      <c r="K318" s="8" t="s">
        <v>16</v>
      </c>
      <c r="L318" s="8" t="s">
        <v>17</v>
      </c>
      <c r="M318" s="8" t="s">
        <v>18</v>
      </c>
      <c r="N318" s="8" t="s">
        <v>19</v>
      </c>
      <c r="O318" s="8" t="s">
        <v>20</v>
      </c>
      <c r="P318" s="8" t="s">
        <v>21</v>
      </c>
      <c r="Q318" s="9" t="s">
        <v>22</v>
      </c>
    </row>
    <row r="319" spans="1:18" ht="12.75" customHeight="1" x14ac:dyDescent="0.2">
      <c r="A319" s="6"/>
      <c r="B319" s="10" t="s">
        <v>1347</v>
      </c>
      <c r="C319" s="20" t="s">
        <v>134</v>
      </c>
      <c r="D319" s="20" t="s">
        <v>1298</v>
      </c>
      <c r="E319" s="20" t="s">
        <v>256</v>
      </c>
      <c r="F319" s="20" t="s">
        <v>698</v>
      </c>
      <c r="G319" s="20" t="s">
        <v>28</v>
      </c>
      <c r="H319" s="20">
        <f>(5443.82*($L$8))</f>
        <v>29124.436999999998</v>
      </c>
      <c r="I319" s="20">
        <f>(5493.82*($L$8))</f>
        <v>29391.936999999998</v>
      </c>
      <c r="J319" s="20">
        <f>(5523.82*($L$8))</f>
        <v>29552.436999999998</v>
      </c>
      <c r="K319" s="20">
        <f>(5603.82*($L$8))</f>
        <v>29980.436999999998</v>
      </c>
      <c r="L319" s="20">
        <f>(5653.82*($L$8))</f>
        <v>30247.936999999998</v>
      </c>
      <c r="M319" s="20">
        <f>(5713.82*($L$8))</f>
        <v>30568.936999999998</v>
      </c>
      <c r="N319" s="20">
        <f>(5783.82*($L$8))</f>
        <v>30943.436999999998</v>
      </c>
      <c r="O319" s="20">
        <f>(5883.82*($L$8))</f>
        <v>31478.436999999998</v>
      </c>
      <c r="P319" s="20">
        <f>(5933.82*($L$8))</f>
        <v>31745.936999999998</v>
      </c>
      <c r="Q319" s="12">
        <f>(6133.82*($L$8))</f>
        <v>32815.936999999998</v>
      </c>
    </row>
    <row r="320" spans="1:18" ht="12.75" customHeight="1" x14ac:dyDescent="0.2">
      <c r="A320" s="6"/>
      <c r="B320" s="10" t="s">
        <v>1348</v>
      </c>
      <c r="C320" s="20" t="s">
        <v>137</v>
      </c>
      <c r="D320" s="20" t="s">
        <v>1298</v>
      </c>
      <c r="E320" s="20" t="s">
        <v>256</v>
      </c>
      <c r="F320" s="20" t="s">
        <v>698</v>
      </c>
      <c r="G320" s="20" t="s">
        <v>38</v>
      </c>
      <c r="H320" s="20">
        <f>(7431.36*($L$8))</f>
        <v>39757.775999999998</v>
      </c>
      <c r="I320" s="20">
        <f>(7521.36*($L$8))</f>
        <v>40239.275999999998</v>
      </c>
      <c r="J320" s="20">
        <f>(7575.36*($L$8))</f>
        <v>40528.175999999992</v>
      </c>
      <c r="K320" s="20">
        <f>(7719.36*($L$8))</f>
        <v>41298.575999999994</v>
      </c>
      <c r="L320" s="20">
        <f>(7809.36*($L$8))</f>
        <v>41780.075999999994</v>
      </c>
      <c r="M320" s="20">
        <f>(7917.36*($L$8))</f>
        <v>42357.875999999997</v>
      </c>
      <c r="N320" s="20">
        <f>(8043.36*($L$8))</f>
        <v>43031.975999999995</v>
      </c>
      <c r="O320" s="20">
        <f>(8223.36*($L$8))</f>
        <v>43994.976000000002</v>
      </c>
      <c r="P320" s="20">
        <f>(8313.36*($L$8))</f>
        <v>44476.476000000002</v>
      </c>
      <c r="Q320" s="12">
        <f>(8673.36*($L$8))</f>
        <v>46402.476000000002</v>
      </c>
    </row>
    <row r="321" spans="1:17" ht="12.75" customHeight="1" x14ac:dyDescent="0.2">
      <c r="A321" s="6"/>
      <c r="B321" s="10" t="s">
        <v>1349</v>
      </c>
      <c r="C321" s="20" t="s">
        <v>292</v>
      </c>
      <c r="D321" s="20" t="s">
        <v>1298</v>
      </c>
      <c r="E321" s="20" t="s">
        <v>256</v>
      </c>
      <c r="F321" s="20" t="s">
        <v>698</v>
      </c>
      <c r="G321" s="20" t="s">
        <v>42</v>
      </c>
      <c r="H321" s="20">
        <f>(7847.11*($L$8))</f>
        <v>41982.038499999995</v>
      </c>
      <c r="I321" s="20">
        <f>(7942.11*($L$8))</f>
        <v>42490.288499999995</v>
      </c>
      <c r="J321" s="20">
        <f>(7999.11*($L$8))</f>
        <v>42795.238499999992</v>
      </c>
      <c r="K321" s="20">
        <f>(8151.11*($L$8))</f>
        <v>43608.438499999997</v>
      </c>
      <c r="L321" s="20">
        <f>(8246.11*($L$8))</f>
        <v>44116.688499999997</v>
      </c>
      <c r="M321" s="20">
        <f>(8360.11*($L$8))</f>
        <v>44726.588499999998</v>
      </c>
      <c r="N321" s="20">
        <f>(8493.11*($L$8))</f>
        <v>45438.138500000001</v>
      </c>
      <c r="O321" s="20">
        <f>(8683.11*($L$8))</f>
        <v>46454.638500000001</v>
      </c>
      <c r="P321" s="20">
        <f>(8778.11*($L$8))</f>
        <v>46962.888500000001</v>
      </c>
      <c r="Q321" s="12">
        <f>(9158.11*($L$8))</f>
        <v>48995.888500000001</v>
      </c>
    </row>
    <row r="322" spans="1:17" ht="12.75" customHeight="1" x14ac:dyDescent="0.2">
      <c r="A322" s="6"/>
      <c r="B322" s="10" t="s">
        <v>1350</v>
      </c>
      <c r="C322" s="20" t="s">
        <v>273</v>
      </c>
      <c r="D322" s="20" t="s">
        <v>1298</v>
      </c>
      <c r="E322" s="20" t="s">
        <v>256</v>
      </c>
      <c r="F322" s="20" t="s">
        <v>698</v>
      </c>
      <c r="G322" s="20" t="s">
        <v>152</v>
      </c>
      <c r="H322" s="20">
        <f>(8111.83*($L$8))</f>
        <v>43398.290499999996</v>
      </c>
      <c r="I322" s="20">
        <f>(8211.83*($L$8))</f>
        <v>43933.290499999996</v>
      </c>
      <c r="J322" s="20">
        <f>(8271.83*($L$8))</f>
        <v>44254.290499999996</v>
      </c>
      <c r="K322" s="20">
        <f>(8431.83*($L$8))</f>
        <v>45110.290499999996</v>
      </c>
      <c r="L322" s="20">
        <f>(8531.83*($L$8))</f>
        <v>45645.290499999996</v>
      </c>
      <c r="M322" s="20">
        <f>(8651.83*($L$8))</f>
        <v>46287.290499999996</v>
      </c>
      <c r="N322" s="20">
        <f>(8791.83*($L$8))</f>
        <v>47036.290499999996</v>
      </c>
      <c r="O322" s="20">
        <f>(8991.83*($L$8))</f>
        <v>48106.290499999996</v>
      </c>
      <c r="P322" s="20">
        <f>(9091.83*($L$8))</f>
        <v>48641.290499999996</v>
      </c>
      <c r="Q322" s="12">
        <f>(9491.83*($L$8))</f>
        <v>50781.290499999996</v>
      </c>
    </row>
    <row r="323" spans="1:17" ht="12.75" customHeight="1" x14ac:dyDescent="0.2">
      <c r="A323" s="6"/>
      <c r="B323" s="10" t="s">
        <v>1351</v>
      </c>
      <c r="C323" s="20" t="s">
        <v>278</v>
      </c>
      <c r="D323" s="20" t="s">
        <v>1298</v>
      </c>
      <c r="E323" s="20" t="s">
        <v>256</v>
      </c>
      <c r="F323" s="20" t="s">
        <v>698</v>
      </c>
      <c r="G323" s="20" t="s">
        <v>154</v>
      </c>
      <c r="H323" s="20">
        <f>(8423.36*($L$8))</f>
        <v>45064.976000000002</v>
      </c>
      <c r="I323" s="20">
        <f>(8528.36*($L$8))</f>
        <v>45626.726000000002</v>
      </c>
      <c r="J323" s="20">
        <f>(8591.36*($L$8))</f>
        <v>45963.775999999998</v>
      </c>
      <c r="K323" s="20">
        <f>(8759.36*($L$8))</f>
        <v>46862.576000000001</v>
      </c>
      <c r="L323" s="20">
        <f>(8864.36*($L$8))</f>
        <v>47424.326000000001</v>
      </c>
      <c r="M323" s="20">
        <f>(8990.36*($L$8))</f>
        <v>48098.425999999999</v>
      </c>
      <c r="N323" s="20">
        <f>(9137.36*($L$8))</f>
        <v>48884.875999999997</v>
      </c>
      <c r="O323" s="20">
        <f>(9347.36*($L$8))</f>
        <v>50008.375999999997</v>
      </c>
      <c r="P323" s="20">
        <f>(9452.36*($L$8))</f>
        <v>50570.125999999997</v>
      </c>
      <c r="Q323" s="12">
        <f>(9872.36*($L$8))</f>
        <v>52817.125999999997</v>
      </c>
    </row>
    <row r="324" spans="1:17" ht="12.75" customHeight="1" x14ac:dyDescent="0.2">
      <c r="A324" s="6"/>
      <c r="B324" s="10" t="s">
        <v>1352</v>
      </c>
      <c r="C324" s="20" t="s">
        <v>280</v>
      </c>
      <c r="D324" s="20" t="s">
        <v>1298</v>
      </c>
      <c r="E324" s="20" t="s">
        <v>256</v>
      </c>
      <c r="F324" s="20" t="s">
        <v>698</v>
      </c>
      <c r="G324" s="20" t="s">
        <v>160</v>
      </c>
      <c r="H324" s="20">
        <f>(8727.29*($L$8))</f>
        <v>46691.001499999998</v>
      </c>
      <c r="I324" s="20">
        <f>(8837.29*($L$8))</f>
        <v>47279.501499999998</v>
      </c>
      <c r="J324" s="20">
        <f>(8903.29*($L$8))</f>
        <v>47632.601500000004</v>
      </c>
      <c r="K324" s="20">
        <f>(9079.29*($L$8))</f>
        <v>48574.201500000003</v>
      </c>
      <c r="L324" s="20">
        <f>(9189.29*($L$8))</f>
        <v>49162.701500000003</v>
      </c>
      <c r="M324" s="20">
        <f>(9321.29*($L$8))</f>
        <v>49868.9015</v>
      </c>
      <c r="N324" s="20">
        <f>(9475.29*($L$8))</f>
        <v>50692.801500000001</v>
      </c>
      <c r="O324" s="20">
        <f>(9695.29*($L$8))</f>
        <v>51869.801500000001</v>
      </c>
      <c r="P324" s="20">
        <f>(9805.29*($L$8))</f>
        <v>52458.301500000001</v>
      </c>
      <c r="Q324" s="12">
        <f>(10245.29*($L$8))</f>
        <v>54812.301500000001</v>
      </c>
    </row>
    <row r="325" spans="1:17" ht="12.75" customHeight="1" x14ac:dyDescent="0.2">
      <c r="A325" s="6"/>
      <c r="B325" s="10" t="s">
        <v>1353</v>
      </c>
      <c r="C325" s="20" t="s">
        <v>236</v>
      </c>
      <c r="D325" s="20" t="s">
        <v>1298</v>
      </c>
      <c r="E325" s="20" t="s">
        <v>256</v>
      </c>
      <c r="F325" s="20" t="s">
        <v>698</v>
      </c>
      <c r="G325" s="20" t="s">
        <v>182</v>
      </c>
      <c r="H325" s="20">
        <f>(9134.79*($L$8))</f>
        <v>48871.126499999998</v>
      </c>
      <c r="I325" s="20">
        <f>(9254.79*($L$8))</f>
        <v>49513.126499999998</v>
      </c>
      <c r="J325" s="20">
        <f>(9326.79*($L$8))</f>
        <v>49898.326500000003</v>
      </c>
      <c r="K325" s="20">
        <f>(9518.79*($L$8))</f>
        <v>50925.5265</v>
      </c>
      <c r="L325" s="20">
        <f>(9638.79*($L$8))</f>
        <v>51567.5265</v>
      </c>
      <c r="M325" s="20">
        <f>(9782.79*($L$8))</f>
        <v>52337.926500000001</v>
      </c>
      <c r="N325" s="20">
        <f>(9950.79*($L$8))</f>
        <v>53236.726500000004</v>
      </c>
      <c r="O325" s="20">
        <f>(10190.79*($L$8))</f>
        <v>54520.726500000004</v>
      </c>
      <c r="P325" s="20">
        <f>(10310.79*($L$8))</f>
        <v>55162.726500000004</v>
      </c>
      <c r="Q325" s="12">
        <f>(10790.79*($L$8))</f>
        <v>57730.726500000004</v>
      </c>
    </row>
    <row r="326" spans="1:17" ht="30" customHeight="1" x14ac:dyDescent="0.35">
      <c r="A326" s="6"/>
      <c r="B326" s="23" t="s">
        <v>1354</v>
      </c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5"/>
    </row>
    <row r="327" spans="1:17" ht="12.75" customHeight="1" x14ac:dyDescent="0.2">
      <c r="A327" s="7" t="s">
        <v>6</v>
      </c>
      <c r="B327" s="8" t="s">
        <v>7</v>
      </c>
      <c r="C327" s="8" t="s">
        <v>8</v>
      </c>
      <c r="D327" s="8" t="s">
        <v>9</v>
      </c>
      <c r="E327" s="8" t="s">
        <v>10</v>
      </c>
      <c r="F327" s="8" t="s">
        <v>11</v>
      </c>
      <c r="G327" s="8" t="s">
        <v>12</v>
      </c>
      <c r="H327" s="8" t="s">
        <v>13</v>
      </c>
      <c r="I327" s="8" t="s">
        <v>14</v>
      </c>
      <c r="J327" s="8" t="s">
        <v>15</v>
      </c>
      <c r="K327" s="8" t="s">
        <v>16</v>
      </c>
      <c r="L327" s="8" t="s">
        <v>17</v>
      </c>
      <c r="M327" s="8" t="s">
        <v>18</v>
      </c>
      <c r="N327" s="8" t="s">
        <v>19</v>
      </c>
      <c r="O327" s="8" t="s">
        <v>20</v>
      </c>
      <c r="P327" s="8" t="s">
        <v>21</v>
      </c>
      <c r="Q327" s="9" t="s">
        <v>22</v>
      </c>
    </row>
    <row r="328" spans="1:17" ht="12.75" customHeight="1" x14ac:dyDescent="0.2">
      <c r="A328" s="6"/>
      <c r="B328" s="10" t="s">
        <v>1355</v>
      </c>
      <c r="C328" s="20" t="s">
        <v>137</v>
      </c>
      <c r="D328" s="20" t="s">
        <v>660</v>
      </c>
      <c r="E328" s="20" t="s">
        <v>312</v>
      </c>
      <c r="F328" s="20" t="s">
        <v>1152</v>
      </c>
      <c r="G328" s="20" t="s">
        <v>163</v>
      </c>
      <c r="H328" s="20">
        <f>(5131.11*($L$8))</f>
        <v>27451.438499999997</v>
      </c>
      <c r="I328" s="20">
        <f>(5231.11*($L$8))</f>
        <v>27986.438499999997</v>
      </c>
      <c r="J328" s="20">
        <f>(5291.11*($L$8))</f>
        <v>28307.438499999997</v>
      </c>
      <c r="K328" s="20">
        <f>(5451.11*($L$8))</f>
        <v>29163.438499999997</v>
      </c>
      <c r="L328" s="20">
        <f>(5551.11*($L$8))</f>
        <v>29698.438499999997</v>
      </c>
      <c r="M328" s="20">
        <f>(5671.11*($L$8))</f>
        <v>30340.438499999997</v>
      </c>
      <c r="N328" s="20">
        <f>(5811.11*($L$8))</f>
        <v>31089.438499999997</v>
      </c>
      <c r="O328" s="20">
        <f>(6011.11*($L$8))</f>
        <v>32159.438499999997</v>
      </c>
      <c r="P328" s="20">
        <f>(6111.11*($L$8))</f>
        <v>32694.438499999997</v>
      </c>
      <c r="Q328" s="12">
        <f>(6511.11*($L$8))</f>
        <v>34834.438499999997</v>
      </c>
    </row>
    <row r="329" spans="1:17" ht="12.75" customHeight="1" x14ac:dyDescent="0.2">
      <c r="A329" s="6"/>
      <c r="B329" s="10" t="s">
        <v>1356</v>
      </c>
      <c r="C329" s="20" t="s">
        <v>292</v>
      </c>
      <c r="D329" s="20" t="s">
        <v>660</v>
      </c>
      <c r="E329" s="20" t="s">
        <v>312</v>
      </c>
      <c r="F329" s="20" t="s">
        <v>1152</v>
      </c>
      <c r="G329" s="20" t="s">
        <v>182</v>
      </c>
      <c r="H329" s="20">
        <f>(5340.6*($L$8))</f>
        <v>28572.21</v>
      </c>
      <c r="I329" s="20">
        <f>(5445.6*($L$8))</f>
        <v>29133.96</v>
      </c>
      <c r="J329" s="20">
        <f>(5508.6*($L$8))</f>
        <v>29471.01</v>
      </c>
      <c r="K329" s="20">
        <f>(5676.6*($L$8))</f>
        <v>30369.81</v>
      </c>
      <c r="L329" s="20">
        <f>(5781.6*($L$8))</f>
        <v>30931.56</v>
      </c>
      <c r="M329" s="20">
        <f>(5907.6*($L$8))</f>
        <v>31605.66</v>
      </c>
      <c r="N329" s="20">
        <f>(6054.6*($L$8))</f>
        <v>32392.11</v>
      </c>
      <c r="O329" s="20">
        <f>(6264.6*($L$8))</f>
        <v>33515.61</v>
      </c>
      <c r="P329" s="20">
        <f>(6369.6*($L$8))</f>
        <v>34077.360000000001</v>
      </c>
      <c r="Q329" s="12">
        <f>(6789.6*($L$8))</f>
        <v>36324.36</v>
      </c>
    </row>
    <row r="330" spans="1:17" ht="12.75" customHeight="1" x14ac:dyDescent="0.2">
      <c r="A330" s="6"/>
      <c r="B330" s="16" t="s">
        <v>1357</v>
      </c>
      <c r="C330" s="20" t="s">
        <v>273</v>
      </c>
      <c r="D330" s="20" t="s">
        <v>660</v>
      </c>
      <c r="E330" s="20" t="s">
        <v>312</v>
      </c>
      <c r="F330" s="20" t="s">
        <v>1152</v>
      </c>
      <c r="G330" s="20" t="s">
        <v>185</v>
      </c>
      <c r="H330" s="20">
        <f>(5554.68*($L$8))</f>
        <v>29717.538</v>
      </c>
      <c r="I330" s="20">
        <f>(5669.68*($L$8))</f>
        <v>30332.788</v>
      </c>
      <c r="J330" s="20">
        <f>(5738.68*($L$8))</f>
        <v>30701.937999999998</v>
      </c>
      <c r="K330" s="20">
        <f>(5922.68*($L$8))</f>
        <v>31686.338</v>
      </c>
      <c r="L330" s="20">
        <f>(6037.68*($L$8))</f>
        <v>32301.588</v>
      </c>
      <c r="M330" s="20">
        <f>(6175.68*($L$8))</f>
        <v>33039.887999999999</v>
      </c>
      <c r="N330" s="20">
        <f>(6336.68*($L$8))</f>
        <v>33901.237999999998</v>
      </c>
      <c r="O330" s="20">
        <f>(6566.68*($L$8))</f>
        <v>35131.737999999998</v>
      </c>
      <c r="P330" s="20">
        <f>(6681.68*($L$8))</f>
        <v>35746.987999999998</v>
      </c>
      <c r="Q330" s="12">
        <f>(7141.68*($L$8))</f>
        <v>38207.987999999998</v>
      </c>
    </row>
    <row r="331" spans="1:17" ht="12.75" customHeight="1" x14ac:dyDescent="0.2">
      <c r="A331" s="6"/>
      <c r="B331" s="10" t="s">
        <v>1358</v>
      </c>
      <c r="C331" s="20" t="s">
        <v>278</v>
      </c>
      <c r="D331" s="20" t="s">
        <v>660</v>
      </c>
      <c r="E331" s="20" t="s">
        <v>312</v>
      </c>
      <c r="F331" s="20" t="s">
        <v>1152</v>
      </c>
      <c r="G331" s="20" t="s">
        <v>229</v>
      </c>
      <c r="H331" s="20">
        <f>(5704.91*($L$8))</f>
        <v>30521.268499999998</v>
      </c>
      <c r="I331" s="20">
        <f>(5824.91*($L$8))</f>
        <v>31163.268499999998</v>
      </c>
      <c r="J331" s="20">
        <f>(5896.91*($L$8))</f>
        <v>31548.468499999995</v>
      </c>
      <c r="K331" s="20">
        <f>(6088.91*($L$8))</f>
        <v>32575.668499999996</v>
      </c>
      <c r="L331" s="20">
        <f>(6208.91*($L$8))</f>
        <v>33217.6685</v>
      </c>
      <c r="M331" s="20">
        <f>(6352.91*($L$8))</f>
        <v>33988.068499999994</v>
      </c>
      <c r="N331" s="20">
        <f>(6520.91*($L$8))</f>
        <v>34886.868499999997</v>
      </c>
      <c r="O331" s="20">
        <f>(6760.91*($L$8))</f>
        <v>36170.868499999997</v>
      </c>
      <c r="P331" s="20">
        <f>(6880.91*($L$8))</f>
        <v>36812.868499999997</v>
      </c>
      <c r="Q331" s="12">
        <f>(7360.91*($L$8))</f>
        <v>39380.868499999997</v>
      </c>
    </row>
    <row r="332" spans="1:17" ht="12.75" customHeight="1" x14ac:dyDescent="0.2">
      <c r="A332" s="6"/>
      <c r="B332" s="10" t="s">
        <v>1359</v>
      </c>
      <c r="C332" s="20" t="s">
        <v>280</v>
      </c>
      <c r="D332" s="20" t="s">
        <v>660</v>
      </c>
      <c r="E332" s="20" t="s">
        <v>312</v>
      </c>
      <c r="F332" s="20" t="s">
        <v>1152</v>
      </c>
      <c r="G332" s="20" t="s">
        <v>421</v>
      </c>
      <c r="H332" s="20">
        <f>(5925.89*($L$8))</f>
        <v>31703.511500000001</v>
      </c>
      <c r="I332" s="20">
        <f>(6055.89*($L$8))</f>
        <v>32399.011500000001</v>
      </c>
      <c r="J332" s="20">
        <f>(6133.89*($L$8))</f>
        <v>32816.311499999996</v>
      </c>
      <c r="K332" s="20">
        <f>(6341.89*($L$8))</f>
        <v>33929.111499999999</v>
      </c>
      <c r="L332" s="20">
        <f>(6471.89*($L$8))</f>
        <v>34624.611499999999</v>
      </c>
      <c r="M332" s="20">
        <f>(6627.89*($L$8))</f>
        <v>35459.211499999998</v>
      </c>
      <c r="N332" s="20">
        <f>(6809.89*($L$8))</f>
        <v>36432.911500000002</v>
      </c>
      <c r="O332" s="20">
        <f>(7069.89*($L$8))</f>
        <v>37823.911500000002</v>
      </c>
      <c r="P332" s="20">
        <f>(7199.89*($L$8))</f>
        <v>38519.411500000002</v>
      </c>
      <c r="Q332" s="12">
        <f>(7719.89*($L$8))</f>
        <v>41301.411500000002</v>
      </c>
    </row>
    <row r="333" spans="1:17" ht="12.75" customHeight="1" x14ac:dyDescent="0.2">
      <c r="A333" s="6"/>
      <c r="B333" s="10" t="s">
        <v>1360</v>
      </c>
      <c r="C333" s="20" t="s">
        <v>236</v>
      </c>
      <c r="D333" s="20" t="s">
        <v>660</v>
      </c>
      <c r="E333" s="20" t="s">
        <v>312</v>
      </c>
      <c r="F333" s="20" t="s">
        <v>1152</v>
      </c>
      <c r="G333" s="20" t="s">
        <v>231</v>
      </c>
      <c r="H333" s="20">
        <f>(6097.3*($L$8))</f>
        <v>32620.555</v>
      </c>
      <c r="I333" s="20">
        <f>(6237.3*($L$8))</f>
        <v>33369.555</v>
      </c>
      <c r="J333" s="20">
        <f>(6321.3*($L$8))</f>
        <v>33818.955000000002</v>
      </c>
      <c r="K333" s="20">
        <f>(6545.3*($L$8))</f>
        <v>35017.354999999996</v>
      </c>
      <c r="L333" s="20">
        <f>(6685.3*($L$8))</f>
        <v>35766.354999999996</v>
      </c>
      <c r="M333" s="20">
        <f>(6853.3*($L$8))</f>
        <v>36665.154999999999</v>
      </c>
      <c r="N333" s="20">
        <f>(7049.3*($L$8))</f>
        <v>37713.754999999997</v>
      </c>
      <c r="O333" s="20">
        <f>(7329.3*($L$8))</f>
        <v>39211.754999999997</v>
      </c>
      <c r="P333" s="20">
        <f>(7469.3*($L$8))</f>
        <v>39960.754999999997</v>
      </c>
      <c r="Q333" s="12">
        <f>(8029.3*($L$8))</f>
        <v>42956.754999999997</v>
      </c>
    </row>
    <row r="334" spans="1:17" ht="12.75" customHeight="1" x14ac:dyDescent="0.2">
      <c r="A334" s="6"/>
      <c r="B334" s="10" t="s">
        <v>1361</v>
      </c>
      <c r="C334" s="20" t="s">
        <v>565</v>
      </c>
      <c r="D334" s="20" t="s">
        <v>395</v>
      </c>
      <c r="E334" s="20" t="s">
        <v>312</v>
      </c>
      <c r="F334" s="20" t="s">
        <v>1152</v>
      </c>
      <c r="G334" s="20" t="s">
        <v>54</v>
      </c>
      <c r="H334" s="20">
        <f>(4862.98*($L$8))</f>
        <v>26016.942999999996</v>
      </c>
      <c r="I334" s="20">
        <f>(4932.98*($L$8))</f>
        <v>26391.442999999996</v>
      </c>
      <c r="J334" s="20">
        <f>(4974.98*($L$8))</f>
        <v>26616.142999999996</v>
      </c>
      <c r="K334" s="20">
        <f>(5086.98*($L$8))</f>
        <v>27215.342999999997</v>
      </c>
      <c r="L334" s="20">
        <f>(5156.98*($L$8))</f>
        <v>27589.842999999997</v>
      </c>
      <c r="M334" s="20">
        <f>(5240.98*($L$8))</f>
        <v>28039.242999999995</v>
      </c>
      <c r="N334" s="20">
        <f>(5338.98*($L$8))</f>
        <v>28563.542999999994</v>
      </c>
      <c r="O334" s="20">
        <f>(5478.98*($L$8))</f>
        <v>29312.542999999994</v>
      </c>
      <c r="P334" s="20">
        <f>(5548.98*($L$8))</f>
        <v>29687.042999999994</v>
      </c>
      <c r="Q334" s="12">
        <f>(5828.98*($L$8))</f>
        <v>31185.042999999994</v>
      </c>
    </row>
    <row r="335" spans="1:17" ht="12.75" customHeight="1" x14ac:dyDescent="0.2">
      <c r="A335" s="6"/>
      <c r="B335" s="10" t="s">
        <v>1362</v>
      </c>
      <c r="C335" s="20" t="s">
        <v>137</v>
      </c>
      <c r="D335" s="20" t="s">
        <v>395</v>
      </c>
      <c r="E335" s="20" t="s">
        <v>312</v>
      </c>
      <c r="F335" s="20" t="s">
        <v>1152</v>
      </c>
      <c r="G335" s="20" t="s">
        <v>182</v>
      </c>
      <c r="H335" s="20">
        <f>(5733.02*($L$8))</f>
        <v>30671.656999999999</v>
      </c>
      <c r="I335" s="20">
        <f>(5853.02*($L$8))</f>
        <v>31313.656999999999</v>
      </c>
      <c r="J335" s="20">
        <f>(5925.02*($L$8))</f>
        <v>31698.857</v>
      </c>
      <c r="K335" s="20">
        <f>(6117.02*($L$8))</f>
        <v>32726.057000000001</v>
      </c>
      <c r="L335" s="20">
        <f>(6237.02*($L$8))</f>
        <v>33368.057000000001</v>
      </c>
      <c r="M335" s="20">
        <f>(6381.02*($L$8))</f>
        <v>34138.457000000002</v>
      </c>
      <c r="N335" s="20">
        <f>(6549.02*($L$8))</f>
        <v>35037.256999999998</v>
      </c>
      <c r="O335" s="20">
        <f>(6789.02*($L$8))</f>
        <v>36321.256999999998</v>
      </c>
      <c r="P335" s="20">
        <f>(6909.02*($L$8))</f>
        <v>36963.256999999998</v>
      </c>
      <c r="Q335" s="12">
        <f>(7389.02*($L$8))</f>
        <v>39531.256999999998</v>
      </c>
    </row>
  </sheetData>
  <sheetProtection password="E4DE" sheet="1" objects="1" scenarios="1"/>
  <mergeCells count="61">
    <mergeCell ref="H315:Q315"/>
    <mergeCell ref="C316:G316"/>
    <mergeCell ref="H316:Q316"/>
    <mergeCell ref="B317:Q317"/>
    <mergeCell ref="B326:Q326"/>
    <mergeCell ref="H309:Q309"/>
    <mergeCell ref="H311:Q311"/>
    <mergeCell ref="H313:Q313"/>
    <mergeCell ref="B247:Q247"/>
    <mergeCell ref="B250:Q250"/>
    <mergeCell ref="B253:Q253"/>
    <mergeCell ref="B264:Q264"/>
    <mergeCell ref="B270:Q270"/>
    <mergeCell ref="B273:Q273"/>
    <mergeCell ref="B287:Q287"/>
    <mergeCell ref="B306:Q306"/>
    <mergeCell ref="B206:Q206"/>
    <mergeCell ref="B209:Q209"/>
    <mergeCell ref="B212:Q212"/>
    <mergeCell ref="B220:Q220"/>
    <mergeCell ref="B229:Q229"/>
    <mergeCell ref="C205:Q205"/>
    <mergeCell ref="B120:Q120"/>
    <mergeCell ref="B132:Q132"/>
    <mergeCell ref="B140:Q140"/>
    <mergeCell ref="B153:Q153"/>
    <mergeCell ref="B163:Q163"/>
    <mergeCell ref="B172:Q172"/>
    <mergeCell ref="B180:Q180"/>
    <mergeCell ref="B183:Q183"/>
    <mergeCell ref="B187:Q187"/>
    <mergeCell ref="B199:Q199"/>
    <mergeCell ref="C204:Q204"/>
    <mergeCell ref="B236:Q236"/>
    <mergeCell ref="B239:Q239"/>
    <mergeCell ref="B243:Q243"/>
    <mergeCell ref="B117:Q117"/>
    <mergeCell ref="B30:Q30"/>
    <mergeCell ref="B40:Q40"/>
    <mergeCell ref="B50:Q50"/>
    <mergeCell ref="B57:Q57"/>
    <mergeCell ref="B66:Q66"/>
    <mergeCell ref="B70:Q70"/>
    <mergeCell ref="B77:Q77"/>
    <mergeCell ref="B81:Q81"/>
    <mergeCell ref="B89:Q89"/>
    <mergeCell ref="B105:Q105"/>
    <mergeCell ref="B113:Q113"/>
    <mergeCell ref="L79:Q79"/>
    <mergeCell ref="B22:Q22"/>
    <mergeCell ref="A1:Q6"/>
    <mergeCell ref="A7:J7"/>
    <mergeCell ref="L7:Q7"/>
    <mergeCell ref="A8:J8"/>
    <mergeCell ref="L8:Q8"/>
    <mergeCell ref="A9:Q9"/>
    <mergeCell ref="A10:Q10"/>
    <mergeCell ref="A11:Q11"/>
    <mergeCell ref="A12:Q12"/>
    <mergeCell ref="A13:Q13"/>
    <mergeCell ref="B14:Q14"/>
  </mergeCells>
  <conditionalFormatting sqref="A1:XFD1048576">
    <cfRule type="cellIs" dxfId="5" priority="3" operator="equal">
      <formula>0</formula>
    </cfRule>
    <cfRule type="cellIs" dxfId="6" priority="2" operator="equal">
      <formula>0</formula>
    </cfRule>
    <cfRule type="cellIs" dxfId="4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48" fitToHeight="0" orientation="portrait" r:id="rId1"/>
  <rowBreaks count="3" manualBreakCount="3">
    <brk id="88" max="16383" man="1"/>
    <brk id="182" max="16383" man="1"/>
    <brk id="263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Q92"/>
  <sheetViews>
    <sheetView showRuler="0" view="pageBreakPreview" topLeftCell="B1" zoomScale="95" zoomScaleNormal="96" zoomScaleSheetLayoutView="95" zoomScalePageLayoutView="96" workbookViewId="0">
      <selection activeCell="F21" sqref="F21"/>
    </sheetView>
  </sheetViews>
  <sheetFormatPr defaultRowHeight="12.75" customHeight="1" x14ac:dyDescent="0.2"/>
  <cols>
    <col min="1" max="1" width="42.85546875" style="2" hidden="1" customWidth="1"/>
    <col min="2" max="2" width="56.85546875" style="2" customWidth="1"/>
    <col min="3" max="7" width="8.28515625" style="22" customWidth="1"/>
    <col min="8" max="16" width="7.42578125" style="22" customWidth="1"/>
    <col min="17" max="17" width="9.140625" style="22" customWidth="1"/>
    <col min="18" max="16384" width="9.140625" style="2"/>
  </cols>
  <sheetData>
    <row r="1" spans="1:17" ht="12.75" customHeight="1" x14ac:dyDescent="0.2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4"/>
    </row>
    <row r="2" spans="1:17" ht="12.75" customHeight="1" x14ac:dyDescent="0.2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7"/>
    </row>
    <row r="3" spans="1:17" ht="12.75" customHeight="1" x14ac:dyDescent="0.2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7"/>
    </row>
    <row r="4" spans="1:17" ht="12.75" customHeight="1" x14ac:dyDescent="0.2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7"/>
    </row>
    <row r="5" spans="1:17" ht="12.75" customHeight="1" x14ac:dyDescent="0.2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7"/>
    </row>
    <row r="6" spans="1:17" ht="30.75" customHeight="1" x14ac:dyDescent="0.2">
      <c r="A6" s="48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50"/>
    </row>
    <row r="7" spans="1:17" ht="12.75" customHeight="1" x14ac:dyDescent="0.25">
      <c r="A7" s="51" t="s">
        <v>0</v>
      </c>
      <c r="B7" s="52"/>
      <c r="C7" s="52"/>
      <c r="D7" s="52"/>
      <c r="E7" s="52"/>
      <c r="F7" s="52"/>
      <c r="G7" s="52"/>
      <c r="H7" s="52"/>
      <c r="I7" s="52"/>
      <c r="J7" s="52"/>
      <c r="K7" s="53"/>
      <c r="L7" s="54">
        <v>44927</v>
      </c>
      <c r="M7" s="54"/>
      <c r="N7" s="54"/>
      <c r="O7" s="54"/>
      <c r="P7" s="54"/>
      <c r="Q7" s="54"/>
    </row>
    <row r="8" spans="1:17" ht="12.75" hidden="1" customHeight="1" x14ac:dyDescent="0.25">
      <c r="A8" s="51" t="s">
        <v>1</v>
      </c>
      <c r="B8" s="52"/>
      <c r="C8" s="52"/>
      <c r="D8" s="52"/>
      <c r="E8" s="52"/>
      <c r="F8" s="52"/>
      <c r="G8" s="52"/>
      <c r="H8" s="52"/>
      <c r="I8" s="52"/>
      <c r="J8" s="52"/>
      <c r="K8" s="53"/>
      <c r="L8" s="55">
        <v>5.35</v>
      </c>
      <c r="M8" s="55"/>
      <c r="N8" s="55"/>
      <c r="O8" s="55"/>
      <c r="P8" s="55"/>
      <c r="Q8" s="55"/>
    </row>
    <row r="9" spans="1:17" ht="12.75" customHeight="1" x14ac:dyDescent="0.2">
      <c r="A9" s="56" t="s">
        <v>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8"/>
    </row>
    <row r="10" spans="1:17" ht="12.75" customHeight="1" x14ac:dyDescent="0.2">
      <c r="A10" s="59" t="s">
        <v>1410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1"/>
    </row>
    <row r="11" spans="1:17" ht="12.75" customHeight="1" x14ac:dyDescent="0.2">
      <c r="A11" s="59" t="s">
        <v>3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1"/>
    </row>
    <row r="12" spans="1:17" ht="12.75" customHeight="1" x14ac:dyDescent="0.2">
      <c r="A12" s="59" t="s">
        <v>4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1"/>
    </row>
    <row r="13" spans="1:17" ht="30" customHeight="1" x14ac:dyDescent="0.35">
      <c r="A13" s="6"/>
      <c r="B13" s="23" t="s">
        <v>1455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</row>
    <row r="14" spans="1:17" s="64" customFormat="1" ht="12.75" customHeight="1" x14ac:dyDescent="0.2">
      <c r="A14" s="62" t="s">
        <v>6</v>
      </c>
      <c r="B14" s="62" t="s">
        <v>7</v>
      </c>
      <c r="C14" s="62" t="s">
        <v>8</v>
      </c>
      <c r="D14" s="62" t="s">
        <v>9</v>
      </c>
      <c r="E14" s="62" t="s">
        <v>10</v>
      </c>
      <c r="F14" s="62" t="s">
        <v>11</v>
      </c>
      <c r="G14" s="62" t="s">
        <v>12</v>
      </c>
      <c r="H14" s="62" t="s">
        <v>13</v>
      </c>
      <c r="I14" s="62" t="s">
        <v>14</v>
      </c>
      <c r="J14" s="62" t="s">
        <v>15</v>
      </c>
      <c r="K14" s="62" t="s">
        <v>16</v>
      </c>
      <c r="L14" s="62" t="s">
        <v>17</v>
      </c>
      <c r="M14" s="62" t="s">
        <v>18</v>
      </c>
      <c r="N14" s="62" t="s">
        <v>19</v>
      </c>
      <c r="O14" s="62" t="s">
        <v>20</v>
      </c>
      <c r="P14" s="63" t="s">
        <v>21</v>
      </c>
      <c r="Q14" s="63" t="s">
        <v>22</v>
      </c>
    </row>
    <row r="15" spans="1:17" ht="12.75" customHeight="1" x14ac:dyDescent="0.2">
      <c r="B15" s="6" t="s">
        <v>1411</v>
      </c>
      <c r="C15" s="17" t="s">
        <v>320</v>
      </c>
      <c r="D15" s="17" t="s">
        <v>41</v>
      </c>
      <c r="E15" s="17" t="s">
        <v>124</v>
      </c>
      <c r="F15" s="17" t="s">
        <v>27</v>
      </c>
      <c r="G15" s="17" t="s">
        <v>31</v>
      </c>
      <c r="H15" s="20">
        <f>(3819.34*($L$8))</f>
        <v>20433.469000000001</v>
      </c>
      <c r="I15" s="20">
        <f>(3866.34*($L$8))</f>
        <v>20684.918999999998</v>
      </c>
      <c r="J15" s="20">
        <f>(3894.54*($L$8))</f>
        <v>20835.788999999997</v>
      </c>
      <c r="K15" s="20">
        <f>(3969.74*($L$8))</f>
        <v>21238.108999999997</v>
      </c>
      <c r="L15" s="20">
        <f>(4016.74*($L$8))</f>
        <v>21489.558999999997</v>
      </c>
      <c r="M15" s="20">
        <f>(4073.14*($L$8))</f>
        <v>21791.298999999999</v>
      </c>
      <c r="N15" s="20">
        <f>(4138.94*($L$8))</f>
        <v>22143.328999999998</v>
      </c>
      <c r="O15" s="20">
        <f>(4232.94*($L$8))</f>
        <v>22646.228999999996</v>
      </c>
      <c r="P15" s="20">
        <f>(4279.94*($L$8))</f>
        <v>22897.678999999996</v>
      </c>
      <c r="Q15" s="20">
        <f>(4467.94*($L$8))</f>
        <v>23903.478999999996</v>
      </c>
    </row>
    <row r="16" spans="1:17" ht="12.75" customHeight="1" x14ac:dyDescent="0.2">
      <c r="B16" s="6" t="s">
        <v>1442</v>
      </c>
      <c r="C16" s="17" t="s">
        <v>123</v>
      </c>
      <c r="D16" s="17" t="s">
        <v>41</v>
      </c>
      <c r="E16" s="17" t="s">
        <v>124</v>
      </c>
      <c r="F16" s="17" t="s">
        <v>27</v>
      </c>
      <c r="G16" s="17" t="s">
        <v>48</v>
      </c>
      <c r="H16" s="20">
        <f>(4227.8*($L$8))</f>
        <v>22618.73</v>
      </c>
      <c r="I16" s="20">
        <f>(4280.8*($L$8))</f>
        <v>22902.28</v>
      </c>
      <c r="J16" s="20">
        <f>(4312.6*($L$8))</f>
        <v>23072.41</v>
      </c>
      <c r="K16" s="20">
        <f>(4397.4*($L$8))</f>
        <v>23526.089999999997</v>
      </c>
      <c r="L16" s="20">
        <f>(4450.4*($L$8))</f>
        <v>23809.639999999996</v>
      </c>
      <c r="M16" s="20">
        <f>(4514*($L$8))</f>
        <v>24149.899999999998</v>
      </c>
      <c r="N16" s="20">
        <f>(4588.2*($L$8))</f>
        <v>24546.87</v>
      </c>
      <c r="O16" s="20">
        <f>(4694.2*($L$8))</f>
        <v>25113.969999999998</v>
      </c>
      <c r="P16" s="20">
        <f>(4747.2*($L$8))</f>
        <v>25397.519999999997</v>
      </c>
      <c r="Q16" s="20">
        <f>(4959.2*($L$8))</f>
        <v>26531.719999999998</v>
      </c>
    </row>
    <row r="17" spans="1:17" ht="12.75" customHeight="1" x14ac:dyDescent="0.2">
      <c r="B17" s="6" t="s">
        <v>1412</v>
      </c>
      <c r="C17" s="17" t="s">
        <v>125</v>
      </c>
      <c r="D17" s="17" t="s">
        <v>126</v>
      </c>
      <c r="E17" s="17" t="s">
        <v>124</v>
      </c>
      <c r="F17" s="17" t="s">
        <v>27</v>
      </c>
      <c r="G17" s="17" t="s">
        <v>35</v>
      </c>
      <c r="H17" s="20">
        <f>(4368.72*($L$8))</f>
        <v>23372.651999999998</v>
      </c>
      <c r="I17" s="20">
        <f>(4424.72*($L$8))</f>
        <v>23672.252</v>
      </c>
      <c r="J17" s="20">
        <f>(4458.32*($L$8))</f>
        <v>23852.011999999995</v>
      </c>
      <c r="K17" s="20">
        <f>(4547.92*($L$8))</f>
        <v>24331.371999999999</v>
      </c>
      <c r="L17" s="20">
        <f>(4603.92*($L$8))</f>
        <v>24630.971999999998</v>
      </c>
      <c r="M17" s="20">
        <f>(4671.12*($L$8))</f>
        <v>24990.491999999998</v>
      </c>
      <c r="N17" s="20">
        <f>(4749.52*($L$8))</f>
        <v>25409.932000000001</v>
      </c>
      <c r="O17" s="20">
        <f>(4861.52*($L$8))</f>
        <v>26009.132000000001</v>
      </c>
      <c r="P17" s="20">
        <f>(4917.52*($L$8))</f>
        <v>26308.732</v>
      </c>
      <c r="Q17" s="20">
        <f>(5141.52*($L$8))</f>
        <v>27507.132000000001</v>
      </c>
    </row>
    <row r="18" spans="1:17" ht="12.75" customHeight="1" x14ac:dyDescent="0.2">
      <c r="B18" s="6" t="s">
        <v>1413</v>
      </c>
      <c r="C18" s="17" t="s">
        <v>58</v>
      </c>
      <c r="D18" s="17" t="s">
        <v>126</v>
      </c>
      <c r="E18" s="17" t="s">
        <v>124</v>
      </c>
      <c r="F18" s="17" t="s">
        <v>27</v>
      </c>
      <c r="G18" s="17" t="s">
        <v>35</v>
      </c>
      <c r="H18" s="20">
        <f>(4679.28*($L$8))</f>
        <v>25034.147999999997</v>
      </c>
      <c r="I18" s="20">
        <f>(4738.28*($L$8))</f>
        <v>25349.797999999995</v>
      </c>
      <c r="J18" s="20">
        <f>(4773.68*($L$8))</f>
        <v>25539.187999999998</v>
      </c>
      <c r="K18" s="20">
        <f>(4868.08*($L$8))</f>
        <v>26044.227999999999</v>
      </c>
      <c r="L18" s="20">
        <f>(4927.08*($L$8))</f>
        <v>26359.877999999997</v>
      </c>
      <c r="M18" s="20">
        <f>(4997.88*($L$8))</f>
        <v>26738.657999999999</v>
      </c>
      <c r="N18" s="20">
        <f>(5080.48*($L$8))</f>
        <v>27180.567999999996</v>
      </c>
      <c r="O18" s="20">
        <f>(5198.48*($L$8))</f>
        <v>27811.867999999995</v>
      </c>
      <c r="P18" s="20">
        <f>(5257.48*($L$8))</f>
        <v>28127.517999999996</v>
      </c>
      <c r="Q18" s="20">
        <f>(5493.48*($L$8))</f>
        <v>29390.117999999995</v>
      </c>
    </row>
    <row r="19" spans="1:17" ht="12.75" customHeight="1" x14ac:dyDescent="0.2">
      <c r="B19" s="6" t="s">
        <v>1414</v>
      </c>
      <c r="C19" s="17" t="s">
        <v>127</v>
      </c>
      <c r="D19" s="17" t="s">
        <v>128</v>
      </c>
      <c r="E19" s="17" t="s">
        <v>124</v>
      </c>
      <c r="F19" s="17" t="s">
        <v>27</v>
      </c>
      <c r="G19" s="17" t="s">
        <v>54</v>
      </c>
      <c r="H19" s="20">
        <f>(4781.3*($L$8))</f>
        <v>25579.954999999998</v>
      </c>
      <c r="I19" s="20">
        <f>(4843.3*($L$8))</f>
        <v>25911.654999999999</v>
      </c>
      <c r="J19" s="20">
        <f>(4880.5*($L$8))</f>
        <v>26110.674999999999</v>
      </c>
      <c r="K19" s="20">
        <f>(4979.7*($L$8))</f>
        <v>26641.394999999997</v>
      </c>
      <c r="L19" s="20">
        <f>(5041.7*($L$8))</f>
        <v>26973.094999999998</v>
      </c>
      <c r="M19" s="20">
        <f>(5116.1*($L$8))</f>
        <v>27371.134999999998</v>
      </c>
      <c r="N19" s="20">
        <f>(5202.9*($L$8))</f>
        <v>27835.514999999996</v>
      </c>
      <c r="O19" s="20">
        <f>(5326.9*($L$8))</f>
        <v>28498.914999999997</v>
      </c>
      <c r="P19" s="20">
        <f>(5388.9*($L$8))</f>
        <v>28830.614999999994</v>
      </c>
      <c r="Q19" s="20">
        <f>(5636.9*($L$8))</f>
        <v>30157.414999999997</v>
      </c>
    </row>
    <row r="20" spans="1:17" ht="12.75" customHeight="1" x14ac:dyDescent="0.2">
      <c r="B20" s="6" t="s">
        <v>1446</v>
      </c>
      <c r="C20" s="17" t="s">
        <v>129</v>
      </c>
      <c r="D20" s="17" t="s">
        <v>41</v>
      </c>
      <c r="E20" s="17" t="s">
        <v>124</v>
      </c>
      <c r="F20" s="17" t="s">
        <v>27</v>
      </c>
      <c r="G20" s="17" t="s">
        <v>31</v>
      </c>
      <c r="H20" s="20">
        <f>(4410.75*($L$8))</f>
        <v>23597.512499999997</v>
      </c>
      <c r="I20" s="20">
        <f>(4458.75*($L$8))</f>
        <v>23854.3125</v>
      </c>
      <c r="J20" s="20">
        <f>(4487.55*($L$8))</f>
        <v>24008.392499999998</v>
      </c>
      <c r="K20" s="20">
        <f>(4564.35*($L$8))</f>
        <v>24419.272499999999</v>
      </c>
      <c r="L20" s="20">
        <f>(4612.35*($L$8))</f>
        <v>24676.072500000002</v>
      </c>
      <c r="M20" s="20">
        <f>(4669.95*($L$8))</f>
        <v>24984.232499999998</v>
      </c>
      <c r="N20" s="20">
        <f>(4737.15*($L$8))</f>
        <v>25343.752499999995</v>
      </c>
      <c r="O20" s="20">
        <f>(4833.15*($L$8))</f>
        <v>25857.352499999997</v>
      </c>
      <c r="P20" s="20">
        <f>(4881.15*($L$8))</f>
        <v>26114.152499999997</v>
      </c>
      <c r="Q20" s="20">
        <f>(5073.15*($L$8))</f>
        <v>27141.352499999997</v>
      </c>
    </row>
    <row r="21" spans="1:17" ht="12.75" customHeight="1" x14ac:dyDescent="0.2">
      <c r="B21" s="6" t="s">
        <v>1447</v>
      </c>
      <c r="C21" s="17" t="s">
        <v>130</v>
      </c>
      <c r="D21" s="17" t="s">
        <v>41</v>
      </c>
      <c r="E21" s="17" t="s">
        <v>124</v>
      </c>
      <c r="F21" s="17" t="s">
        <v>27</v>
      </c>
      <c r="G21" s="17" t="s">
        <v>48</v>
      </c>
      <c r="H21" s="20">
        <f>(4810.52*($L$8))</f>
        <v>25736.281999999999</v>
      </c>
      <c r="I21" s="20">
        <f>(4864.52*($L$8))</f>
        <v>26025.182000000001</v>
      </c>
      <c r="J21" s="20">
        <f>(4896.92*($L$8))</f>
        <v>26198.521999999997</v>
      </c>
      <c r="K21" s="20">
        <f>(4983.32*($L$8))</f>
        <v>26660.761999999995</v>
      </c>
      <c r="L21" s="20">
        <f>(5037.32*($L$8))</f>
        <v>26949.661999999997</v>
      </c>
      <c r="M21" s="20">
        <f>(5102.12*($L$8))</f>
        <v>27296.341999999997</v>
      </c>
      <c r="N21" s="20">
        <f>(5177.72*($L$8))</f>
        <v>27700.802</v>
      </c>
      <c r="O21" s="20">
        <f>(5285.72*($L$8))</f>
        <v>28278.601999999999</v>
      </c>
      <c r="P21" s="20">
        <f>(5339.72*($L$8))</f>
        <v>28567.502</v>
      </c>
      <c r="Q21" s="20">
        <f>(5555.72*($L$8))</f>
        <v>29723.101999999999</v>
      </c>
    </row>
    <row r="22" spans="1:17" ht="12.75" customHeight="1" x14ac:dyDescent="0.2">
      <c r="B22" s="6" t="s">
        <v>1443</v>
      </c>
      <c r="C22" s="17" t="s">
        <v>131</v>
      </c>
      <c r="D22" s="17" t="s">
        <v>126</v>
      </c>
      <c r="E22" s="17" t="s">
        <v>124</v>
      </c>
      <c r="F22" s="17" t="s">
        <v>27</v>
      </c>
      <c r="G22" s="17" t="s">
        <v>35</v>
      </c>
      <c r="H22" s="20">
        <f>(4960.16*($L$8))</f>
        <v>26536.855999999996</v>
      </c>
      <c r="I22" s="20">
        <f>(5018.16*($L$8))</f>
        <v>26847.155999999999</v>
      </c>
      <c r="J22" s="20">
        <f>(5052.96*($L$8))</f>
        <v>27033.335999999999</v>
      </c>
      <c r="K22" s="20">
        <f>(5145.76*($L$8))</f>
        <v>27529.815999999999</v>
      </c>
      <c r="L22" s="20">
        <f>(5203.76*($L$8))</f>
        <v>27840.115999999998</v>
      </c>
      <c r="M22" s="20">
        <f>(5273.36*($L$8))</f>
        <v>28212.475999999995</v>
      </c>
      <c r="N22" s="20">
        <f>(5354.56*($L$8))</f>
        <v>28646.896000000001</v>
      </c>
      <c r="O22" s="20">
        <f>(5470.56*($L$8))</f>
        <v>29267.495999999999</v>
      </c>
      <c r="P22" s="20">
        <f>(5528.56*($L$8))</f>
        <v>29577.795999999998</v>
      </c>
      <c r="Q22" s="20">
        <f>(5760.56*($L$8))</f>
        <v>30818.995999999999</v>
      </c>
    </row>
    <row r="23" spans="1:17" ht="12.75" customHeight="1" x14ac:dyDescent="0.2">
      <c r="B23" s="6" t="s">
        <v>1444</v>
      </c>
      <c r="C23" s="17" t="s">
        <v>132</v>
      </c>
      <c r="D23" s="17" t="s">
        <v>126</v>
      </c>
      <c r="E23" s="17" t="s">
        <v>124</v>
      </c>
      <c r="F23" s="17" t="s">
        <v>27</v>
      </c>
      <c r="G23" s="17" t="s">
        <v>54</v>
      </c>
      <c r="H23" s="20">
        <f>(5250.68*($L$8))</f>
        <v>28091.137999999999</v>
      </c>
      <c r="I23" s="20">
        <f>(5311.68*($L$8))</f>
        <v>28417.488000000001</v>
      </c>
      <c r="J23" s="20">
        <f>(5348.28*($L$8))</f>
        <v>28613.297999999995</v>
      </c>
      <c r="K23" s="20">
        <f>(5445.88*($L$8))</f>
        <v>29135.457999999999</v>
      </c>
      <c r="L23" s="20">
        <f>(5506.88*($L$8))</f>
        <v>29461.807999999997</v>
      </c>
      <c r="M23" s="20">
        <f>(5580.08*($L$8))</f>
        <v>29853.427999999996</v>
      </c>
      <c r="N23" s="20">
        <f>(5665.48*($L$8))</f>
        <v>30310.317999999996</v>
      </c>
      <c r="O23" s="20">
        <f>(5787.48*($L$8))</f>
        <v>30963.017999999996</v>
      </c>
      <c r="P23" s="20">
        <f>(5848.48*($L$8))</f>
        <v>31289.367999999995</v>
      </c>
      <c r="Q23" s="20">
        <f>(6092.48*($L$8))</f>
        <v>32594.767999999996</v>
      </c>
    </row>
    <row r="24" spans="1:17" ht="12.75" customHeight="1" x14ac:dyDescent="0.2">
      <c r="B24" s="6" t="s">
        <v>1445</v>
      </c>
      <c r="C24" s="17" t="s">
        <v>133</v>
      </c>
      <c r="D24" s="17" t="s">
        <v>128</v>
      </c>
      <c r="E24" s="17" t="s">
        <v>124</v>
      </c>
      <c r="F24" s="17" t="s">
        <v>27</v>
      </c>
      <c r="G24" s="17" t="s">
        <v>54</v>
      </c>
      <c r="H24" s="20">
        <f>(5358.22*($L$8))</f>
        <v>28666.476999999999</v>
      </c>
      <c r="I24" s="20">
        <f>(5423.22*($L$8))</f>
        <v>29014.226999999999</v>
      </c>
      <c r="J24" s="20">
        <f>(5462.22*($L$8))</f>
        <v>29222.877</v>
      </c>
      <c r="K24" s="20">
        <f>(5566.22*($L$8))</f>
        <v>29779.276999999998</v>
      </c>
      <c r="L24" s="20">
        <f>(5631.22*($L$8))</f>
        <v>30127.026999999998</v>
      </c>
      <c r="M24" s="20">
        <f>(5709.22*($L$8))</f>
        <v>30544.327000000001</v>
      </c>
      <c r="N24" s="20">
        <f>(5800.22*($L$8))</f>
        <v>31031.177</v>
      </c>
      <c r="O24" s="20">
        <f>(5930.22*($L$8))</f>
        <v>31726.677</v>
      </c>
      <c r="P24" s="20">
        <f>(5995.22*($L$8))</f>
        <v>32074.427</v>
      </c>
      <c r="Q24" s="20">
        <f>(6255.22*($L$8))</f>
        <v>33465.426999999996</v>
      </c>
    </row>
    <row r="25" spans="1:17" ht="12.75" customHeight="1" x14ac:dyDescent="0.2">
      <c r="B25" s="6" t="s">
        <v>1415</v>
      </c>
      <c r="C25" s="17" t="s">
        <v>134</v>
      </c>
      <c r="D25" s="17" t="s">
        <v>41</v>
      </c>
      <c r="E25" s="17" t="s">
        <v>124</v>
      </c>
      <c r="F25" s="17" t="s">
        <v>27</v>
      </c>
      <c r="G25" s="17" t="s">
        <v>28</v>
      </c>
      <c r="H25" s="20">
        <f>(3220.81*($L$8))</f>
        <v>17231.333499999997</v>
      </c>
      <c r="I25" s="20">
        <f>(3258.81*($L$8))</f>
        <v>17434.6335</v>
      </c>
      <c r="J25" s="20">
        <f>(3281.61*($L$8))</f>
        <v>17556.613499999999</v>
      </c>
      <c r="K25" s="20">
        <f>(3342.41*($L$8))</f>
        <v>17881.893499999998</v>
      </c>
      <c r="L25" s="20">
        <f>(3380.41*($L$8))</f>
        <v>18085.193499999998</v>
      </c>
      <c r="M25" s="20">
        <f>(3426.01*($L$8))</f>
        <v>18329.1535</v>
      </c>
      <c r="N25" s="20">
        <f>(3479.21*($L$8))</f>
        <v>18613.773499999999</v>
      </c>
      <c r="O25" s="20">
        <f>(3555.21*($L$8))</f>
        <v>19020.373499999998</v>
      </c>
      <c r="P25" s="20">
        <f>(3593.21*($L$8))</f>
        <v>19223.673499999997</v>
      </c>
      <c r="Q25" s="20">
        <f>(3745.21*($L$8))</f>
        <v>20036.873499999998</v>
      </c>
    </row>
    <row r="26" spans="1:17" ht="12.75" customHeight="1" x14ac:dyDescent="0.2">
      <c r="B26" s="6" t="s">
        <v>1441</v>
      </c>
      <c r="C26" s="17" t="s">
        <v>135</v>
      </c>
      <c r="D26" s="17" t="s">
        <v>41</v>
      </c>
      <c r="E26" s="17" t="s">
        <v>124</v>
      </c>
      <c r="F26" s="17" t="s">
        <v>27</v>
      </c>
      <c r="G26" s="17" t="s">
        <v>31</v>
      </c>
      <c r="H26" s="20">
        <f>(3497.51*($L$8))</f>
        <v>18711.678499999998</v>
      </c>
      <c r="I26" s="20">
        <f>(3545.51*($L$8))</f>
        <v>18968.478500000001</v>
      </c>
      <c r="J26" s="20">
        <f>(3574.31*($L$8))</f>
        <v>19122.558499999999</v>
      </c>
      <c r="K26" s="20">
        <f>(3651.11*($L$8))</f>
        <v>19533.4385</v>
      </c>
      <c r="L26" s="20">
        <f>(3699.11*($L$8))</f>
        <v>19790.238499999999</v>
      </c>
      <c r="M26" s="20">
        <f>(3756.71*($L$8))</f>
        <v>20098.398499999999</v>
      </c>
      <c r="N26" s="20">
        <f>(3823.91*($L$8))</f>
        <v>20457.918499999996</v>
      </c>
      <c r="O26" s="20">
        <f>(3919.91*($L$8))</f>
        <v>20971.518499999998</v>
      </c>
      <c r="P26" s="20">
        <f>(3967.91*($L$8))</f>
        <v>21228.318499999998</v>
      </c>
      <c r="Q26" s="20">
        <f>(4159.91*($L$8))</f>
        <v>22255.518499999998</v>
      </c>
    </row>
    <row r="27" spans="1:17" ht="12.75" customHeight="1" x14ac:dyDescent="0.2">
      <c r="B27" s="6" t="s">
        <v>1416</v>
      </c>
      <c r="C27" s="17" t="s">
        <v>136</v>
      </c>
      <c r="D27" s="17" t="s">
        <v>126</v>
      </c>
      <c r="E27" s="17" t="s">
        <v>124</v>
      </c>
      <c r="F27" s="17" t="s">
        <v>27</v>
      </c>
      <c r="G27" s="17" t="s">
        <v>48</v>
      </c>
      <c r="H27" s="20">
        <f>(3793.89*($L$8))</f>
        <v>20297.311499999996</v>
      </c>
      <c r="I27" s="20">
        <f>(3845.89*($L$8))</f>
        <v>20575.511499999997</v>
      </c>
      <c r="J27" s="20">
        <f>(3877.09*($L$8))</f>
        <v>20742.431499999999</v>
      </c>
      <c r="K27" s="20">
        <f>(3960.29*($L$8))</f>
        <v>21187.551499999998</v>
      </c>
      <c r="L27" s="20">
        <f>(4012.29*($L$8))</f>
        <v>21465.751499999998</v>
      </c>
      <c r="M27" s="20">
        <f>(4074.69*($L$8))</f>
        <v>21799.591499999999</v>
      </c>
      <c r="N27" s="20">
        <f>(4147.49*($L$8))</f>
        <v>22189.071499999998</v>
      </c>
      <c r="O27" s="20">
        <f>(4251.49*($L$8))</f>
        <v>22745.471499999996</v>
      </c>
      <c r="P27" s="20">
        <f>(4303.49*($L$8))</f>
        <v>23023.671499999997</v>
      </c>
      <c r="Q27" s="20">
        <f>(4511.49*($L$8))</f>
        <v>24136.471499999996</v>
      </c>
    </row>
    <row r="28" spans="1:17" ht="12.75" customHeight="1" x14ac:dyDescent="0.2">
      <c r="B28" s="6" t="s">
        <v>1417</v>
      </c>
      <c r="C28" s="17" t="s">
        <v>137</v>
      </c>
      <c r="D28" s="17" t="s">
        <v>126</v>
      </c>
      <c r="E28" s="17" t="s">
        <v>124</v>
      </c>
      <c r="F28" s="17" t="s">
        <v>27</v>
      </c>
      <c r="G28" s="17" t="s">
        <v>35</v>
      </c>
      <c r="H28" s="20">
        <f>(4106.66*($L$8))</f>
        <v>21970.630999999998</v>
      </c>
      <c r="I28" s="20">
        <f>(4162.66*($L$8))</f>
        <v>22270.230999999996</v>
      </c>
      <c r="J28" s="20">
        <f>(4196.26*($L$8))</f>
        <v>22449.990999999998</v>
      </c>
      <c r="K28" s="20">
        <f>(4285.86*($L$8))</f>
        <v>22929.350999999995</v>
      </c>
      <c r="L28" s="20">
        <f>(4341.86*($L$8))</f>
        <v>23228.950999999997</v>
      </c>
      <c r="M28" s="20">
        <f>(4409.06*($L$8))</f>
        <v>23588.471000000001</v>
      </c>
      <c r="N28" s="20">
        <f>(4487.46*($L$8))</f>
        <v>24007.911</v>
      </c>
      <c r="O28" s="20">
        <f>(4599.46*($L$8))</f>
        <v>24607.110999999997</v>
      </c>
      <c r="P28" s="20">
        <f>(4655.46*($L$8))</f>
        <v>24906.710999999999</v>
      </c>
      <c r="Q28" s="20">
        <f>(4879.46*($L$8))</f>
        <v>26105.110999999997</v>
      </c>
    </row>
    <row r="29" spans="1:17" ht="12.75" customHeight="1" x14ac:dyDescent="0.2">
      <c r="B29" s="6" t="s">
        <v>1418</v>
      </c>
      <c r="C29" s="17" t="s">
        <v>138</v>
      </c>
      <c r="D29" s="17" t="s">
        <v>128</v>
      </c>
      <c r="E29" s="17" t="s">
        <v>124</v>
      </c>
      <c r="F29" s="17" t="s">
        <v>27</v>
      </c>
      <c r="G29" s="17" t="s">
        <v>35</v>
      </c>
      <c r="H29" s="20">
        <f>(4214.96*($L$8))</f>
        <v>22550.036</v>
      </c>
      <c r="I29" s="20">
        <f>(4274.96*($L$8))</f>
        <v>22871.036</v>
      </c>
      <c r="J29" s="20">
        <f>(4310.96*($L$8))</f>
        <v>23063.635999999999</v>
      </c>
      <c r="K29" s="20">
        <f>(4406.96*($L$8))</f>
        <v>23577.235999999997</v>
      </c>
      <c r="L29" s="20">
        <f>(4466.96*($L$8))</f>
        <v>23898.235999999997</v>
      </c>
      <c r="M29" s="20">
        <f>(4538.96*($L$8))</f>
        <v>24283.435999999998</v>
      </c>
      <c r="N29" s="20">
        <f>(4622.96*($L$8))</f>
        <v>24732.835999999999</v>
      </c>
      <c r="O29" s="20">
        <f>(4742.96*($L$8))</f>
        <v>25374.835999999999</v>
      </c>
      <c r="P29" s="20">
        <f>(4802.96*($L$8))</f>
        <v>25695.835999999999</v>
      </c>
      <c r="Q29" s="20">
        <f>(5042.96*($L$8))</f>
        <v>26979.835999999999</v>
      </c>
    </row>
    <row r="30" spans="1:17" ht="30" customHeight="1" x14ac:dyDescent="0.2">
      <c r="A30" s="65"/>
      <c r="B30" s="66" t="s">
        <v>5</v>
      </c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8"/>
    </row>
    <row r="31" spans="1:17" s="64" customFormat="1" ht="12.75" customHeight="1" x14ac:dyDescent="0.2">
      <c r="A31" s="62" t="s">
        <v>6</v>
      </c>
      <c r="B31" s="62" t="s">
        <v>7</v>
      </c>
      <c r="C31" s="62" t="s">
        <v>8</v>
      </c>
      <c r="D31" s="62" t="s">
        <v>9</v>
      </c>
      <c r="E31" s="62" t="s">
        <v>10</v>
      </c>
      <c r="F31" s="62" t="s">
        <v>11</v>
      </c>
      <c r="G31" s="62" t="s">
        <v>12</v>
      </c>
      <c r="H31" s="62" t="s">
        <v>13</v>
      </c>
      <c r="I31" s="62" t="s">
        <v>14</v>
      </c>
      <c r="J31" s="62" t="s">
        <v>15</v>
      </c>
      <c r="K31" s="62" t="s">
        <v>16</v>
      </c>
      <c r="L31" s="62" t="s">
        <v>17</v>
      </c>
      <c r="M31" s="62" t="s">
        <v>18</v>
      </c>
      <c r="N31" s="62" t="s">
        <v>19</v>
      </c>
      <c r="O31" s="62" t="s">
        <v>20</v>
      </c>
      <c r="P31" s="63" t="s">
        <v>21</v>
      </c>
      <c r="Q31" s="63" t="s">
        <v>22</v>
      </c>
    </row>
    <row r="32" spans="1:17" ht="12.75" customHeight="1" x14ac:dyDescent="0.2">
      <c r="A32" s="6"/>
      <c r="B32" s="10" t="s">
        <v>23</v>
      </c>
      <c r="C32" s="20" t="s">
        <v>24</v>
      </c>
      <c r="D32" s="20" t="s">
        <v>25</v>
      </c>
      <c r="E32" s="20" t="s">
        <v>26</v>
      </c>
      <c r="F32" s="20" t="s">
        <v>27</v>
      </c>
      <c r="G32" s="20" t="s">
        <v>28</v>
      </c>
      <c r="H32" s="20">
        <f>(4792.42*($L$8))</f>
        <v>25639.447</v>
      </c>
      <c r="I32" s="20">
        <f>(4836.28*($L$8))</f>
        <v>25874.097999999998</v>
      </c>
      <c r="J32" s="20">
        <f>(4862.6*($L$8))</f>
        <v>26014.91</v>
      </c>
      <c r="K32" s="20">
        <f>(4932.77*($L$8))</f>
        <v>26390.319500000001</v>
      </c>
      <c r="L32" s="20">
        <f>(4976.63*($L$8))</f>
        <v>26624.970499999999</v>
      </c>
      <c r="M32" s="20">
        <f>(5029.26*($L$8))</f>
        <v>26906.541000000001</v>
      </c>
      <c r="N32" s="20">
        <f>(5090.67*($L$8))</f>
        <v>27235.084499999997</v>
      </c>
      <c r="O32" s="20">
        <f>(5178.39*($L$8))</f>
        <v>27704.386500000001</v>
      </c>
      <c r="P32" s="20">
        <f>(5222.25*($L$8))</f>
        <v>27939.037499999999</v>
      </c>
      <c r="Q32" s="20">
        <f>(5397.68*($L$8))</f>
        <v>28877.588</v>
      </c>
    </row>
    <row r="33" spans="1:17" ht="12.75" customHeight="1" x14ac:dyDescent="0.2">
      <c r="A33" s="6"/>
      <c r="B33" s="10" t="s">
        <v>29</v>
      </c>
      <c r="C33" s="20" t="s">
        <v>30</v>
      </c>
      <c r="D33" s="20" t="s">
        <v>25</v>
      </c>
      <c r="E33" s="20" t="s">
        <v>26</v>
      </c>
      <c r="F33" s="20" t="s">
        <v>27</v>
      </c>
      <c r="G33" s="20" t="s">
        <v>31</v>
      </c>
      <c r="H33" s="20">
        <f>(5176.75*($L$8))</f>
        <v>27695.612499999999</v>
      </c>
      <c r="I33" s="20">
        <f>(5229.39*($L$8))</f>
        <v>27977.236499999999</v>
      </c>
      <c r="J33" s="20">
        <f>(5260.96*($L$8))</f>
        <v>28146.135999999999</v>
      </c>
      <c r="K33" s="20">
        <f>(5345.18*($L$8))</f>
        <v>28596.713</v>
      </c>
      <c r="L33" s="20">
        <f>(5397.81*($L$8))</f>
        <v>28878.283500000001</v>
      </c>
      <c r="M33" s="20">
        <f>(5460.96*($L$8))</f>
        <v>29216.135999999999</v>
      </c>
      <c r="N33" s="20">
        <f>(5534.65*($L$8))</f>
        <v>29610.377499999995</v>
      </c>
      <c r="O33" s="20">
        <f>(5639.91*($L$8))</f>
        <v>30173.518499999998</v>
      </c>
      <c r="P33" s="20">
        <f>(5692.54*($L$8))</f>
        <v>30455.088999999996</v>
      </c>
      <c r="Q33" s="20">
        <f>(5903.07*($L$8))</f>
        <v>31581.424499999997</v>
      </c>
    </row>
    <row r="34" spans="1:17" ht="12.75" customHeight="1" x14ac:dyDescent="0.2">
      <c r="A34" s="6"/>
      <c r="B34" s="10" t="s">
        <v>32</v>
      </c>
      <c r="C34" s="20" t="s">
        <v>33</v>
      </c>
      <c r="D34" s="20" t="s">
        <v>34</v>
      </c>
      <c r="E34" s="20" t="s">
        <v>26</v>
      </c>
      <c r="F34" s="20" t="s">
        <v>27</v>
      </c>
      <c r="G34" s="20" t="s">
        <v>35</v>
      </c>
      <c r="H34" s="20">
        <f>(5406.75*($L$8))</f>
        <v>28926.112499999999</v>
      </c>
      <c r="I34" s="20">
        <f>(5468.16*($L$8))</f>
        <v>29254.655999999999</v>
      </c>
      <c r="J34" s="20">
        <f>(5505*($L$8))</f>
        <v>29451.749999999996</v>
      </c>
      <c r="K34" s="20">
        <f>(5603.25*($L$8))</f>
        <v>29977.387499999997</v>
      </c>
      <c r="L34" s="20">
        <f>(5664.65*($L$8))</f>
        <v>30305.877499999995</v>
      </c>
      <c r="M34" s="20">
        <f>(5738.33*($L$8))</f>
        <v>30700.065499999997</v>
      </c>
      <c r="N34" s="20">
        <f>(5824.3*($L$8))</f>
        <v>31160.004999999997</v>
      </c>
      <c r="O34" s="20">
        <f>(5947.11*($L$8))</f>
        <v>31817.038499999995</v>
      </c>
      <c r="P34" s="20">
        <f>(6008.51*($L$8))</f>
        <v>32145.5285</v>
      </c>
      <c r="Q34" s="20">
        <f>(6254.12*($L$8))</f>
        <v>33459.541999999994</v>
      </c>
    </row>
    <row r="35" spans="1:17" ht="12.75" customHeight="1" x14ac:dyDescent="0.2">
      <c r="A35" s="6"/>
      <c r="B35" s="10" t="s">
        <v>36</v>
      </c>
      <c r="C35" s="20" t="s">
        <v>37</v>
      </c>
      <c r="D35" s="20" t="s">
        <v>34</v>
      </c>
      <c r="E35" s="20" t="s">
        <v>26</v>
      </c>
      <c r="F35" s="20" t="s">
        <v>27</v>
      </c>
      <c r="G35" s="20" t="s">
        <v>38</v>
      </c>
      <c r="H35" s="20">
        <f>(5677.96*($L$8))</f>
        <v>30377.085999999999</v>
      </c>
      <c r="I35" s="20">
        <f>(5743.75*($L$8))</f>
        <v>30729.062499999996</v>
      </c>
      <c r="J35" s="20">
        <f>(5783.23*($L$8))</f>
        <v>30940.280499999997</v>
      </c>
      <c r="K35" s="20">
        <f>(5888.49*($L$8))</f>
        <v>31503.421499999997</v>
      </c>
      <c r="L35" s="20">
        <f>(5954.28*($L$8))</f>
        <v>31855.397999999997</v>
      </c>
      <c r="M35" s="20">
        <f>(6033.23*($L$8))</f>
        <v>32277.780499999997</v>
      </c>
      <c r="N35" s="20">
        <f>(6125.33*($L$8))</f>
        <v>32770.515499999994</v>
      </c>
      <c r="O35" s="20">
        <f>(6256.91*($L$8))</f>
        <v>33474.468499999995</v>
      </c>
      <c r="P35" s="20">
        <f>(6322.7*($L$8))</f>
        <v>33826.445</v>
      </c>
      <c r="Q35" s="20">
        <f>(6585.86*($L$8))</f>
        <v>35234.350999999995</v>
      </c>
    </row>
    <row r="36" spans="1:17" ht="12.75" customHeight="1" x14ac:dyDescent="0.2">
      <c r="A36" s="6"/>
      <c r="B36" s="10" t="s">
        <v>39</v>
      </c>
      <c r="C36" s="20" t="s">
        <v>40</v>
      </c>
      <c r="D36" s="20" t="s">
        <v>41</v>
      </c>
      <c r="E36" s="20" t="s">
        <v>26</v>
      </c>
      <c r="F36" s="20" t="s">
        <v>27</v>
      </c>
      <c r="G36" s="20" t="s">
        <v>42</v>
      </c>
      <c r="H36" s="20">
        <f>(5767.42*($L$8))</f>
        <v>30855.697</v>
      </c>
      <c r="I36" s="20">
        <f>(5837.6*($L$8))</f>
        <v>31231.16</v>
      </c>
      <c r="J36" s="20">
        <f>(5879.7*($L$8))</f>
        <v>31456.394999999997</v>
      </c>
      <c r="K36" s="20">
        <f>(5991.98*($L$8))</f>
        <v>32057.092999999997</v>
      </c>
      <c r="L36" s="20">
        <f>(6062.16*($L$8))</f>
        <v>32432.555999999997</v>
      </c>
      <c r="M36" s="20">
        <f>(6146.37*($L$8))</f>
        <v>32883.0795</v>
      </c>
      <c r="N36" s="20">
        <f>(6244.61*($L$8))</f>
        <v>33408.663499999995</v>
      </c>
      <c r="O36" s="20">
        <f>(6384.96*($L$8))</f>
        <v>34159.536</v>
      </c>
      <c r="P36" s="20">
        <f>(6455.14*($L$8))</f>
        <v>34534.998999999996</v>
      </c>
      <c r="Q36" s="20">
        <f>(6735.84*($L$8))</f>
        <v>36036.743999999999</v>
      </c>
    </row>
    <row r="37" spans="1:17" ht="30" customHeight="1" x14ac:dyDescent="0.35">
      <c r="A37" s="6"/>
      <c r="B37" s="23" t="s">
        <v>43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</row>
    <row r="38" spans="1:17" ht="12.75" customHeight="1" x14ac:dyDescent="0.2">
      <c r="A38" s="7" t="s">
        <v>6</v>
      </c>
      <c r="B38" s="8" t="s">
        <v>7</v>
      </c>
      <c r="C38" s="8" t="s">
        <v>8</v>
      </c>
      <c r="D38" s="8" t="s">
        <v>9</v>
      </c>
      <c r="E38" s="8" t="s">
        <v>10</v>
      </c>
      <c r="F38" s="8" t="s">
        <v>11</v>
      </c>
      <c r="G38" s="8" t="s">
        <v>12</v>
      </c>
      <c r="H38" s="8" t="s">
        <v>13</v>
      </c>
      <c r="I38" s="8" t="s">
        <v>14</v>
      </c>
      <c r="J38" s="8" t="s">
        <v>15</v>
      </c>
      <c r="K38" s="8" t="s">
        <v>16</v>
      </c>
      <c r="L38" s="8" t="s">
        <v>17</v>
      </c>
      <c r="M38" s="8" t="s">
        <v>18</v>
      </c>
      <c r="N38" s="8" t="s">
        <v>19</v>
      </c>
      <c r="O38" s="8" t="s">
        <v>20</v>
      </c>
      <c r="P38" s="8" t="s">
        <v>21</v>
      </c>
      <c r="Q38" s="8" t="s">
        <v>22</v>
      </c>
    </row>
    <row r="39" spans="1:17" ht="12.75" customHeight="1" x14ac:dyDescent="0.2">
      <c r="A39" s="6"/>
      <c r="B39" s="10" t="s">
        <v>44</v>
      </c>
      <c r="C39" s="20" t="s">
        <v>45</v>
      </c>
      <c r="D39" s="20" t="s">
        <v>46</v>
      </c>
      <c r="E39" s="20" t="s">
        <v>47</v>
      </c>
      <c r="F39" s="20" t="s">
        <v>27</v>
      </c>
      <c r="G39" s="20" t="s">
        <v>48</v>
      </c>
      <c r="H39" s="20">
        <f>(5556.07*($L$8))</f>
        <v>29724.974499999997</v>
      </c>
      <c r="I39" s="20">
        <f>(5608.7*($L$8))</f>
        <v>30006.544999999998</v>
      </c>
      <c r="J39" s="20">
        <f>(5640.28*($L$8))</f>
        <v>30175.497999999996</v>
      </c>
      <c r="K39" s="20">
        <f>(5724.49*($L$8))</f>
        <v>30626.021499999995</v>
      </c>
      <c r="L39" s="20">
        <f>(5777.12*($L$8))</f>
        <v>30907.591999999997</v>
      </c>
      <c r="M39" s="20">
        <f>(5840.28*($L$8))</f>
        <v>31245.497999999996</v>
      </c>
      <c r="N39" s="20">
        <f>(5913.96*($L$8))</f>
        <v>31639.685999999998</v>
      </c>
      <c r="O39" s="20">
        <f>(6019.23*($L$8))</f>
        <v>32202.880499999996</v>
      </c>
      <c r="P39" s="20">
        <f>(6071.86*($L$8))</f>
        <v>32484.450999999997</v>
      </c>
      <c r="Q39" s="20">
        <f>(6282.39*($L$8))</f>
        <v>33610.786500000002</v>
      </c>
    </row>
    <row r="40" spans="1:17" ht="12.75" customHeight="1" x14ac:dyDescent="0.2">
      <c r="A40" s="6"/>
      <c r="B40" s="10" t="s">
        <v>49</v>
      </c>
      <c r="C40" s="20" t="s">
        <v>50</v>
      </c>
      <c r="D40" s="20" t="s">
        <v>46</v>
      </c>
      <c r="E40" s="20" t="s">
        <v>47</v>
      </c>
      <c r="F40" s="20" t="s">
        <v>27</v>
      </c>
      <c r="G40" s="20" t="s">
        <v>35</v>
      </c>
      <c r="H40" s="20">
        <f>(6120.95*($L$8))</f>
        <v>32747.082499999997</v>
      </c>
      <c r="I40" s="20">
        <f>(6182.35*($L$8))</f>
        <v>33075.572500000002</v>
      </c>
      <c r="J40" s="20">
        <f>(6219.19*($L$8))</f>
        <v>33272.666499999992</v>
      </c>
      <c r="K40" s="20">
        <f>(6317.44*($L$8))</f>
        <v>33798.303999999996</v>
      </c>
      <c r="L40" s="20">
        <f>(6378.84*($L$8))</f>
        <v>34126.794000000002</v>
      </c>
      <c r="M40" s="20">
        <f>(6452.53*($L$8))</f>
        <v>34521.035499999998</v>
      </c>
      <c r="N40" s="20">
        <f>(6538.49*($L$8))</f>
        <v>34980.921499999997</v>
      </c>
      <c r="O40" s="20">
        <f>(6661.3*($L$8))</f>
        <v>35637.955000000002</v>
      </c>
      <c r="P40" s="20">
        <f>(6722.7*($L$8))</f>
        <v>35966.445</v>
      </c>
      <c r="Q40" s="20">
        <f>(6968.32*($L$8))</f>
        <v>37280.511999999995</v>
      </c>
    </row>
    <row r="41" spans="1:17" ht="12.75" customHeight="1" x14ac:dyDescent="0.2">
      <c r="A41" s="6"/>
      <c r="B41" s="10" t="s">
        <v>51</v>
      </c>
      <c r="C41" s="20" t="s">
        <v>52</v>
      </c>
      <c r="D41" s="20" t="s">
        <v>53</v>
      </c>
      <c r="E41" s="20" t="s">
        <v>47</v>
      </c>
      <c r="F41" s="20" t="s">
        <v>27</v>
      </c>
      <c r="G41" s="20" t="s">
        <v>54</v>
      </c>
      <c r="H41" s="20">
        <f>(6336.93*($L$8))</f>
        <v>33902.575499999999</v>
      </c>
      <c r="I41" s="20">
        <f>(6402.72*($L$8))</f>
        <v>34254.551999999996</v>
      </c>
      <c r="J41" s="20">
        <f>(6442.19*($L$8))</f>
        <v>34465.716499999995</v>
      </c>
      <c r="K41" s="20">
        <f>(6547.46*($L$8))</f>
        <v>35028.911</v>
      </c>
      <c r="L41" s="20">
        <f>(6613.25*($L$8))</f>
        <v>35380.887499999997</v>
      </c>
      <c r="M41" s="20">
        <f>(6692.19*($L$8))</f>
        <v>35803.216499999995</v>
      </c>
      <c r="N41" s="20">
        <f>(6784.3*($L$8))</f>
        <v>36296.004999999997</v>
      </c>
      <c r="O41" s="20">
        <f>(6915.88*($L$8))</f>
        <v>36999.957999999999</v>
      </c>
      <c r="P41" s="20">
        <f>(6981.67*($L$8))</f>
        <v>37351.934499999996</v>
      </c>
      <c r="Q41" s="20">
        <f>(7244.82*($L$8))</f>
        <v>38759.786999999997</v>
      </c>
    </row>
    <row r="42" spans="1:17" ht="12.75" customHeight="1" x14ac:dyDescent="0.2">
      <c r="A42" s="6"/>
      <c r="B42" s="10" t="s">
        <v>55</v>
      </c>
      <c r="C42" s="20" t="s">
        <v>56</v>
      </c>
      <c r="D42" s="20" t="s">
        <v>53</v>
      </c>
      <c r="E42" s="20" t="s">
        <v>47</v>
      </c>
      <c r="F42" s="20" t="s">
        <v>27</v>
      </c>
      <c r="G42" s="20" t="s">
        <v>38</v>
      </c>
      <c r="H42" s="20">
        <f>(6533.84*($L$8))</f>
        <v>34956.044000000002</v>
      </c>
      <c r="I42" s="20">
        <f>(6604.02*($L$8))</f>
        <v>35331.506999999998</v>
      </c>
      <c r="J42" s="20">
        <f>(6646.12*($L$8))</f>
        <v>35556.741999999998</v>
      </c>
      <c r="K42" s="20">
        <f>(6758.4*($L$8))</f>
        <v>36157.439999999995</v>
      </c>
      <c r="L42" s="20">
        <f>(6828.58*($L$8))</f>
        <v>36532.902999999998</v>
      </c>
      <c r="M42" s="20">
        <f>(6912.79*($L$8))</f>
        <v>36983.426499999994</v>
      </c>
      <c r="N42" s="20">
        <f>(7011.04*($L$8))</f>
        <v>37509.063999999998</v>
      </c>
      <c r="O42" s="20">
        <f>(7151.39*($L$8))</f>
        <v>38259.936499999996</v>
      </c>
      <c r="P42" s="20">
        <f>(7221.56*($L$8))</f>
        <v>38635.345999999998</v>
      </c>
      <c r="Q42" s="20">
        <f>(7502.26*($L$8))</f>
        <v>40137.091</v>
      </c>
    </row>
    <row r="43" spans="1:17" ht="12.75" customHeight="1" x14ac:dyDescent="0.2">
      <c r="A43" s="6"/>
      <c r="B43" s="10" t="s">
        <v>57</v>
      </c>
      <c r="C43" s="20" t="s">
        <v>58</v>
      </c>
      <c r="D43" s="20" t="s">
        <v>59</v>
      </c>
      <c r="E43" s="20" t="s">
        <v>47</v>
      </c>
      <c r="F43" s="20" t="s">
        <v>27</v>
      </c>
      <c r="G43" s="20" t="s">
        <v>60</v>
      </c>
      <c r="H43" s="20">
        <f>(6825.4*($L$8))</f>
        <v>36515.889999999992</v>
      </c>
      <c r="I43" s="20">
        <f>(6899.96*($L$8))</f>
        <v>36914.786</v>
      </c>
      <c r="J43" s="20">
        <f>(6944.7*($L$8))</f>
        <v>37154.144999999997</v>
      </c>
      <c r="K43" s="20">
        <f>(7064*($L$8))</f>
        <v>37792.399999999994</v>
      </c>
      <c r="L43" s="20">
        <f>(7138.56*($L$8))</f>
        <v>38191.296000000002</v>
      </c>
      <c r="M43" s="20">
        <f>(7228.04*($L$8))</f>
        <v>38670.013999999996</v>
      </c>
      <c r="N43" s="20">
        <f>(7332.42*($L$8))</f>
        <v>39228.447</v>
      </c>
      <c r="O43" s="20">
        <f>(7481.54*($L$8))</f>
        <v>40026.238999999994</v>
      </c>
      <c r="P43" s="20">
        <f>(7556.11*($L$8))</f>
        <v>40425.188499999997</v>
      </c>
      <c r="Q43" s="20">
        <f>(7854.35*($L$8))</f>
        <v>42020.772499999999</v>
      </c>
    </row>
    <row r="44" spans="1:17" ht="30" customHeight="1" x14ac:dyDescent="0.35">
      <c r="A44" s="6"/>
      <c r="B44" s="23" t="s">
        <v>61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5"/>
    </row>
    <row r="45" spans="1:17" ht="12.75" customHeight="1" x14ac:dyDescent="0.2">
      <c r="A45" s="7" t="s">
        <v>6</v>
      </c>
      <c r="B45" s="8" t="s">
        <v>7</v>
      </c>
      <c r="C45" s="8" t="s">
        <v>8</v>
      </c>
      <c r="D45" s="8" t="s">
        <v>9</v>
      </c>
      <c r="E45" s="8" t="s">
        <v>10</v>
      </c>
      <c r="F45" s="8" t="s">
        <v>11</v>
      </c>
      <c r="G45" s="8" t="s">
        <v>12</v>
      </c>
      <c r="H45" s="8" t="s">
        <v>13</v>
      </c>
      <c r="I45" s="8" t="s">
        <v>14</v>
      </c>
      <c r="J45" s="8" t="s">
        <v>15</v>
      </c>
      <c r="K45" s="8" t="s">
        <v>16</v>
      </c>
      <c r="L45" s="8" t="s">
        <v>17</v>
      </c>
      <c r="M45" s="8" t="s">
        <v>18</v>
      </c>
      <c r="N45" s="8" t="s">
        <v>19</v>
      </c>
      <c r="O45" s="8" t="s">
        <v>20</v>
      </c>
      <c r="P45" s="8" t="s">
        <v>21</v>
      </c>
      <c r="Q45" s="8" t="s">
        <v>22</v>
      </c>
    </row>
    <row r="46" spans="1:17" ht="12.75" customHeight="1" x14ac:dyDescent="0.2">
      <c r="A46" s="6"/>
      <c r="B46" s="10" t="s">
        <v>62</v>
      </c>
      <c r="C46" s="20" t="s">
        <v>63</v>
      </c>
      <c r="D46" s="20" t="s">
        <v>64</v>
      </c>
      <c r="E46" s="20" t="s">
        <v>45</v>
      </c>
      <c r="F46" s="20" t="s">
        <v>27</v>
      </c>
      <c r="G46" s="20" t="s">
        <v>28</v>
      </c>
      <c r="H46" s="20">
        <f>(6055.12*($L$8))</f>
        <v>32394.891999999996</v>
      </c>
      <c r="I46" s="20">
        <f>(6107.75*($L$8))</f>
        <v>32676.462499999998</v>
      </c>
      <c r="J46" s="20">
        <f>(6139.33*($L$8))</f>
        <v>32845.415499999996</v>
      </c>
      <c r="K46" s="20">
        <f>(6223.54*($L$8))</f>
        <v>33295.938999999998</v>
      </c>
      <c r="L46" s="20">
        <f>(6276.17*($L$8))</f>
        <v>33577.5095</v>
      </c>
      <c r="M46" s="20">
        <f>(6339.33*($L$8))</f>
        <v>33915.415499999996</v>
      </c>
      <c r="N46" s="20">
        <f>(6413.01*($L$8))</f>
        <v>34309.603499999997</v>
      </c>
      <c r="O46" s="20">
        <f>(6518.27*($L$8))</f>
        <v>34872.744500000001</v>
      </c>
      <c r="P46" s="20">
        <f>(6570.91*($L$8))</f>
        <v>35154.368499999997</v>
      </c>
      <c r="Q46" s="20">
        <f>(6781.43*($L$8))</f>
        <v>36280.650499999996</v>
      </c>
    </row>
    <row r="47" spans="1:17" ht="12.75" customHeight="1" x14ac:dyDescent="0.2">
      <c r="A47" s="6"/>
      <c r="B47" s="10" t="s">
        <v>65</v>
      </c>
      <c r="C47" s="20" t="s">
        <v>66</v>
      </c>
      <c r="D47" s="20" t="s">
        <v>64</v>
      </c>
      <c r="E47" s="20" t="s">
        <v>45</v>
      </c>
      <c r="F47" s="20" t="s">
        <v>27</v>
      </c>
      <c r="G47" s="20" t="s">
        <v>67</v>
      </c>
      <c r="H47" s="20">
        <f>(6673.29*($L$8))</f>
        <v>35702.101499999997</v>
      </c>
      <c r="I47" s="20">
        <f>(6725.92*($L$8))</f>
        <v>35983.671999999999</v>
      </c>
      <c r="J47" s="20">
        <f>(6757.5*($L$8))</f>
        <v>36152.625</v>
      </c>
      <c r="K47" s="20">
        <f>(6841.71*($L$8))</f>
        <v>36603.148499999996</v>
      </c>
      <c r="L47" s="20">
        <f>(6894.35*($L$8))</f>
        <v>36884.772499999999</v>
      </c>
      <c r="M47" s="20">
        <f>(6957.5*($L$8))</f>
        <v>37222.625</v>
      </c>
      <c r="N47" s="20">
        <f>(7031.19*($L$8))</f>
        <v>37616.866499999996</v>
      </c>
      <c r="O47" s="20">
        <f>(7136.45*($L$8))</f>
        <v>38180.0075</v>
      </c>
      <c r="P47" s="20">
        <f>(7189.08*($L$8))</f>
        <v>38461.577999999994</v>
      </c>
      <c r="Q47" s="20">
        <f>(7399.61*($L$8))</f>
        <v>39587.913499999995</v>
      </c>
    </row>
    <row r="48" spans="1:17" ht="12.75" customHeight="1" x14ac:dyDescent="0.2">
      <c r="A48" s="6"/>
      <c r="B48" s="10" t="s">
        <v>68</v>
      </c>
      <c r="C48" s="20" t="s">
        <v>69</v>
      </c>
      <c r="D48" s="20" t="s">
        <v>70</v>
      </c>
      <c r="E48" s="20" t="s">
        <v>45</v>
      </c>
      <c r="F48" s="20" t="s">
        <v>27</v>
      </c>
      <c r="G48" s="20" t="s">
        <v>31</v>
      </c>
      <c r="H48" s="20">
        <f>(6942.78*($L$8))</f>
        <v>37143.873</v>
      </c>
      <c r="I48" s="20">
        <f>(6999.8*($L$8))</f>
        <v>37448.93</v>
      </c>
      <c r="J48" s="20">
        <f>(7034.01*($L$8))</f>
        <v>37631.953499999996</v>
      </c>
      <c r="K48" s="20">
        <f>(7125.24*($L$8))</f>
        <v>38120.034</v>
      </c>
      <c r="L48" s="20">
        <f>(7182.26*($L$8))</f>
        <v>38425.091</v>
      </c>
      <c r="M48" s="20">
        <f>(7250.68*($L$8))</f>
        <v>38791.137999999999</v>
      </c>
      <c r="N48" s="20">
        <f>(7330.5*($L$8))</f>
        <v>39218.174999999996</v>
      </c>
      <c r="O48" s="20">
        <f>(7444.54*($L$8))</f>
        <v>39828.288999999997</v>
      </c>
      <c r="P48" s="20">
        <f>(7501.56*($L$8))</f>
        <v>40133.345999999998</v>
      </c>
      <c r="Q48" s="20">
        <f>(7729.63*($L$8))</f>
        <v>41353.520499999999</v>
      </c>
    </row>
    <row r="49" spans="1:17" ht="12.75" customHeight="1" x14ac:dyDescent="0.2">
      <c r="A49" s="6"/>
      <c r="B49" s="10" t="s">
        <v>71</v>
      </c>
      <c r="C49" s="20" t="s">
        <v>72</v>
      </c>
      <c r="D49" s="20" t="s">
        <v>70</v>
      </c>
      <c r="E49" s="20" t="s">
        <v>45</v>
      </c>
      <c r="F49" s="20" t="s">
        <v>27</v>
      </c>
      <c r="G49" s="20" t="s">
        <v>48</v>
      </c>
      <c r="H49" s="20">
        <f>(7250.15*($L$8))</f>
        <v>38788.302499999998</v>
      </c>
      <c r="I49" s="20">
        <f>(7311.56*($L$8))</f>
        <v>39116.845999999998</v>
      </c>
      <c r="J49" s="20">
        <f>(7348.4*($L$8))</f>
        <v>39313.939999999995</v>
      </c>
      <c r="K49" s="20">
        <f>(7446.64*($L$8))</f>
        <v>39839.523999999998</v>
      </c>
      <c r="L49" s="20">
        <f>(7508.05*($L$8))</f>
        <v>40168.067499999997</v>
      </c>
      <c r="M49" s="20">
        <f>(7581.73*($L$8))</f>
        <v>40562.255499999992</v>
      </c>
      <c r="N49" s="20">
        <f>(7667.7*($L$8))</f>
        <v>41022.195</v>
      </c>
      <c r="O49" s="20">
        <f>(7790.5*($L$8))</f>
        <v>41679.174999999996</v>
      </c>
      <c r="P49" s="20">
        <f>(7851.91*($L$8))</f>
        <v>42007.718499999995</v>
      </c>
      <c r="Q49" s="20">
        <f>(8097.52*($L$8))</f>
        <v>43321.731999999996</v>
      </c>
    </row>
    <row r="50" spans="1:17" ht="12.75" customHeight="1" x14ac:dyDescent="0.2">
      <c r="A50" s="6"/>
      <c r="B50" s="10" t="s">
        <v>73</v>
      </c>
      <c r="C50" s="20" t="s">
        <v>74</v>
      </c>
      <c r="D50" s="20" t="s">
        <v>75</v>
      </c>
      <c r="E50" s="20" t="s">
        <v>45</v>
      </c>
      <c r="F50" s="20" t="s">
        <v>27</v>
      </c>
      <c r="G50" s="20" t="s">
        <v>54</v>
      </c>
      <c r="H50" s="20">
        <f>(7407.94*($L$8))</f>
        <v>39632.478999999992</v>
      </c>
      <c r="I50" s="20">
        <f>(7478.12*($L$8))</f>
        <v>40007.941999999995</v>
      </c>
      <c r="J50" s="20">
        <f>(7520.22*($L$8))</f>
        <v>40233.176999999996</v>
      </c>
      <c r="K50" s="20">
        <f>(7632.5*($L$8))</f>
        <v>40833.875</v>
      </c>
      <c r="L50" s="20">
        <f>(7702.68*($L$8))</f>
        <v>41209.337999999996</v>
      </c>
      <c r="M50" s="20">
        <f>(7786.89*($L$8))</f>
        <v>41659.861499999999</v>
      </c>
      <c r="N50" s="20">
        <f>(7885.13*($L$8))</f>
        <v>42185.445499999994</v>
      </c>
      <c r="O50" s="20">
        <f>(8025.49*($L$8))</f>
        <v>42936.371499999994</v>
      </c>
      <c r="P50" s="20">
        <f>(8095.66*($L$8))</f>
        <v>43311.780999999995</v>
      </c>
      <c r="Q50" s="20">
        <f>(8376.36*($L$8))</f>
        <v>44813.525999999998</v>
      </c>
    </row>
    <row r="51" spans="1:17" ht="30" customHeight="1" x14ac:dyDescent="0.35">
      <c r="A51" s="6"/>
      <c r="B51" s="23" t="s">
        <v>89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5"/>
    </row>
    <row r="52" spans="1:17" ht="12.75" customHeight="1" x14ac:dyDescent="0.2">
      <c r="A52" s="7" t="s">
        <v>6</v>
      </c>
      <c r="B52" s="8" t="s">
        <v>7</v>
      </c>
      <c r="C52" s="8" t="s">
        <v>8</v>
      </c>
      <c r="D52" s="8" t="s">
        <v>9</v>
      </c>
      <c r="E52" s="8" t="s">
        <v>10</v>
      </c>
      <c r="F52" s="8" t="s">
        <v>11</v>
      </c>
      <c r="G52" s="8" t="s">
        <v>12</v>
      </c>
      <c r="H52" s="8" t="s">
        <v>13</v>
      </c>
      <c r="I52" s="8" t="s">
        <v>14</v>
      </c>
      <c r="J52" s="8" t="s">
        <v>15</v>
      </c>
      <c r="K52" s="8" t="s">
        <v>16</v>
      </c>
      <c r="L52" s="8" t="s">
        <v>17</v>
      </c>
      <c r="M52" s="8" t="s">
        <v>18</v>
      </c>
      <c r="N52" s="8" t="s">
        <v>19</v>
      </c>
      <c r="O52" s="8" t="s">
        <v>20</v>
      </c>
      <c r="P52" s="8" t="s">
        <v>21</v>
      </c>
      <c r="Q52" s="8" t="s">
        <v>22</v>
      </c>
    </row>
    <row r="53" spans="1:17" ht="12.75" customHeight="1" x14ac:dyDescent="0.2">
      <c r="A53" s="6"/>
      <c r="B53" s="10" t="s">
        <v>103</v>
      </c>
      <c r="C53" s="20" t="s">
        <v>90</v>
      </c>
      <c r="D53" s="20" t="s">
        <v>91</v>
      </c>
      <c r="E53" s="20" t="s">
        <v>24</v>
      </c>
      <c r="F53" s="20" t="s">
        <v>27</v>
      </c>
      <c r="G53" s="20" t="s">
        <v>27</v>
      </c>
      <c r="H53" s="20">
        <f>(3872.05*($L$8))</f>
        <v>20715.467499999999</v>
      </c>
      <c r="I53" s="20">
        <f>(3896.87*($L$8))</f>
        <v>20848.254499999999</v>
      </c>
      <c r="J53" s="20">
        <f>(3911.77*($L$8))</f>
        <v>20927.969499999999</v>
      </c>
      <c r="K53" s="20">
        <f>(3951.49*($L$8))</f>
        <v>21140.471499999996</v>
      </c>
      <c r="L53" s="20">
        <f>(3976.31*($L$8))</f>
        <v>21273.2585</v>
      </c>
      <c r="M53" s="20">
        <f>(4006.1*($L$8))</f>
        <v>21432.634999999998</v>
      </c>
      <c r="N53" s="20">
        <f>(4040.86*($L$8))</f>
        <v>21618.600999999999</v>
      </c>
      <c r="O53" s="20">
        <f>(4090.51*($L$8))</f>
        <v>21884.228500000001</v>
      </c>
      <c r="P53" s="20">
        <f>(4115.33*($L$8))</f>
        <v>22017.015499999998</v>
      </c>
      <c r="Q53" s="20">
        <f>(4214.63*($L$8))</f>
        <v>22548.270499999999</v>
      </c>
    </row>
    <row r="54" spans="1:17" ht="12.75" customHeight="1" x14ac:dyDescent="0.2">
      <c r="A54" s="6"/>
      <c r="B54" s="10" t="s">
        <v>104</v>
      </c>
      <c r="C54" s="20" t="s">
        <v>92</v>
      </c>
      <c r="D54" s="20" t="s">
        <v>91</v>
      </c>
      <c r="E54" s="20" t="s">
        <v>24</v>
      </c>
      <c r="F54" s="20" t="s">
        <v>27</v>
      </c>
      <c r="G54" s="20" t="s">
        <v>27</v>
      </c>
      <c r="H54" s="20">
        <f>(4460.84*($L$8))</f>
        <v>23865.493999999999</v>
      </c>
      <c r="I54" s="20">
        <f>(4489.17*($L$8))</f>
        <v>24017.059499999999</v>
      </c>
      <c r="J54" s="20">
        <f>(4506.17*($L$8))</f>
        <v>24108.0095</v>
      </c>
      <c r="K54" s="20">
        <f>(4551.51*($L$8))</f>
        <v>24350.5785</v>
      </c>
      <c r="L54" s="20">
        <f>(4579.84*($L$8))</f>
        <v>24502.144</v>
      </c>
      <c r="M54" s="20">
        <f>(4613.84*($L$8))</f>
        <v>24684.043999999998</v>
      </c>
      <c r="N54" s="20">
        <f>(4653.51*($L$8))</f>
        <v>24896.2785</v>
      </c>
      <c r="O54" s="20">
        <f>(4710.17*($L$8))</f>
        <v>25199.409499999998</v>
      </c>
      <c r="P54" s="20">
        <f>(4738.51*($L$8))</f>
        <v>25351.0285</v>
      </c>
      <c r="Q54" s="20">
        <f>(4851.84*($L$8))</f>
        <v>25957.343999999997</v>
      </c>
    </row>
    <row r="55" spans="1:17" ht="12.75" customHeight="1" x14ac:dyDescent="0.2">
      <c r="A55" s="6"/>
      <c r="B55" s="10" t="s">
        <v>105</v>
      </c>
      <c r="C55" s="20" t="s">
        <v>93</v>
      </c>
      <c r="D55" s="20" t="s">
        <v>94</v>
      </c>
      <c r="E55" s="20" t="s">
        <v>24</v>
      </c>
      <c r="F55" s="20" t="s">
        <v>27</v>
      </c>
      <c r="G55" s="20" t="s">
        <v>27</v>
      </c>
      <c r="H55" s="20">
        <f>(4667.21*($L$8))</f>
        <v>24969.573499999999</v>
      </c>
      <c r="I55" s="20">
        <f>(4699.05*($L$8))</f>
        <v>25139.9175</v>
      </c>
      <c r="J55" s="20">
        <f>(4718.16*($L$8))</f>
        <v>25242.155999999999</v>
      </c>
      <c r="K55" s="20">
        <f>(4769.1*($L$8))</f>
        <v>25514.685000000001</v>
      </c>
      <c r="L55" s="20">
        <f>(4800.95*($L$8))</f>
        <v>25685.082499999997</v>
      </c>
      <c r="M55" s="20">
        <f>(4839.16*($L$8))</f>
        <v>25889.505999999998</v>
      </c>
      <c r="N55" s="20">
        <f>(4883.74*($L$8))</f>
        <v>26128.008999999998</v>
      </c>
      <c r="O55" s="20">
        <f>(4947.42*($L$8))</f>
        <v>26468.697</v>
      </c>
      <c r="P55" s="20">
        <f>(4979.26*($L$8))</f>
        <v>26639.041000000001</v>
      </c>
      <c r="Q55" s="20">
        <f>(5106.63*($L$8))</f>
        <v>27320.470499999999</v>
      </c>
    </row>
    <row r="56" spans="1:17" ht="12.75" customHeight="1" x14ac:dyDescent="0.2">
      <c r="A56" s="6"/>
      <c r="B56" s="10" t="s">
        <v>106</v>
      </c>
      <c r="C56" s="20" t="s">
        <v>95</v>
      </c>
      <c r="D56" s="20" t="s">
        <v>94</v>
      </c>
      <c r="E56" s="20" t="s">
        <v>24</v>
      </c>
      <c r="F56" s="20" t="s">
        <v>27</v>
      </c>
      <c r="G56" s="20" t="s">
        <v>27</v>
      </c>
      <c r="H56" s="20">
        <f>(4869.19*($L$8))</f>
        <v>26050.166499999996</v>
      </c>
      <c r="I56" s="20">
        <f>(4904.54*($L$8))</f>
        <v>26239.288999999997</v>
      </c>
      <c r="J56" s="20">
        <f>(4925.75*($L$8))</f>
        <v>26352.762499999997</v>
      </c>
      <c r="K56" s="20">
        <f>(4982.31*($L$8))</f>
        <v>26655.358500000002</v>
      </c>
      <c r="L56" s="20">
        <f>(5017.67*($L$8))</f>
        <v>26844.534499999998</v>
      </c>
      <c r="M56" s="20">
        <f>(5060.09*($L$8))</f>
        <v>27071.481499999998</v>
      </c>
      <c r="N56" s="20">
        <f>(5109.58*($L$8))</f>
        <v>27336.252999999997</v>
      </c>
      <c r="O56" s="20">
        <f>(5180.28*($L$8))</f>
        <v>27714.497999999996</v>
      </c>
      <c r="P56" s="20">
        <f>(5215.63*($L$8))</f>
        <v>27903.620499999997</v>
      </c>
      <c r="Q56" s="20">
        <f>(5357.03*($L$8))</f>
        <v>28660.110499999995</v>
      </c>
    </row>
    <row r="57" spans="1:17" ht="12.75" customHeight="1" x14ac:dyDescent="0.2">
      <c r="A57" s="6"/>
      <c r="B57" s="10" t="s">
        <v>107</v>
      </c>
      <c r="C57" s="20" t="s">
        <v>96</v>
      </c>
      <c r="D57" s="20" t="s">
        <v>34</v>
      </c>
      <c r="E57" s="20" t="s">
        <v>24</v>
      </c>
      <c r="F57" s="20" t="s">
        <v>27</v>
      </c>
      <c r="G57" s="20" t="s">
        <v>27</v>
      </c>
      <c r="H57" s="20">
        <f>(5027.44*($L$8))</f>
        <v>26896.803999999996</v>
      </c>
      <c r="I57" s="20">
        <f>(5065.42*($L$8))</f>
        <v>27099.996999999999</v>
      </c>
      <c r="J57" s="20">
        <f>(5088.21*($L$8))</f>
        <v>27221.923499999997</v>
      </c>
      <c r="K57" s="20">
        <f>(5148.98*($L$8))</f>
        <v>27547.042999999994</v>
      </c>
      <c r="L57" s="20">
        <f>(5186.96*($L$8))</f>
        <v>27750.235999999997</v>
      </c>
      <c r="M57" s="20">
        <f>(5232.54*($L$8))</f>
        <v>27994.088999999996</v>
      </c>
      <c r="N57" s="20">
        <f>(5285.72*($L$8))</f>
        <v>28278.601999999999</v>
      </c>
      <c r="O57" s="20">
        <f>(5361.68*($L$8))</f>
        <v>28684.988000000001</v>
      </c>
      <c r="P57" s="20">
        <f>(5399.67*($L$8))</f>
        <v>28888.234499999999</v>
      </c>
      <c r="Q57" s="20">
        <f>(5551.6*($L$8))</f>
        <v>29701.06</v>
      </c>
    </row>
    <row r="58" spans="1:17" ht="30" customHeight="1" x14ac:dyDescent="0.35">
      <c r="A58" s="6"/>
      <c r="B58" s="23" t="s">
        <v>76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5"/>
    </row>
    <row r="59" spans="1:17" ht="12.75" customHeight="1" x14ac:dyDescent="0.2">
      <c r="A59" s="7" t="s">
        <v>6</v>
      </c>
      <c r="B59" s="8" t="s">
        <v>7</v>
      </c>
      <c r="C59" s="8" t="s">
        <v>8</v>
      </c>
      <c r="D59" s="8" t="s">
        <v>9</v>
      </c>
      <c r="E59" s="8" t="s">
        <v>10</v>
      </c>
      <c r="F59" s="8" t="s">
        <v>11</v>
      </c>
      <c r="G59" s="8" t="s">
        <v>12</v>
      </c>
      <c r="H59" s="8" t="s">
        <v>13</v>
      </c>
      <c r="I59" s="8" t="s">
        <v>14</v>
      </c>
      <c r="J59" s="8" t="s">
        <v>15</v>
      </c>
      <c r="K59" s="8" t="s">
        <v>16</v>
      </c>
      <c r="L59" s="8" t="s">
        <v>17</v>
      </c>
      <c r="M59" s="8" t="s">
        <v>18</v>
      </c>
      <c r="N59" s="8" t="s">
        <v>19</v>
      </c>
      <c r="O59" s="8" t="s">
        <v>20</v>
      </c>
      <c r="P59" s="8" t="s">
        <v>21</v>
      </c>
      <c r="Q59" s="8" t="s">
        <v>22</v>
      </c>
    </row>
    <row r="60" spans="1:17" ht="12.75" customHeight="1" x14ac:dyDescent="0.2">
      <c r="A60" s="6"/>
      <c r="B60" s="10" t="s">
        <v>77</v>
      </c>
      <c r="C60" s="20" t="s">
        <v>24</v>
      </c>
      <c r="D60" s="20" t="s">
        <v>78</v>
      </c>
      <c r="E60" s="20" t="s">
        <v>79</v>
      </c>
      <c r="F60" s="20" t="s">
        <v>27</v>
      </c>
      <c r="G60" s="20" t="s">
        <v>67</v>
      </c>
      <c r="H60" s="20">
        <f>(4867.61*($L$8))</f>
        <v>26041.713499999998</v>
      </c>
      <c r="I60" s="20">
        <f>(4915.86*($L$8))</f>
        <v>26299.850999999995</v>
      </c>
      <c r="J60" s="20">
        <f>(4944.8*($L$8))</f>
        <v>26454.68</v>
      </c>
      <c r="K60" s="20">
        <f>(5022*($L$8))</f>
        <v>26867.699999999997</v>
      </c>
      <c r="L60" s="20">
        <f>(5070.24*($L$8))</f>
        <v>27125.783999999996</v>
      </c>
      <c r="M60" s="20">
        <f>(5128.14*($L$8))</f>
        <v>27435.548999999999</v>
      </c>
      <c r="N60" s="20">
        <f>(5195.68*($L$8))</f>
        <v>27796.887999999999</v>
      </c>
      <c r="O60" s="20">
        <f>(5292.17*($L$8))</f>
        <v>28313.109499999999</v>
      </c>
      <c r="P60" s="20">
        <f>(5340.42*($L$8))</f>
        <v>28571.246999999999</v>
      </c>
      <c r="Q60" s="20">
        <f>(5533.4*($L$8))</f>
        <v>29603.689999999995</v>
      </c>
    </row>
    <row r="61" spans="1:17" ht="12.75" customHeight="1" x14ac:dyDescent="0.2">
      <c r="A61" s="6"/>
      <c r="B61" s="10" t="s">
        <v>80</v>
      </c>
      <c r="C61" s="20" t="s">
        <v>30</v>
      </c>
      <c r="D61" s="20" t="s">
        <v>78</v>
      </c>
      <c r="E61" s="20" t="s">
        <v>79</v>
      </c>
      <c r="F61" s="20" t="s">
        <v>27</v>
      </c>
      <c r="G61" s="20" t="s">
        <v>31</v>
      </c>
      <c r="H61" s="20">
        <f>(5430.99*($L$8))</f>
        <v>29055.796499999997</v>
      </c>
      <c r="I61" s="20">
        <f>(5483.62*($L$8))</f>
        <v>29337.366999999998</v>
      </c>
      <c r="J61" s="20">
        <f>(5515.2*($L$8))</f>
        <v>29506.319999999996</v>
      </c>
      <c r="K61" s="20">
        <f>(5599.41*($L$8))</f>
        <v>29956.843499999999</v>
      </c>
      <c r="L61" s="20">
        <f>(5652.04*($L$8))</f>
        <v>30238.413999999997</v>
      </c>
      <c r="M61" s="20">
        <f>(5715.2*($L$8))</f>
        <v>30576.319999999996</v>
      </c>
      <c r="N61" s="20">
        <f>(5788.88*($L$8))</f>
        <v>30970.507999999998</v>
      </c>
      <c r="O61" s="20">
        <f>(5894.14*($L$8))</f>
        <v>31533.649000000001</v>
      </c>
      <c r="P61" s="20">
        <f>(5946.77*($L$8))</f>
        <v>31815.219499999999</v>
      </c>
      <c r="Q61" s="20">
        <f>(6157.3*($L$8))</f>
        <v>32941.555</v>
      </c>
    </row>
    <row r="62" spans="1:17" ht="12.75" customHeight="1" x14ac:dyDescent="0.2">
      <c r="A62" s="6"/>
      <c r="B62" s="10" t="s">
        <v>81</v>
      </c>
      <c r="C62" s="20" t="s">
        <v>33</v>
      </c>
      <c r="D62" s="20" t="s">
        <v>82</v>
      </c>
      <c r="E62" s="20" t="s">
        <v>79</v>
      </c>
      <c r="F62" s="20" t="s">
        <v>27</v>
      </c>
      <c r="G62" s="20" t="s">
        <v>48</v>
      </c>
      <c r="H62" s="20">
        <f>(5720.14*($L$8))</f>
        <v>30602.749</v>
      </c>
      <c r="I62" s="20">
        <f>(5772.77*($L$8))</f>
        <v>30884.319500000001</v>
      </c>
      <c r="J62" s="20">
        <f>(5804.35*($L$8))</f>
        <v>31053.272499999999</v>
      </c>
      <c r="K62" s="20">
        <f>(5888.56*($L$8))</f>
        <v>31503.795999999998</v>
      </c>
      <c r="L62" s="20">
        <f>(5941.2*($L$8))</f>
        <v>31785.42</v>
      </c>
      <c r="M62" s="20">
        <f>(6004.35*($L$8))</f>
        <v>32123.272499999999</v>
      </c>
      <c r="N62" s="20">
        <f>(6078.04*($L$8))</f>
        <v>32517.513999999999</v>
      </c>
      <c r="O62" s="20">
        <f>(6183.3*($L$8))</f>
        <v>33080.654999999999</v>
      </c>
      <c r="P62" s="20">
        <f>(6235.93*($L$8))</f>
        <v>33362.2255</v>
      </c>
      <c r="Q62" s="20">
        <f>(6446.46*($L$8))</f>
        <v>34488.561000000002</v>
      </c>
    </row>
    <row r="63" spans="1:17" ht="12.75" customHeight="1" x14ac:dyDescent="0.2">
      <c r="A63" s="6"/>
      <c r="B63" s="10" t="s">
        <v>83</v>
      </c>
      <c r="C63" s="20" t="s">
        <v>37</v>
      </c>
      <c r="D63" s="20" t="s">
        <v>82</v>
      </c>
      <c r="E63" s="20" t="s">
        <v>79</v>
      </c>
      <c r="F63" s="20" t="s">
        <v>27</v>
      </c>
      <c r="G63" s="20" t="s">
        <v>35</v>
      </c>
      <c r="H63" s="20">
        <f>(5869.46*($L$8))</f>
        <v>31401.610999999997</v>
      </c>
      <c r="I63" s="20">
        <f>(5922.09*($L$8))</f>
        <v>31683.181499999999</v>
      </c>
      <c r="J63" s="20">
        <f>(5953.67*($L$8))</f>
        <v>31852.134499999996</v>
      </c>
      <c r="K63" s="20">
        <f>(6037.88*($L$8))</f>
        <v>32302.657999999999</v>
      </c>
      <c r="L63" s="20">
        <f>(6090.51*($L$8))</f>
        <v>32584.228499999997</v>
      </c>
      <c r="M63" s="20">
        <f>(6153.67*($L$8))</f>
        <v>32922.1345</v>
      </c>
      <c r="N63" s="20">
        <f>(6227.35*($L$8))</f>
        <v>33316.322500000002</v>
      </c>
      <c r="O63" s="20">
        <f>(6332.62*($L$8))</f>
        <v>33879.517</v>
      </c>
      <c r="P63" s="20">
        <f>(6385.25*($L$8))</f>
        <v>34161.087499999994</v>
      </c>
      <c r="Q63" s="20">
        <f>(6595.77*($L$8))</f>
        <v>35287.369500000001</v>
      </c>
    </row>
    <row r="64" spans="1:17" ht="12.75" customHeight="1" x14ac:dyDescent="0.2">
      <c r="A64" s="6"/>
      <c r="B64" s="10" t="s">
        <v>84</v>
      </c>
      <c r="C64" s="20" t="s">
        <v>40</v>
      </c>
      <c r="D64" s="20" t="s">
        <v>53</v>
      </c>
      <c r="E64" s="20" t="s">
        <v>79</v>
      </c>
      <c r="F64" s="20" t="s">
        <v>27</v>
      </c>
      <c r="G64" s="20" t="s">
        <v>54</v>
      </c>
      <c r="H64" s="20">
        <f>(6121.2*($L$8))</f>
        <v>32748.42</v>
      </c>
      <c r="I64" s="20">
        <f>(6178.21*($L$8))</f>
        <v>33053.423499999997</v>
      </c>
      <c r="J64" s="20">
        <f>(6212.42*($L$8))</f>
        <v>33236.447</v>
      </c>
      <c r="K64" s="20">
        <f>(6303.65*($L$8))</f>
        <v>33724.527499999997</v>
      </c>
      <c r="L64" s="20">
        <f>(6360.67*($L$8))</f>
        <v>34029.584499999997</v>
      </c>
      <c r="M64" s="20">
        <f>(6429.09*($L$8))</f>
        <v>34395.631499999996</v>
      </c>
      <c r="N64" s="20">
        <f>(6508.91*($L$8))</f>
        <v>34822.6685</v>
      </c>
      <c r="O64" s="20">
        <f>(6622.95*($L$8))</f>
        <v>35432.782499999994</v>
      </c>
      <c r="P64" s="20">
        <f>(6679.97*($L$8))</f>
        <v>35737.839500000002</v>
      </c>
      <c r="Q64" s="20">
        <f>(6908.04*($L$8))</f>
        <v>36958.013999999996</v>
      </c>
    </row>
    <row r="65" spans="1:17" ht="30" customHeight="1" x14ac:dyDescent="0.35">
      <c r="A65" s="6"/>
      <c r="B65" s="23" t="s">
        <v>139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5"/>
    </row>
    <row r="66" spans="1:17" ht="12.75" customHeight="1" x14ac:dyDescent="0.2">
      <c r="A66" s="7" t="s">
        <v>6</v>
      </c>
      <c r="B66" s="8" t="s">
        <v>7</v>
      </c>
      <c r="C66" s="8" t="s">
        <v>8</v>
      </c>
      <c r="D66" s="8" t="s">
        <v>9</v>
      </c>
      <c r="E66" s="8" t="s">
        <v>10</v>
      </c>
      <c r="F66" s="8" t="s">
        <v>11</v>
      </c>
      <c r="G66" s="8" t="s">
        <v>12</v>
      </c>
      <c r="H66" s="8" t="s">
        <v>13</v>
      </c>
      <c r="I66" s="8" t="s">
        <v>14</v>
      </c>
      <c r="J66" s="8" t="s">
        <v>15</v>
      </c>
      <c r="K66" s="8" t="s">
        <v>16</v>
      </c>
      <c r="L66" s="8" t="s">
        <v>17</v>
      </c>
      <c r="M66" s="8" t="s">
        <v>18</v>
      </c>
      <c r="N66" s="8" t="s">
        <v>19</v>
      </c>
      <c r="O66" s="8" t="s">
        <v>20</v>
      </c>
      <c r="P66" s="8" t="s">
        <v>21</v>
      </c>
      <c r="Q66" s="8" t="s">
        <v>22</v>
      </c>
    </row>
    <row r="67" spans="1:17" ht="12.75" customHeight="1" x14ac:dyDescent="0.2">
      <c r="A67" s="6"/>
      <c r="B67" s="10" t="s">
        <v>118</v>
      </c>
      <c r="C67" s="20" t="s">
        <v>24</v>
      </c>
      <c r="D67" s="20" t="s">
        <v>78</v>
      </c>
      <c r="E67" s="20" t="s">
        <v>79</v>
      </c>
      <c r="F67" s="20" t="s">
        <v>27</v>
      </c>
      <c r="G67" s="20" t="s">
        <v>67</v>
      </c>
      <c r="H67" s="20">
        <f>(5306.21*($L$8))</f>
        <v>28388.2235</v>
      </c>
      <c r="I67" s="20">
        <f>(5354.45*($L$8))</f>
        <v>28646.307499999995</v>
      </c>
      <c r="J67" s="20">
        <f>(5383.4*($L$8))</f>
        <v>28801.189999999995</v>
      </c>
      <c r="K67" s="20">
        <f>(5460.59*($L$8))</f>
        <v>29214.156499999997</v>
      </c>
      <c r="L67" s="20">
        <f>(5508.84*($L$8))</f>
        <v>29472.293999999998</v>
      </c>
      <c r="M67" s="20">
        <f>(5566.73*($L$8))</f>
        <v>29782.005499999996</v>
      </c>
      <c r="N67" s="20">
        <f>(5634.28*($L$8))</f>
        <v>30143.397999999997</v>
      </c>
      <c r="O67" s="20">
        <f>(5730.77*($L$8))</f>
        <v>30659.619500000001</v>
      </c>
      <c r="P67" s="20">
        <f>(5779.01*($L$8))</f>
        <v>30917.7035</v>
      </c>
      <c r="Q67" s="20">
        <f>(5972*($L$8))</f>
        <v>31950.199999999997</v>
      </c>
    </row>
    <row r="68" spans="1:17" ht="12.75" customHeight="1" x14ac:dyDescent="0.2">
      <c r="A68" s="6"/>
      <c r="B68" s="10" t="s">
        <v>119</v>
      </c>
      <c r="C68" s="20" t="s">
        <v>30</v>
      </c>
      <c r="D68" s="20" t="s">
        <v>78</v>
      </c>
      <c r="E68" s="20" t="s">
        <v>79</v>
      </c>
      <c r="F68" s="20" t="s">
        <v>27</v>
      </c>
      <c r="G68" s="20" t="s">
        <v>31</v>
      </c>
      <c r="H68" s="20">
        <f>(5869.58*($L$8))</f>
        <v>31402.252999999997</v>
      </c>
      <c r="I68" s="20">
        <f>(5922.21*($L$8))</f>
        <v>31683.823499999999</v>
      </c>
      <c r="J68" s="20">
        <f>(5953.79*($L$8))</f>
        <v>31852.776499999996</v>
      </c>
      <c r="K68" s="20">
        <f>(6038*($L$8))</f>
        <v>32303.3</v>
      </c>
      <c r="L68" s="20">
        <f>(6090.63*($L$8))</f>
        <v>32584.870499999997</v>
      </c>
      <c r="M68" s="20">
        <f>(6153.79*($L$8))</f>
        <v>32922.7765</v>
      </c>
      <c r="N68" s="20">
        <f>(6227.48*($L$8))</f>
        <v>33317.017999999996</v>
      </c>
      <c r="O68" s="20">
        <f>(6332.74*($L$8))</f>
        <v>33880.159</v>
      </c>
      <c r="P68" s="20">
        <f>(6385.37*($L$8))</f>
        <v>34161.729499999994</v>
      </c>
      <c r="Q68" s="20">
        <f>(6595.9*($L$8))</f>
        <v>35288.064999999995</v>
      </c>
    </row>
    <row r="69" spans="1:17" ht="12.75" customHeight="1" x14ac:dyDescent="0.2">
      <c r="A69" s="6"/>
      <c r="B69" s="10" t="s">
        <v>120</v>
      </c>
      <c r="C69" s="20" t="s">
        <v>33</v>
      </c>
      <c r="D69" s="20" t="s">
        <v>82</v>
      </c>
      <c r="E69" s="20" t="s">
        <v>79</v>
      </c>
      <c r="F69" s="20" t="s">
        <v>27</v>
      </c>
      <c r="G69" s="20" t="s">
        <v>48</v>
      </c>
      <c r="H69" s="20">
        <f>(6158.74*($L$8))</f>
        <v>32949.258999999998</v>
      </c>
      <c r="I69" s="20">
        <f>(6211.37*($L$8))</f>
        <v>33230.8295</v>
      </c>
      <c r="J69" s="20">
        <f>(6242.95*($L$8))</f>
        <v>33399.782499999994</v>
      </c>
      <c r="K69" s="20">
        <f>(6327.16*($L$8))</f>
        <v>33850.305999999997</v>
      </c>
      <c r="L69" s="20">
        <f>(6379.79*($L$8))</f>
        <v>34131.876499999998</v>
      </c>
      <c r="M69" s="20">
        <f>(6442.95*($L$8))</f>
        <v>34469.782499999994</v>
      </c>
      <c r="N69" s="20">
        <f>(6516.63*($L$8))</f>
        <v>34863.970499999996</v>
      </c>
      <c r="O69" s="20">
        <f>(6621.9*($L$8))</f>
        <v>35427.164999999994</v>
      </c>
      <c r="P69" s="20">
        <f>(6674.53*($L$8))</f>
        <v>35708.735499999995</v>
      </c>
      <c r="Q69" s="20">
        <f>(6885.06*($L$8))</f>
        <v>36835.070999999996</v>
      </c>
    </row>
    <row r="70" spans="1:17" ht="12.75" customHeight="1" x14ac:dyDescent="0.2">
      <c r="A70" s="6"/>
      <c r="B70" s="10" t="s">
        <v>121</v>
      </c>
      <c r="C70" s="20" t="s">
        <v>37</v>
      </c>
      <c r="D70" s="20" t="s">
        <v>82</v>
      </c>
      <c r="E70" s="20" t="s">
        <v>79</v>
      </c>
      <c r="F70" s="20" t="s">
        <v>27</v>
      </c>
      <c r="G70" s="20" t="s">
        <v>35</v>
      </c>
      <c r="H70" s="20">
        <f>(6308.06*($L$8))</f>
        <v>33748.120999999999</v>
      </c>
      <c r="I70" s="20">
        <f>(6360.69*($L$8))</f>
        <v>34029.691499999994</v>
      </c>
      <c r="J70" s="20">
        <f>(6392.27*($L$8))</f>
        <v>34198.644500000002</v>
      </c>
      <c r="K70" s="20">
        <f>(6476.48*($L$8))</f>
        <v>34649.167999999998</v>
      </c>
      <c r="L70" s="20">
        <f>(6529.11*($L$8))</f>
        <v>34930.738499999999</v>
      </c>
      <c r="M70" s="20">
        <f>(6592.27*($L$8))</f>
        <v>35268.644500000002</v>
      </c>
      <c r="N70" s="20">
        <f>(6665.95*($L$8))</f>
        <v>35662.832499999997</v>
      </c>
      <c r="O70" s="20">
        <f>(6771.21*($L$8))</f>
        <v>36225.9735</v>
      </c>
      <c r="P70" s="20">
        <f>(6823.84*($L$8))</f>
        <v>36507.544000000002</v>
      </c>
      <c r="Q70" s="20">
        <f>(7034.37*($L$8))</f>
        <v>37633.879499999995</v>
      </c>
    </row>
    <row r="71" spans="1:17" ht="12.75" customHeight="1" x14ac:dyDescent="0.2">
      <c r="A71" s="6"/>
      <c r="B71" s="10" t="s">
        <v>122</v>
      </c>
      <c r="C71" s="20" t="s">
        <v>40</v>
      </c>
      <c r="D71" s="20" t="s">
        <v>53</v>
      </c>
      <c r="E71" s="20" t="s">
        <v>79</v>
      </c>
      <c r="F71" s="20" t="s">
        <v>27</v>
      </c>
      <c r="G71" s="20" t="s">
        <v>54</v>
      </c>
      <c r="H71" s="20">
        <f>(6472.07*($L$8))</f>
        <v>34625.574499999995</v>
      </c>
      <c r="I71" s="20">
        <f>(6529.09*($L$8))</f>
        <v>34930.631499999996</v>
      </c>
      <c r="J71" s="20">
        <f>(6563.3*($L$8))</f>
        <v>35113.654999999999</v>
      </c>
      <c r="K71" s="20">
        <f>(6654.53*($L$8))</f>
        <v>35601.735499999995</v>
      </c>
      <c r="L71" s="20">
        <f>(6711.55*($L$8))</f>
        <v>35906.792499999996</v>
      </c>
      <c r="M71" s="20">
        <f>(6779.97*($L$8))</f>
        <v>36272.839500000002</v>
      </c>
      <c r="N71" s="20">
        <f>(6859.79*($L$8))</f>
        <v>36699.876499999998</v>
      </c>
      <c r="O71" s="20">
        <f>(6973.83*($L$8))</f>
        <v>37309.9905</v>
      </c>
      <c r="P71" s="20">
        <f>(7030.84*($L$8))</f>
        <v>37614.993999999999</v>
      </c>
      <c r="Q71" s="20">
        <f>(7258.91*($L$8))</f>
        <v>38835.1685</v>
      </c>
    </row>
    <row r="72" spans="1:17" ht="30" customHeight="1" x14ac:dyDescent="0.35">
      <c r="A72" s="6"/>
      <c r="B72" s="23" t="s">
        <v>97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5"/>
    </row>
    <row r="73" spans="1:17" ht="12.75" customHeight="1" x14ac:dyDescent="0.2">
      <c r="A73" s="7" t="s">
        <v>6</v>
      </c>
      <c r="B73" s="8" t="s">
        <v>7</v>
      </c>
      <c r="C73" s="8" t="s">
        <v>8</v>
      </c>
      <c r="D73" s="8" t="s">
        <v>9</v>
      </c>
      <c r="E73" s="8" t="s">
        <v>10</v>
      </c>
      <c r="F73" s="8" t="s">
        <v>11</v>
      </c>
      <c r="G73" s="8" t="s">
        <v>12</v>
      </c>
      <c r="H73" s="8" t="s">
        <v>13</v>
      </c>
      <c r="I73" s="8" t="s">
        <v>14</v>
      </c>
      <c r="J73" s="8" t="s">
        <v>15</v>
      </c>
      <c r="K73" s="8" t="s">
        <v>16</v>
      </c>
      <c r="L73" s="8" t="s">
        <v>17</v>
      </c>
      <c r="M73" s="8" t="s">
        <v>18</v>
      </c>
      <c r="N73" s="8" t="s">
        <v>19</v>
      </c>
      <c r="O73" s="8" t="s">
        <v>20</v>
      </c>
      <c r="P73" s="8" t="s">
        <v>21</v>
      </c>
      <c r="Q73" s="8" t="s">
        <v>22</v>
      </c>
    </row>
    <row r="74" spans="1:17" ht="12.75" customHeight="1" x14ac:dyDescent="0.2">
      <c r="A74" s="6"/>
      <c r="B74" s="10" t="s">
        <v>108</v>
      </c>
      <c r="C74" s="20" t="s">
        <v>90</v>
      </c>
      <c r="D74" s="20" t="s">
        <v>91</v>
      </c>
      <c r="E74" s="20" t="s">
        <v>24</v>
      </c>
      <c r="F74" s="20" t="s">
        <v>27</v>
      </c>
      <c r="G74" s="20" t="s">
        <v>28</v>
      </c>
      <c r="H74" s="20">
        <f>(3872.05*($L$8))</f>
        <v>20715.467499999999</v>
      </c>
      <c r="I74" s="20">
        <f>(3896.87*($L$8))</f>
        <v>20848.254499999999</v>
      </c>
      <c r="J74" s="20">
        <f>(3911.77*($L$8))</f>
        <v>20927.969499999999</v>
      </c>
      <c r="K74" s="20">
        <f>(3951.49*($L$8))</f>
        <v>21140.471499999996</v>
      </c>
      <c r="L74" s="20">
        <f>(3976.31*($L$8))</f>
        <v>21273.2585</v>
      </c>
      <c r="M74" s="20">
        <f>(4006.1*($L$8))</f>
        <v>21432.634999999998</v>
      </c>
      <c r="N74" s="20">
        <f>(4040.86*($L$8))</f>
        <v>21618.600999999999</v>
      </c>
      <c r="O74" s="20">
        <f>(4090.51*($L$8))</f>
        <v>21884.228500000001</v>
      </c>
      <c r="P74" s="20">
        <f>(4115.33*($L$8))</f>
        <v>22017.015499999998</v>
      </c>
      <c r="Q74" s="20">
        <f>(4214.63*($L$8))</f>
        <v>22548.270499999999</v>
      </c>
    </row>
    <row r="75" spans="1:17" ht="12.75" customHeight="1" x14ac:dyDescent="0.2">
      <c r="A75" s="6"/>
      <c r="B75" s="10" t="s">
        <v>109</v>
      </c>
      <c r="C75" s="20" t="s">
        <v>92</v>
      </c>
      <c r="D75" s="20" t="s">
        <v>91</v>
      </c>
      <c r="E75" s="20" t="s">
        <v>24</v>
      </c>
      <c r="F75" s="20" t="s">
        <v>27</v>
      </c>
      <c r="G75" s="20" t="s">
        <v>28</v>
      </c>
      <c r="H75" s="20">
        <f>(4460.84*($L$8))</f>
        <v>23865.493999999999</v>
      </c>
      <c r="I75" s="20">
        <f>(4489.17*($L$8))</f>
        <v>24017.059499999999</v>
      </c>
      <c r="J75" s="20">
        <f>(4506.17*($L$8))</f>
        <v>24108.0095</v>
      </c>
      <c r="K75" s="20">
        <f>(4551.51*($L$8))</f>
        <v>24350.5785</v>
      </c>
      <c r="L75" s="20">
        <f>(4579.84*($L$8))</f>
        <v>24502.144</v>
      </c>
      <c r="M75" s="20">
        <f>(4613.84*($L$8))</f>
        <v>24684.043999999998</v>
      </c>
      <c r="N75" s="20">
        <f>(4653.51*($L$8))</f>
        <v>24896.2785</v>
      </c>
      <c r="O75" s="20">
        <f>(4710.17*($L$8))</f>
        <v>25199.409499999998</v>
      </c>
      <c r="P75" s="20">
        <f>(4738.51*($L$8))</f>
        <v>25351.0285</v>
      </c>
      <c r="Q75" s="20">
        <f>(4851.84*($L$8))</f>
        <v>25957.343999999997</v>
      </c>
    </row>
    <row r="76" spans="1:17" ht="12.75" customHeight="1" x14ac:dyDescent="0.2">
      <c r="A76" s="6"/>
      <c r="B76" s="10" t="s">
        <v>110</v>
      </c>
      <c r="C76" s="20" t="s">
        <v>93</v>
      </c>
      <c r="D76" s="20" t="s">
        <v>94</v>
      </c>
      <c r="E76" s="20" t="s">
        <v>24</v>
      </c>
      <c r="F76" s="20" t="s">
        <v>27</v>
      </c>
      <c r="G76" s="20" t="s">
        <v>67</v>
      </c>
      <c r="H76" s="20">
        <f>(4667.21*($L$8))</f>
        <v>24969.573499999999</v>
      </c>
      <c r="I76" s="20">
        <f>(4699.05*($L$8))</f>
        <v>25139.9175</v>
      </c>
      <c r="J76" s="20">
        <f>(4718.16*($L$8))</f>
        <v>25242.155999999999</v>
      </c>
      <c r="K76" s="20">
        <f>(4769.1*($L$8))</f>
        <v>25514.685000000001</v>
      </c>
      <c r="L76" s="20">
        <f>(4800.95*($L$8))</f>
        <v>25685.082499999997</v>
      </c>
      <c r="M76" s="20">
        <f>(4839.16*($L$8))</f>
        <v>25889.505999999998</v>
      </c>
      <c r="N76" s="20">
        <f>(4883.74*($L$8))</f>
        <v>26128.008999999998</v>
      </c>
      <c r="O76" s="20">
        <f>(4947.42*($L$8))</f>
        <v>26468.697</v>
      </c>
      <c r="P76" s="20">
        <f>(4979.26*($L$8))</f>
        <v>26639.041000000001</v>
      </c>
      <c r="Q76" s="20">
        <f>(5106.63*($L$8))</f>
        <v>27320.470499999999</v>
      </c>
    </row>
    <row r="77" spans="1:17" ht="12.75" customHeight="1" x14ac:dyDescent="0.2">
      <c r="A77" s="6"/>
      <c r="B77" s="10" t="s">
        <v>111</v>
      </c>
      <c r="C77" s="20" t="s">
        <v>95</v>
      </c>
      <c r="D77" s="20" t="s">
        <v>94</v>
      </c>
      <c r="E77" s="20" t="s">
        <v>24</v>
      </c>
      <c r="F77" s="20" t="s">
        <v>27</v>
      </c>
      <c r="G77" s="20" t="s">
        <v>67</v>
      </c>
      <c r="H77" s="20">
        <f>(4869.19*($L$8))</f>
        <v>26050.166499999996</v>
      </c>
      <c r="I77" s="20">
        <f>(4904.54*($L$8))</f>
        <v>26239.288999999997</v>
      </c>
      <c r="J77" s="20">
        <f>(4925.75*($L$8))</f>
        <v>26352.762499999997</v>
      </c>
      <c r="K77" s="20">
        <f>(4982.31*($L$8))</f>
        <v>26655.358500000002</v>
      </c>
      <c r="L77" s="20">
        <f>(5017.67*($L$8))</f>
        <v>26844.534499999998</v>
      </c>
      <c r="M77" s="20">
        <f>(5060.09*($L$8))</f>
        <v>27071.481499999998</v>
      </c>
      <c r="N77" s="20">
        <f>(5109.58*($L$8))</f>
        <v>27336.252999999997</v>
      </c>
      <c r="O77" s="20">
        <f>(5180.28*($L$8))</f>
        <v>27714.497999999996</v>
      </c>
      <c r="P77" s="20">
        <f>(5215.63*($L$8))</f>
        <v>27903.620499999997</v>
      </c>
      <c r="Q77" s="20">
        <f>(5357.03*($L$8))</f>
        <v>28660.110499999995</v>
      </c>
    </row>
    <row r="78" spans="1:17" ht="12.75" customHeight="1" x14ac:dyDescent="0.2">
      <c r="A78" s="6"/>
      <c r="B78" s="10" t="s">
        <v>112</v>
      </c>
      <c r="C78" s="20" t="s">
        <v>96</v>
      </c>
      <c r="D78" s="20" t="s">
        <v>34</v>
      </c>
      <c r="E78" s="20" t="s">
        <v>24</v>
      </c>
      <c r="F78" s="20" t="s">
        <v>27</v>
      </c>
      <c r="G78" s="20" t="s">
        <v>31</v>
      </c>
      <c r="H78" s="20">
        <f>(5027.44*($L$8))</f>
        <v>26896.803999999996</v>
      </c>
      <c r="I78" s="20">
        <f>(5065.42*($L$8))</f>
        <v>27099.996999999999</v>
      </c>
      <c r="J78" s="20">
        <f>(5088.21*($L$8))</f>
        <v>27221.923499999997</v>
      </c>
      <c r="K78" s="20">
        <f>(5148.98*($L$8))</f>
        <v>27547.042999999994</v>
      </c>
      <c r="L78" s="20">
        <f>(5186.96*($L$8))</f>
        <v>27750.235999999997</v>
      </c>
      <c r="M78" s="20">
        <f>(5232.54*($L$8))</f>
        <v>27994.088999999996</v>
      </c>
      <c r="N78" s="20">
        <f>(5285.72*($L$8))</f>
        <v>28278.601999999999</v>
      </c>
      <c r="O78" s="20">
        <f>(5361.68*($L$8))</f>
        <v>28684.988000000001</v>
      </c>
      <c r="P78" s="20">
        <f>(5399.67*($L$8))</f>
        <v>28888.234499999999</v>
      </c>
      <c r="Q78" s="20">
        <f>(5551.6*($L$8))</f>
        <v>29701.06</v>
      </c>
    </row>
    <row r="79" spans="1:17" ht="30" customHeight="1" x14ac:dyDescent="0.35">
      <c r="A79" s="6"/>
      <c r="B79" s="23" t="s">
        <v>1419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5"/>
    </row>
    <row r="80" spans="1:17" ht="12.75" customHeight="1" x14ac:dyDescent="0.2">
      <c r="A80" s="7" t="s">
        <v>6</v>
      </c>
      <c r="B80" s="8" t="s">
        <v>7</v>
      </c>
      <c r="C80" s="8" t="s">
        <v>8</v>
      </c>
      <c r="D80" s="8" t="s">
        <v>9</v>
      </c>
      <c r="E80" s="8" t="s">
        <v>10</v>
      </c>
      <c r="F80" s="8" t="s">
        <v>11</v>
      </c>
      <c r="G80" s="8" t="s">
        <v>12</v>
      </c>
      <c r="H80" s="8" t="s">
        <v>13</v>
      </c>
      <c r="I80" s="8" t="s">
        <v>14</v>
      </c>
      <c r="J80" s="8" t="s">
        <v>15</v>
      </c>
      <c r="K80" s="8" t="s">
        <v>16</v>
      </c>
      <c r="L80" s="8" t="s">
        <v>17</v>
      </c>
      <c r="M80" s="8" t="s">
        <v>18</v>
      </c>
      <c r="N80" s="8" t="s">
        <v>19</v>
      </c>
      <c r="O80" s="8" t="s">
        <v>20</v>
      </c>
      <c r="P80" s="8" t="s">
        <v>21</v>
      </c>
      <c r="Q80" s="8" t="s">
        <v>22</v>
      </c>
    </row>
    <row r="81" spans="1:17" ht="12.75" customHeight="1" x14ac:dyDescent="0.2">
      <c r="A81" s="6"/>
      <c r="B81" s="10" t="s">
        <v>113</v>
      </c>
      <c r="C81" s="20" t="s">
        <v>79</v>
      </c>
      <c r="D81" s="20" t="s">
        <v>98</v>
      </c>
      <c r="E81" s="20" t="s">
        <v>99</v>
      </c>
      <c r="F81" s="20" t="s">
        <v>27</v>
      </c>
      <c r="G81" s="20" t="s">
        <v>28</v>
      </c>
      <c r="H81" s="20">
        <f>(5150*($L$8))</f>
        <v>27552.499999999996</v>
      </c>
      <c r="I81" s="20">
        <f>(5185.09*($L$8))</f>
        <v>27740.231499999998</v>
      </c>
      <c r="J81" s="20">
        <f>(5206.14*($L$8))</f>
        <v>27852.848999999998</v>
      </c>
      <c r="K81" s="20">
        <f>(5262.28*($L$8))</f>
        <v>28153.197999999997</v>
      </c>
      <c r="L81" s="20">
        <f>(5297.37*($L$8))</f>
        <v>28340.929499999998</v>
      </c>
      <c r="M81" s="20">
        <f>(5339.47*($L$8))</f>
        <v>28566.164499999999</v>
      </c>
      <c r="N81" s="20">
        <f>(5388.6*($L$8))</f>
        <v>28829.01</v>
      </c>
      <c r="O81" s="20">
        <f>(5458.77*($L$8))</f>
        <v>29204.4195</v>
      </c>
      <c r="P81" s="20">
        <f>(5493.86*($L$8))</f>
        <v>29392.150999999998</v>
      </c>
      <c r="Q81" s="20">
        <f>(5634.21*($L$8))</f>
        <v>30143.023499999999</v>
      </c>
    </row>
    <row r="82" spans="1:17" ht="12.75" customHeight="1" x14ac:dyDescent="0.2">
      <c r="A82" s="6"/>
      <c r="B82" s="10" t="s">
        <v>114</v>
      </c>
      <c r="C82" s="20" t="s">
        <v>85</v>
      </c>
      <c r="D82" s="20" t="s">
        <v>98</v>
      </c>
      <c r="E82" s="20" t="s">
        <v>99</v>
      </c>
      <c r="F82" s="20" t="s">
        <v>27</v>
      </c>
      <c r="G82" s="20" t="s">
        <v>31</v>
      </c>
      <c r="H82" s="20">
        <f>(5479.42*($L$8))</f>
        <v>29314.896999999997</v>
      </c>
      <c r="I82" s="20">
        <f>(5523.28*($L$8))</f>
        <v>29549.547999999995</v>
      </c>
      <c r="J82" s="20">
        <f>(5549.6*($L$8))</f>
        <v>29690.36</v>
      </c>
      <c r="K82" s="20">
        <f>(5619.77*($L$8))</f>
        <v>30065.769500000002</v>
      </c>
      <c r="L82" s="20">
        <f>(5663.63*($L$8))</f>
        <v>30300.4205</v>
      </c>
      <c r="M82" s="20">
        <f>(5716.26*($L$8))</f>
        <v>30581.990999999998</v>
      </c>
      <c r="N82" s="20">
        <f>(5777.67*($L$8))</f>
        <v>30910.534499999998</v>
      </c>
      <c r="O82" s="20">
        <f>(5865.39*($L$8))</f>
        <v>31379.836500000001</v>
      </c>
      <c r="P82" s="20">
        <f>(5909.25*($L$8))</f>
        <v>31614.487499999999</v>
      </c>
      <c r="Q82" s="20">
        <f>(6084.68*($L$8))</f>
        <v>32553.038</v>
      </c>
    </row>
    <row r="83" spans="1:17" ht="12.75" customHeight="1" x14ac:dyDescent="0.2">
      <c r="A83" s="6"/>
      <c r="B83" s="10" t="s">
        <v>115</v>
      </c>
      <c r="C83" s="20" t="s">
        <v>86</v>
      </c>
      <c r="D83" s="20" t="s">
        <v>100</v>
      </c>
      <c r="E83" s="20" t="s">
        <v>99</v>
      </c>
      <c r="F83" s="20" t="s">
        <v>27</v>
      </c>
      <c r="G83" s="20" t="s">
        <v>35</v>
      </c>
      <c r="H83" s="20">
        <f>(5654.93*($L$8))</f>
        <v>30253.875499999998</v>
      </c>
      <c r="I83" s="20">
        <f>(5703.18*($L$8))</f>
        <v>30512.012999999999</v>
      </c>
      <c r="J83" s="20">
        <f>(5732.12*($L$8))</f>
        <v>30666.841999999997</v>
      </c>
      <c r="K83" s="20">
        <f>(5809.32*($L$8))</f>
        <v>31079.861999999997</v>
      </c>
      <c r="L83" s="20">
        <f>(5857.56*($L$8))</f>
        <v>31337.946</v>
      </c>
      <c r="M83" s="20">
        <f>(5915.46*($L$8))</f>
        <v>31647.710999999999</v>
      </c>
      <c r="N83" s="20">
        <f>(5983*($L$8))</f>
        <v>32009.05</v>
      </c>
      <c r="O83" s="20">
        <f>(6079.49*($L$8))</f>
        <v>32525.271499999995</v>
      </c>
      <c r="P83" s="20">
        <f>(6127.74*($L$8))</f>
        <v>32783.409</v>
      </c>
      <c r="Q83" s="20">
        <f>(6320.72*($L$8))</f>
        <v>33815.851999999999</v>
      </c>
    </row>
    <row r="84" spans="1:17" ht="12.75" customHeight="1" x14ac:dyDescent="0.2">
      <c r="A84" s="6"/>
      <c r="B84" s="10" t="s">
        <v>116</v>
      </c>
      <c r="C84" s="20" t="s">
        <v>87</v>
      </c>
      <c r="D84" s="20" t="s">
        <v>100</v>
      </c>
      <c r="E84" s="20" t="s">
        <v>99</v>
      </c>
      <c r="F84" s="20" t="s">
        <v>27</v>
      </c>
      <c r="G84" s="20" t="s">
        <v>38</v>
      </c>
      <c r="H84" s="20">
        <f>(5918.11*($L$8))</f>
        <v>31661.888499999997</v>
      </c>
      <c r="I84" s="20">
        <f>(5970.74*($L$8))</f>
        <v>31943.458999999995</v>
      </c>
      <c r="J84" s="20">
        <f>(6002.32*($L$8))</f>
        <v>32112.411999999997</v>
      </c>
      <c r="K84" s="20">
        <f>(6086.53*($L$8))</f>
        <v>32562.935499999996</v>
      </c>
      <c r="L84" s="20">
        <f>(6139.16*($L$8))</f>
        <v>32844.505999999994</v>
      </c>
      <c r="M84" s="20">
        <f>(6202.32*($L$8))</f>
        <v>33182.411999999997</v>
      </c>
      <c r="N84" s="20">
        <f>(6276*($L$8))</f>
        <v>33576.6</v>
      </c>
      <c r="O84" s="20">
        <f>(6381.26*($L$8))</f>
        <v>34139.741000000002</v>
      </c>
      <c r="P84" s="20">
        <f>(6433.89*($L$8))</f>
        <v>34421.311499999996</v>
      </c>
      <c r="Q84" s="20">
        <f>(6644.42*($L$8))</f>
        <v>35547.646999999997</v>
      </c>
    </row>
    <row r="85" spans="1:17" ht="12.75" customHeight="1" x14ac:dyDescent="0.2">
      <c r="A85" s="6"/>
      <c r="B85" s="10" t="s">
        <v>117</v>
      </c>
      <c r="C85" s="20" t="s">
        <v>88</v>
      </c>
      <c r="D85" s="20" t="s">
        <v>101</v>
      </c>
      <c r="E85" s="20" t="s">
        <v>99</v>
      </c>
      <c r="F85" s="20" t="s">
        <v>27</v>
      </c>
      <c r="G85" s="20" t="s">
        <v>42</v>
      </c>
      <c r="H85" s="20">
        <f>(5941.07*($L$8))</f>
        <v>31784.724499999997</v>
      </c>
      <c r="I85" s="20">
        <f>(5998.09*($L$8))</f>
        <v>32089.781499999997</v>
      </c>
      <c r="J85" s="20">
        <f>(6032.3*($L$8))</f>
        <v>32272.805</v>
      </c>
      <c r="K85" s="20">
        <f>(6123.53*($L$8))</f>
        <v>32760.885499999997</v>
      </c>
      <c r="L85" s="20">
        <f>(6180.54*($L$8))</f>
        <v>33065.888999999996</v>
      </c>
      <c r="M85" s="20">
        <f>(6248.96*($L$8))</f>
        <v>33431.936000000002</v>
      </c>
      <c r="N85" s="20">
        <f>(6328.79*($L$8))</f>
        <v>33859.0265</v>
      </c>
      <c r="O85" s="20">
        <f>(6442.82*($L$8))</f>
        <v>34469.087</v>
      </c>
      <c r="P85" s="20">
        <f>(6499.84*($L$8))</f>
        <v>34774.144</v>
      </c>
      <c r="Q85" s="20">
        <f>(6727.91*($L$8))</f>
        <v>35994.318499999994</v>
      </c>
    </row>
    <row r="86" spans="1:17" ht="30" customHeight="1" x14ac:dyDescent="0.35">
      <c r="A86" s="6"/>
      <c r="B86" s="23" t="s">
        <v>102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5"/>
    </row>
    <row r="87" spans="1:17" ht="12.75" customHeight="1" x14ac:dyDescent="0.2">
      <c r="A87" s="7" t="s">
        <v>6</v>
      </c>
      <c r="B87" s="8" t="s">
        <v>7</v>
      </c>
      <c r="C87" s="8" t="s">
        <v>8</v>
      </c>
      <c r="D87" s="8" t="s">
        <v>9</v>
      </c>
      <c r="E87" s="8" t="s">
        <v>10</v>
      </c>
      <c r="F87" s="8" t="s">
        <v>11</v>
      </c>
      <c r="G87" s="8" t="s">
        <v>12</v>
      </c>
      <c r="H87" s="8" t="s">
        <v>13</v>
      </c>
      <c r="I87" s="8" t="s">
        <v>14</v>
      </c>
      <c r="J87" s="8" t="s">
        <v>15</v>
      </c>
      <c r="K87" s="8" t="s">
        <v>16</v>
      </c>
      <c r="L87" s="8" t="s">
        <v>17</v>
      </c>
      <c r="M87" s="8" t="s">
        <v>18</v>
      </c>
      <c r="N87" s="8" t="s">
        <v>19</v>
      </c>
      <c r="O87" s="8" t="s">
        <v>20</v>
      </c>
      <c r="P87" s="8" t="s">
        <v>21</v>
      </c>
      <c r="Q87" s="8" t="s">
        <v>22</v>
      </c>
    </row>
    <row r="88" spans="1:17" ht="12.75" customHeight="1" x14ac:dyDescent="0.2">
      <c r="A88" s="6"/>
      <c r="B88" s="10" t="s">
        <v>1420</v>
      </c>
      <c r="C88" s="20" t="s">
        <v>90</v>
      </c>
      <c r="D88" s="15">
        <v>2.13</v>
      </c>
      <c r="E88" s="15">
        <v>0.95</v>
      </c>
      <c r="F88" s="20" t="s">
        <v>27</v>
      </c>
      <c r="G88" s="20" t="s">
        <v>28</v>
      </c>
      <c r="H88" s="20">
        <f>(3872.05*($L$8))</f>
        <v>20715.467499999999</v>
      </c>
      <c r="I88" s="20">
        <f>(3896.87*($L$8))</f>
        <v>20848.254499999999</v>
      </c>
      <c r="J88" s="20">
        <f>(3911.77*($L$8))</f>
        <v>20927.969499999999</v>
      </c>
      <c r="K88" s="20">
        <f>(3951.49*($L$8))</f>
        <v>21140.471499999996</v>
      </c>
      <c r="L88" s="20">
        <f>(3976.31*($L$8))</f>
        <v>21273.2585</v>
      </c>
      <c r="M88" s="20">
        <f>(4006.1*($L$8))</f>
        <v>21432.634999999998</v>
      </c>
      <c r="N88" s="20">
        <f>(4040.86*($L$8))</f>
        <v>21618.600999999999</v>
      </c>
      <c r="O88" s="20">
        <f>(4090.51*($L$8))</f>
        <v>21884.228500000001</v>
      </c>
      <c r="P88" s="20">
        <f>(4115.33*($L$8))</f>
        <v>22017.015499999998</v>
      </c>
      <c r="Q88" s="20">
        <f>(4214.63*($L$8))</f>
        <v>22548.270499999999</v>
      </c>
    </row>
    <row r="89" spans="1:17" ht="12.75" customHeight="1" x14ac:dyDescent="0.2">
      <c r="A89" s="6"/>
      <c r="B89" s="10" t="s">
        <v>1421</v>
      </c>
      <c r="C89" s="20" t="s">
        <v>92</v>
      </c>
      <c r="D89" s="15">
        <v>2.13</v>
      </c>
      <c r="E89" s="15">
        <v>0.95</v>
      </c>
      <c r="F89" s="20" t="s">
        <v>27</v>
      </c>
      <c r="G89" s="20" t="s">
        <v>28</v>
      </c>
      <c r="H89" s="20">
        <f>(4460.84*($L$8))</f>
        <v>23865.493999999999</v>
      </c>
      <c r="I89" s="20">
        <f>(4489.17*($L$8))</f>
        <v>24017.059499999999</v>
      </c>
      <c r="J89" s="20">
        <f>(4506.17*($L$8))</f>
        <v>24108.0095</v>
      </c>
      <c r="K89" s="20">
        <f>(4551.51*($L$8))</f>
        <v>24350.5785</v>
      </c>
      <c r="L89" s="20">
        <f>(4579.84*($L$8))</f>
        <v>24502.144</v>
      </c>
      <c r="M89" s="20">
        <f>(4613.84*($L$8))</f>
        <v>24684.043999999998</v>
      </c>
      <c r="N89" s="20">
        <f>(4653.51*($L$8))</f>
        <v>24896.2785</v>
      </c>
      <c r="O89" s="20">
        <f>(4710.17*($L$8))</f>
        <v>25199.409499999998</v>
      </c>
      <c r="P89" s="20">
        <f>(4738.51*($L$8))</f>
        <v>25351.0285</v>
      </c>
      <c r="Q89" s="20">
        <f>(4851.84*($L$8))</f>
        <v>25957.343999999997</v>
      </c>
    </row>
    <row r="90" spans="1:17" ht="12.75" customHeight="1" x14ac:dyDescent="0.2">
      <c r="A90" s="6"/>
      <c r="B90" s="10" t="s">
        <v>1422</v>
      </c>
      <c r="C90" s="20" t="s">
        <v>93</v>
      </c>
      <c r="D90" s="15">
        <v>2.23</v>
      </c>
      <c r="E90" s="15">
        <v>0.95</v>
      </c>
      <c r="F90" s="20" t="s">
        <v>27</v>
      </c>
      <c r="G90" s="20" t="s">
        <v>67</v>
      </c>
      <c r="H90" s="20">
        <f>(4667.21*($L$8))</f>
        <v>24969.573499999999</v>
      </c>
      <c r="I90" s="20">
        <f>(4699.05*($L$8))</f>
        <v>25139.9175</v>
      </c>
      <c r="J90" s="20">
        <f>(4718.16*($L$8))</f>
        <v>25242.155999999999</v>
      </c>
      <c r="K90" s="20">
        <f>(4769.1*($L$8))</f>
        <v>25514.685000000001</v>
      </c>
      <c r="L90" s="20">
        <f>(4800.95*($L$8))</f>
        <v>25685.082499999997</v>
      </c>
      <c r="M90" s="20">
        <f>(4839.16*($L$8))</f>
        <v>25889.505999999998</v>
      </c>
      <c r="N90" s="20">
        <f>(4883.74*($L$8))</f>
        <v>26128.008999999998</v>
      </c>
      <c r="O90" s="20">
        <f>(4947.42*($L$8))</f>
        <v>26468.697</v>
      </c>
      <c r="P90" s="20">
        <f>(4979.26*($L$8))</f>
        <v>26639.041000000001</v>
      </c>
      <c r="Q90" s="20">
        <f>(5106.63*($L$8))</f>
        <v>27320.470499999999</v>
      </c>
    </row>
    <row r="91" spans="1:17" ht="12.75" customHeight="1" x14ac:dyDescent="0.2">
      <c r="A91" s="6"/>
      <c r="B91" s="10" t="s">
        <v>1423</v>
      </c>
      <c r="C91" s="20" t="s">
        <v>95</v>
      </c>
      <c r="D91" s="15">
        <v>2.23</v>
      </c>
      <c r="E91" s="15">
        <v>0.95</v>
      </c>
      <c r="F91" s="20" t="s">
        <v>27</v>
      </c>
      <c r="G91" s="20" t="s">
        <v>67</v>
      </c>
      <c r="H91" s="20">
        <f>(4869.19*($L$8))</f>
        <v>26050.166499999996</v>
      </c>
      <c r="I91" s="20">
        <f>(4904.54*($L$8))</f>
        <v>26239.288999999997</v>
      </c>
      <c r="J91" s="20">
        <f>(4925.75*($L$8))</f>
        <v>26352.762499999997</v>
      </c>
      <c r="K91" s="20">
        <f>(4982.31*($L$8))</f>
        <v>26655.358500000002</v>
      </c>
      <c r="L91" s="20">
        <f>(5017.67*($L$8))</f>
        <v>26844.534499999998</v>
      </c>
      <c r="M91" s="20">
        <f>(5060.09*($L$8))</f>
        <v>27071.481499999998</v>
      </c>
      <c r="N91" s="20">
        <f>(5109.58*($L$8))</f>
        <v>27336.252999999997</v>
      </c>
      <c r="O91" s="20">
        <f>(5180.28*($L$8))</f>
        <v>27714.497999999996</v>
      </c>
      <c r="P91" s="20">
        <f>(5215.63*($L$8))</f>
        <v>27903.620499999997</v>
      </c>
      <c r="Q91" s="20">
        <f>(5357.03*($L$8))</f>
        <v>28660.110499999995</v>
      </c>
    </row>
    <row r="92" spans="1:17" ht="12.75" customHeight="1" x14ac:dyDescent="0.2">
      <c r="A92" s="6"/>
      <c r="B92" s="10" t="s">
        <v>1424</v>
      </c>
      <c r="C92" s="20" t="s">
        <v>96</v>
      </c>
      <c r="D92" s="15">
        <v>2.2799999999999998</v>
      </c>
      <c r="E92" s="15">
        <v>0.95</v>
      </c>
      <c r="F92" s="20" t="s">
        <v>27</v>
      </c>
      <c r="G92" s="20" t="s">
        <v>31</v>
      </c>
      <c r="H92" s="20">
        <f>(5027.44*($L$8))</f>
        <v>26896.803999999996</v>
      </c>
      <c r="I92" s="20">
        <f>(5065.42*($L$8))</f>
        <v>27099.996999999999</v>
      </c>
      <c r="J92" s="20">
        <f>(5088.21*($L$8))</f>
        <v>27221.923499999997</v>
      </c>
      <c r="K92" s="20">
        <f>(5148.98*($L$8))</f>
        <v>27547.042999999994</v>
      </c>
      <c r="L92" s="20">
        <f>(5186.96*($L$8))</f>
        <v>27750.235999999997</v>
      </c>
      <c r="M92" s="20">
        <f>(5232.54*($L$8))</f>
        <v>27994.088999999996</v>
      </c>
      <c r="N92" s="20">
        <f>(5285.72*($L$8))</f>
        <v>28278.601999999999</v>
      </c>
      <c r="O92" s="20">
        <f>(5361.68*($L$8))</f>
        <v>28684.988000000001</v>
      </c>
      <c r="P92" s="20">
        <f>(5399.67*($L$8))</f>
        <v>28888.234499999999</v>
      </c>
      <c r="Q92" s="20">
        <f>(5551.6*($L$8))</f>
        <v>29701.06</v>
      </c>
    </row>
  </sheetData>
  <sheetProtection password="E4DE" sheet="1" objects="1" scenarios="1"/>
  <mergeCells count="19">
    <mergeCell ref="B86:Q86"/>
    <mergeCell ref="B79:Q79"/>
    <mergeCell ref="A7:K7"/>
    <mergeCell ref="A8:K8"/>
    <mergeCell ref="B72:Q72"/>
    <mergeCell ref="B65:Q65"/>
    <mergeCell ref="B58:Q58"/>
    <mergeCell ref="B51:Q51"/>
    <mergeCell ref="B13:Q13"/>
    <mergeCell ref="B44:Q44"/>
    <mergeCell ref="B37:Q37"/>
    <mergeCell ref="B30:Q30"/>
    <mergeCell ref="A1:Q6"/>
    <mergeCell ref="A9:Q9"/>
    <mergeCell ref="A10:Q10"/>
    <mergeCell ref="A11:Q11"/>
    <mergeCell ref="A12:Q12"/>
    <mergeCell ref="L7:Q7"/>
    <mergeCell ref="L8:Q8"/>
  </mergeCells>
  <conditionalFormatting sqref="H88">
    <cfRule type="cellIs" dxfId="8" priority="2" operator="equal">
      <formula>0</formula>
    </cfRule>
  </conditionalFormatting>
  <conditionalFormatting sqref="A1:XFD1048576">
    <cfRule type="cellIs" dxfId="7" priority="1" operator="equal">
      <formula>0</formula>
    </cfRule>
  </conditionalFormatting>
  <pageMargins left="0.78749999999999998" right="0.78749999999999998" top="1.0527777777777778" bottom="1.0527777777777778" header="0.78749999999999998" footer="0.78749999999999998"/>
  <pageSetup paperSize="9" scale="49" fitToHeight="0" orientation="portrait" r:id="rId1"/>
  <headerFooter alignWithMargins="0">
    <oddHeader>&amp;C&amp;"Times New Roman,Regular"&amp;12&amp;A</oddHeader>
    <oddFooter>&amp;C&amp;"Times New Roman,Regular"&amp;12Página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STUDIO PIÙ SOFÁS</vt:lpstr>
      <vt:lpstr>STUDIO PIÙ POLTRONAS</vt:lpstr>
      <vt:lpstr>DESIGNERS</vt:lpstr>
      <vt:lpstr>CAMAS</vt:lpstr>
      <vt:lpstr>CAMAS!Area_de_impressao</vt:lpstr>
      <vt:lpstr>DESIGNERS!Area_de_impressao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PEDIDOS</dc:creator>
  <cp:lastModifiedBy>Compras</cp:lastModifiedBy>
  <cp:lastPrinted>2022-12-12T17:51:13Z</cp:lastPrinted>
  <dcterms:created xsi:type="dcterms:W3CDTF">2020-05-27T12:30:29Z</dcterms:created>
  <dcterms:modified xsi:type="dcterms:W3CDTF">2023-06-05T13:11:19Z</dcterms:modified>
</cp:coreProperties>
</file>