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C:\Users\Compras\Desktop\"/>
    </mc:Choice>
  </mc:AlternateContent>
  <xr:revisionPtr revIDLastSave="0" documentId="13_ncr:1_{7D66DE04-6929-454A-9D7F-F99760031842}" xr6:coauthVersionLast="47" xr6:coauthVersionMax="47" xr10:uidLastSave="{00000000-0000-0000-0000-000000000000}"/>
  <workbookProtection workbookAlgorithmName="SHA-512" workbookHashValue="y9uDNKCsNLkO07uq9Jfmfuf6T1+fNL+duqLxg3ceIxZruAilmMJRCV3kCxQZNMDwvEWY8vn9SHS4M9xs+wPpaw==" workbookSaltValue="eqMcMNREu0vQ2dz7vELQvA==" workbookSpinCount="100000" lockStructure="1"/>
  <bookViews>
    <workbookView xWindow="-120" yWindow="-120" windowWidth="24240" windowHeight="13020" xr2:uid="{00000000-000D-0000-FFFF-FFFF00000000}"/>
  </bookViews>
  <sheets>
    <sheet name="Planilha1" sheetId="1" r:id="rId1"/>
  </sheets>
  <definedNames>
    <definedName name="_xlnm.Print_Area" localSheetId="0">Planilha1!$A$1:$K$482</definedName>
  </definedNames>
  <calcPr calcId="191029"/>
</workbook>
</file>

<file path=xl/calcChain.xml><?xml version="1.0" encoding="utf-8"?>
<calcChain xmlns="http://schemas.openxmlformats.org/spreadsheetml/2006/main">
  <c r="K243" i="1" l="1"/>
  <c r="J243" i="1"/>
  <c r="I243" i="1"/>
  <c r="H243" i="1"/>
  <c r="K242" i="1"/>
  <c r="J242" i="1"/>
  <c r="I242" i="1"/>
  <c r="H242" i="1"/>
  <c r="K241" i="1"/>
  <c r="J241" i="1"/>
  <c r="I241" i="1"/>
  <c r="H241" i="1"/>
  <c r="K240" i="1"/>
  <c r="J240" i="1"/>
  <c r="I240" i="1"/>
  <c r="H240" i="1"/>
  <c r="K239" i="1"/>
  <c r="J239" i="1"/>
  <c r="I239" i="1"/>
  <c r="H239" i="1"/>
  <c r="K238" i="1"/>
  <c r="J238" i="1"/>
  <c r="I238" i="1"/>
  <c r="H238" i="1"/>
  <c r="K237" i="1"/>
  <c r="J237" i="1"/>
  <c r="I237" i="1"/>
  <c r="H237" i="1"/>
  <c r="H236" i="1"/>
  <c r="I236" i="1"/>
  <c r="J236" i="1"/>
  <c r="K236" i="1"/>
  <c r="K235" i="1"/>
  <c r="J235" i="1"/>
  <c r="I235" i="1"/>
  <c r="H235" i="1"/>
  <c r="K234" i="1"/>
  <c r="J234" i="1"/>
  <c r="I234" i="1"/>
  <c r="H234" i="1"/>
  <c r="K233" i="1"/>
  <c r="J233" i="1"/>
  <c r="I233" i="1"/>
  <c r="H233" i="1"/>
  <c r="K232" i="1"/>
  <c r="J232" i="1"/>
  <c r="I232" i="1"/>
  <c r="H232" i="1"/>
  <c r="K231" i="1"/>
  <c r="J231" i="1"/>
  <c r="I231" i="1"/>
  <c r="H231" i="1"/>
  <c r="K230" i="1"/>
  <c r="J230" i="1"/>
  <c r="I230" i="1"/>
  <c r="H230" i="1"/>
  <c r="K229" i="1"/>
  <c r="J229" i="1"/>
  <c r="I229" i="1"/>
  <c r="H229" i="1"/>
  <c r="K226" i="1"/>
  <c r="J226" i="1"/>
  <c r="I226" i="1"/>
  <c r="H226" i="1"/>
  <c r="K225" i="1"/>
  <c r="J225" i="1"/>
  <c r="I225" i="1"/>
  <c r="H225" i="1"/>
  <c r="K224" i="1"/>
  <c r="J224" i="1"/>
  <c r="I224" i="1"/>
  <c r="H224" i="1"/>
  <c r="H223" i="1"/>
  <c r="K223" i="1"/>
  <c r="J223" i="1"/>
  <c r="I223" i="1"/>
  <c r="K222" i="1"/>
  <c r="J222" i="1"/>
  <c r="I222" i="1"/>
  <c r="H222" i="1"/>
  <c r="K221" i="1"/>
  <c r="J221" i="1"/>
  <c r="I221" i="1"/>
  <c r="H221" i="1"/>
  <c r="K220" i="1"/>
  <c r="J220" i="1"/>
  <c r="I220" i="1"/>
  <c r="H220" i="1"/>
  <c r="I219" i="1"/>
  <c r="J219" i="1"/>
  <c r="K219" i="1"/>
  <c r="K218" i="1"/>
  <c r="J218" i="1"/>
  <c r="I218" i="1"/>
  <c r="H219" i="1"/>
  <c r="H218" i="1"/>
  <c r="K217" i="1"/>
  <c r="J217" i="1"/>
  <c r="I217" i="1"/>
  <c r="H217" i="1"/>
  <c r="K216" i="1"/>
  <c r="J216" i="1"/>
  <c r="I216" i="1"/>
  <c r="H216" i="1"/>
  <c r="K215" i="1"/>
  <c r="J215" i="1"/>
  <c r="I215" i="1"/>
  <c r="H215" i="1"/>
  <c r="J214" i="1"/>
  <c r="I214" i="1"/>
  <c r="H214" i="1"/>
  <c r="K214" i="1"/>
  <c r="K213" i="1"/>
  <c r="J213" i="1"/>
  <c r="H212" i="1"/>
  <c r="I213" i="1" l="1"/>
  <c r="H213" i="1"/>
  <c r="K212" i="1"/>
  <c r="J212" i="1"/>
  <c r="I212" i="1"/>
  <c r="K149" i="1"/>
  <c r="J149" i="1"/>
  <c r="I149" i="1"/>
  <c r="H149" i="1"/>
  <c r="K155" i="1"/>
  <c r="J155" i="1"/>
  <c r="I155" i="1"/>
  <c r="H155" i="1"/>
  <c r="K414" i="1"/>
  <c r="J414" i="1"/>
  <c r="I414" i="1"/>
  <c r="K413" i="1"/>
  <c r="J413" i="1"/>
  <c r="I413" i="1"/>
  <c r="H413" i="1"/>
  <c r="H246" i="1" l="1"/>
  <c r="I246" i="1"/>
  <c r="J246" i="1"/>
  <c r="K246" i="1"/>
  <c r="H249" i="1"/>
  <c r="I249" i="1"/>
  <c r="J249" i="1"/>
  <c r="K249" i="1"/>
  <c r="H252" i="1"/>
  <c r="I252" i="1"/>
  <c r="J252" i="1"/>
  <c r="K252" i="1"/>
  <c r="H255" i="1"/>
  <c r="I255" i="1"/>
  <c r="J255" i="1"/>
  <c r="K255" i="1"/>
  <c r="H256" i="1"/>
  <c r="I256" i="1"/>
  <c r="J256" i="1"/>
  <c r="K256" i="1"/>
  <c r="H259" i="1"/>
  <c r="I259" i="1"/>
  <c r="J259" i="1"/>
  <c r="K259" i="1"/>
  <c r="H260" i="1"/>
  <c r="I260" i="1"/>
  <c r="J260" i="1"/>
  <c r="K260" i="1"/>
  <c r="K326" i="1" l="1"/>
  <c r="J326" i="1"/>
  <c r="I326" i="1"/>
  <c r="H326" i="1"/>
  <c r="K439" i="1" l="1"/>
  <c r="J439" i="1"/>
  <c r="I439" i="1"/>
  <c r="H439" i="1"/>
  <c r="K436" i="1"/>
  <c r="J436" i="1"/>
  <c r="I436" i="1"/>
  <c r="H436" i="1"/>
  <c r="K435" i="1"/>
  <c r="J435" i="1"/>
  <c r="I435" i="1"/>
  <c r="H435" i="1"/>
  <c r="K434" i="1"/>
  <c r="J434" i="1"/>
  <c r="I434" i="1"/>
  <c r="H434" i="1"/>
  <c r="K433" i="1"/>
  <c r="J433" i="1"/>
  <c r="I433" i="1"/>
  <c r="H433" i="1"/>
  <c r="K432" i="1"/>
  <c r="J432" i="1"/>
  <c r="I432" i="1"/>
  <c r="H432" i="1"/>
  <c r="K431" i="1"/>
  <c r="J431" i="1"/>
  <c r="I431" i="1"/>
  <c r="H431" i="1"/>
  <c r="K430" i="1"/>
  <c r="J430" i="1"/>
  <c r="I430" i="1"/>
  <c r="H430" i="1"/>
  <c r="K429" i="1"/>
  <c r="J429" i="1"/>
  <c r="I429" i="1"/>
  <c r="H429" i="1"/>
  <c r="K428" i="1"/>
  <c r="J428" i="1"/>
  <c r="I428" i="1"/>
  <c r="H428" i="1"/>
  <c r="K427" i="1"/>
  <c r="J427" i="1"/>
  <c r="I427" i="1"/>
  <c r="H427" i="1"/>
  <c r="K426" i="1"/>
  <c r="J426" i="1"/>
  <c r="I426" i="1"/>
  <c r="H426" i="1"/>
  <c r="K425" i="1"/>
  <c r="J425" i="1"/>
  <c r="I425" i="1"/>
  <c r="H425" i="1"/>
  <c r="K424" i="1"/>
  <c r="J424" i="1"/>
  <c r="I424" i="1"/>
  <c r="H424" i="1"/>
  <c r="K423" i="1"/>
  <c r="J423" i="1"/>
  <c r="I423" i="1"/>
  <c r="H423" i="1"/>
  <c r="K422" i="1"/>
  <c r="J422" i="1"/>
  <c r="I422" i="1"/>
  <c r="H422" i="1"/>
  <c r="K421" i="1"/>
  <c r="J421" i="1"/>
  <c r="I421" i="1"/>
  <c r="H421" i="1"/>
  <c r="K420" i="1"/>
  <c r="J420" i="1"/>
  <c r="I420" i="1"/>
  <c r="H420" i="1"/>
  <c r="K419" i="1"/>
  <c r="J419" i="1"/>
  <c r="I419" i="1"/>
  <c r="H419" i="1"/>
  <c r="K418" i="1"/>
  <c r="J418" i="1"/>
  <c r="I418" i="1"/>
  <c r="H418" i="1"/>
  <c r="K417" i="1"/>
  <c r="J417" i="1"/>
  <c r="I417" i="1"/>
  <c r="H417" i="1"/>
  <c r="K416" i="1"/>
  <c r="J416" i="1"/>
  <c r="I416" i="1"/>
  <c r="H416" i="1"/>
  <c r="K415" i="1"/>
  <c r="J415" i="1"/>
  <c r="I415" i="1"/>
  <c r="H415" i="1"/>
  <c r="H414" i="1"/>
  <c r="K412" i="1"/>
  <c r="J412" i="1"/>
  <c r="I412" i="1"/>
  <c r="H412" i="1"/>
  <c r="K409" i="1"/>
  <c r="J409" i="1"/>
  <c r="I409" i="1"/>
  <c r="H409" i="1"/>
  <c r="K408" i="1"/>
  <c r="J408" i="1"/>
  <c r="I408" i="1"/>
  <c r="H408" i="1"/>
  <c r="K407" i="1"/>
  <c r="J407" i="1"/>
  <c r="I407" i="1"/>
  <c r="H407" i="1"/>
  <c r="K406" i="1"/>
  <c r="J406" i="1"/>
  <c r="I406" i="1"/>
  <c r="H406" i="1"/>
  <c r="K405" i="1"/>
  <c r="J405" i="1"/>
  <c r="I405" i="1"/>
  <c r="H405" i="1"/>
  <c r="K404" i="1"/>
  <c r="J404" i="1"/>
  <c r="I404" i="1"/>
  <c r="H404" i="1"/>
  <c r="K403" i="1"/>
  <c r="J403" i="1"/>
  <c r="I403" i="1"/>
  <c r="H403" i="1"/>
  <c r="K402" i="1"/>
  <c r="J402" i="1"/>
  <c r="I402" i="1"/>
  <c r="H402" i="1"/>
  <c r="K401" i="1"/>
  <c r="J401" i="1"/>
  <c r="I401" i="1"/>
  <c r="H401" i="1"/>
  <c r="K400" i="1"/>
  <c r="J400" i="1"/>
  <c r="I400" i="1"/>
  <c r="H400" i="1"/>
  <c r="K399" i="1"/>
  <c r="J399" i="1"/>
  <c r="I399" i="1"/>
  <c r="H399" i="1"/>
  <c r="K398" i="1"/>
  <c r="J398" i="1"/>
  <c r="I398" i="1"/>
  <c r="H398" i="1"/>
  <c r="K397" i="1"/>
  <c r="J397" i="1"/>
  <c r="I397" i="1"/>
  <c r="H397" i="1"/>
  <c r="K396" i="1"/>
  <c r="J396" i="1"/>
  <c r="I396" i="1"/>
  <c r="H396" i="1"/>
  <c r="K395" i="1"/>
  <c r="J395" i="1"/>
  <c r="I395" i="1"/>
  <c r="H395" i="1"/>
  <c r="K394" i="1"/>
  <c r="J394" i="1"/>
  <c r="I394" i="1"/>
  <c r="H394" i="1"/>
  <c r="K393" i="1"/>
  <c r="J393" i="1"/>
  <c r="I393" i="1"/>
  <c r="H393" i="1"/>
  <c r="K392" i="1"/>
  <c r="J392" i="1"/>
  <c r="I392" i="1"/>
  <c r="H392" i="1"/>
  <c r="K391" i="1"/>
  <c r="J391" i="1"/>
  <c r="I391" i="1"/>
  <c r="H391" i="1"/>
  <c r="K390" i="1"/>
  <c r="J390" i="1"/>
  <c r="I390" i="1"/>
  <c r="H390" i="1"/>
  <c r="K389" i="1"/>
  <c r="J389" i="1"/>
  <c r="I389" i="1"/>
  <c r="H389" i="1"/>
  <c r="K388" i="1"/>
  <c r="J388" i="1"/>
  <c r="I388" i="1"/>
  <c r="H388" i="1"/>
  <c r="K387" i="1"/>
  <c r="J387" i="1"/>
  <c r="I387" i="1"/>
  <c r="H387" i="1"/>
  <c r="K386" i="1"/>
  <c r="J386" i="1"/>
  <c r="I386" i="1"/>
  <c r="H386" i="1"/>
  <c r="K385" i="1"/>
  <c r="J385" i="1"/>
  <c r="I385" i="1"/>
  <c r="H385" i="1"/>
  <c r="K336" i="1"/>
  <c r="J336" i="1"/>
  <c r="I336" i="1"/>
  <c r="H336" i="1"/>
  <c r="K333" i="1"/>
  <c r="J333" i="1"/>
  <c r="I333" i="1"/>
  <c r="H333" i="1"/>
  <c r="K330" i="1"/>
  <c r="J330" i="1"/>
  <c r="I330" i="1"/>
  <c r="H330" i="1"/>
  <c r="K329" i="1"/>
  <c r="J329" i="1"/>
  <c r="I329" i="1"/>
  <c r="H329" i="1"/>
  <c r="I308" i="1"/>
  <c r="H308" i="1"/>
  <c r="I307" i="1"/>
  <c r="H307" i="1"/>
  <c r="I306" i="1"/>
  <c r="H306" i="1"/>
  <c r="I305" i="1"/>
  <c r="H305" i="1"/>
  <c r="K302" i="1"/>
  <c r="J302" i="1"/>
  <c r="I302" i="1"/>
  <c r="H302" i="1"/>
  <c r="K301" i="1"/>
  <c r="J301" i="1"/>
  <c r="I301" i="1"/>
  <c r="H301" i="1"/>
  <c r="K300" i="1"/>
  <c r="J300" i="1"/>
  <c r="I300" i="1"/>
  <c r="H300" i="1"/>
  <c r="K299" i="1"/>
  <c r="J299" i="1"/>
  <c r="I299" i="1"/>
  <c r="H299" i="1"/>
  <c r="K298" i="1"/>
  <c r="J298" i="1"/>
  <c r="I298" i="1"/>
  <c r="H298" i="1"/>
  <c r="K297" i="1"/>
  <c r="J297" i="1"/>
  <c r="I297" i="1"/>
  <c r="H297" i="1"/>
  <c r="K296" i="1"/>
  <c r="J296" i="1"/>
  <c r="I296" i="1"/>
  <c r="H296" i="1"/>
  <c r="K295" i="1"/>
  <c r="J295" i="1"/>
  <c r="I295" i="1"/>
  <c r="H295" i="1"/>
  <c r="K294" i="1"/>
  <c r="J294" i="1"/>
  <c r="I294" i="1"/>
  <c r="H294" i="1"/>
  <c r="K293" i="1"/>
  <c r="J293" i="1"/>
  <c r="I293" i="1"/>
  <c r="H293" i="1"/>
  <c r="K292" i="1"/>
  <c r="J292" i="1"/>
  <c r="I292" i="1"/>
  <c r="H292" i="1"/>
  <c r="K291" i="1"/>
  <c r="J291" i="1"/>
  <c r="I291" i="1"/>
  <c r="H291" i="1"/>
  <c r="K290" i="1"/>
  <c r="J290" i="1"/>
  <c r="I290" i="1"/>
  <c r="H290" i="1"/>
  <c r="K289" i="1"/>
  <c r="J289" i="1"/>
  <c r="I289" i="1"/>
  <c r="H289" i="1"/>
  <c r="K288" i="1"/>
  <c r="J288" i="1"/>
  <c r="I288" i="1"/>
  <c r="H288" i="1"/>
  <c r="K287" i="1"/>
  <c r="J287" i="1"/>
  <c r="I287" i="1"/>
  <c r="H287" i="1"/>
  <c r="K286" i="1"/>
  <c r="J286" i="1"/>
  <c r="I286" i="1"/>
  <c r="H286" i="1"/>
  <c r="K285" i="1"/>
  <c r="J285" i="1"/>
  <c r="I285" i="1"/>
  <c r="H285" i="1"/>
  <c r="K284" i="1"/>
  <c r="J284" i="1"/>
  <c r="I284" i="1"/>
  <c r="H284" i="1"/>
  <c r="K283" i="1"/>
  <c r="J283" i="1"/>
  <c r="I283" i="1"/>
  <c r="H283" i="1"/>
  <c r="K282" i="1"/>
  <c r="J282" i="1"/>
  <c r="I282" i="1"/>
  <c r="H282" i="1"/>
  <c r="K279" i="1"/>
  <c r="J279" i="1"/>
  <c r="I279" i="1"/>
  <c r="H279" i="1"/>
  <c r="K278" i="1"/>
  <c r="J278" i="1"/>
  <c r="I278" i="1"/>
  <c r="H278" i="1"/>
  <c r="K277" i="1"/>
  <c r="J277" i="1"/>
  <c r="I277" i="1"/>
  <c r="H277" i="1"/>
  <c r="K276" i="1"/>
  <c r="J276" i="1"/>
  <c r="I276" i="1"/>
  <c r="H276" i="1"/>
  <c r="K275" i="1"/>
  <c r="J275" i="1"/>
  <c r="I275" i="1"/>
  <c r="H275" i="1"/>
  <c r="K274" i="1"/>
  <c r="J274" i="1"/>
  <c r="I274" i="1"/>
  <c r="H274" i="1"/>
  <c r="K273" i="1"/>
  <c r="J273" i="1"/>
  <c r="I273" i="1"/>
  <c r="H273" i="1"/>
  <c r="K272" i="1"/>
  <c r="J272" i="1"/>
  <c r="I272" i="1"/>
  <c r="H272" i="1"/>
  <c r="K271" i="1"/>
  <c r="J271" i="1"/>
  <c r="I271" i="1"/>
  <c r="H271" i="1"/>
  <c r="K270" i="1"/>
  <c r="J270" i="1"/>
  <c r="I270" i="1"/>
  <c r="H270" i="1"/>
  <c r="K269" i="1"/>
  <c r="J269" i="1"/>
  <c r="I269" i="1"/>
  <c r="H269" i="1"/>
  <c r="K268" i="1"/>
  <c r="J268" i="1"/>
  <c r="I268" i="1"/>
  <c r="H268" i="1"/>
  <c r="K267" i="1"/>
  <c r="J267" i="1"/>
  <c r="I267" i="1"/>
  <c r="H267" i="1"/>
  <c r="K266" i="1"/>
  <c r="J266" i="1"/>
  <c r="I266" i="1"/>
  <c r="H266" i="1"/>
  <c r="K265" i="1"/>
  <c r="J265" i="1"/>
  <c r="I265" i="1"/>
  <c r="H265" i="1"/>
  <c r="K264" i="1"/>
  <c r="J264" i="1"/>
  <c r="I264" i="1"/>
  <c r="H264" i="1"/>
  <c r="K263" i="1"/>
  <c r="J263" i="1"/>
  <c r="I263" i="1"/>
  <c r="H263" i="1"/>
  <c r="K262" i="1"/>
  <c r="J262" i="1"/>
  <c r="I262" i="1"/>
  <c r="H262" i="1"/>
  <c r="K261" i="1"/>
  <c r="J261" i="1"/>
  <c r="I261" i="1"/>
  <c r="H261" i="1"/>
  <c r="K152" i="1"/>
  <c r="J152" i="1"/>
  <c r="I152" i="1"/>
  <c r="H152" i="1"/>
  <c r="K146" i="1"/>
  <c r="J146" i="1"/>
  <c r="I146" i="1"/>
  <c r="H146" i="1"/>
  <c r="K143" i="1"/>
  <c r="J143" i="1"/>
  <c r="I143" i="1"/>
  <c r="H143" i="1"/>
  <c r="K142" i="1"/>
  <c r="J142" i="1"/>
  <c r="I142" i="1"/>
  <c r="H142" i="1"/>
  <c r="K141" i="1"/>
  <c r="J141" i="1"/>
  <c r="I141" i="1"/>
  <c r="H141" i="1"/>
  <c r="K140" i="1"/>
  <c r="J140" i="1"/>
  <c r="I140" i="1"/>
  <c r="H140" i="1"/>
  <c r="K139" i="1"/>
  <c r="J139" i="1"/>
  <c r="I139" i="1"/>
  <c r="H139" i="1"/>
  <c r="K136" i="1"/>
  <c r="J136" i="1"/>
  <c r="I136" i="1"/>
  <c r="H136" i="1"/>
  <c r="K135" i="1"/>
  <c r="J135" i="1"/>
  <c r="I135" i="1"/>
  <c r="H135" i="1"/>
  <c r="K134" i="1"/>
  <c r="J134" i="1"/>
  <c r="I134" i="1"/>
  <c r="H134" i="1"/>
  <c r="K133" i="1"/>
  <c r="J133" i="1"/>
  <c r="I133" i="1"/>
  <c r="H133" i="1"/>
  <c r="K132" i="1"/>
  <c r="J132" i="1"/>
  <c r="I132" i="1"/>
  <c r="H132" i="1"/>
  <c r="K130" i="1"/>
  <c r="J130" i="1"/>
  <c r="I130" i="1"/>
  <c r="H130" i="1"/>
  <c r="K129" i="1"/>
  <c r="J129" i="1"/>
  <c r="I129" i="1"/>
  <c r="H129" i="1"/>
  <c r="K128" i="1"/>
  <c r="J128" i="1"/>
  <c r="I128" i="1"/>
  <c r="H128" i="1"/>
  <c r="K127" i="1"/>
  <c r="J127" i="1"/>
  <c r="I127" i="1"/>
  <c r="H127" i="1"/>
  <c r="K126" i="1"/>
  <c r="J126" i="1"/>
  <c r="I126" i="1"/>
  <c r="H126" i="1"/>
  <c r="K123" i="1"/>
  <c r="J123" i="1"/>
  <c r="I123" i="1"/>
  <c r="H123" i="1"/>
  <c r="K122" i="1"/>
  <c r="J122" i="1"/>
  <c r="I122" i="1"/>
  <c r="H122" i="1"/>
  <c r="K121" i="1"/>
  <c r="J121" i="1"/>
  <c r="I121" i="1"/>
  <c r="H121" i="1"/>
  <c r="K120" i="1"/>
  <c r="J120" i="1"/>
  <c r="I120" i="1"/>
  <c r="H120" i="1"/>
  <c r="K119" i="1"/>
  <c r="J119" i="1"/>
  <c r="I119" i="1"/>
  <c r="H119" i="1"/>
  <c r="K116" i="1"/>
  <c r="J116" i="1"/>
  <c r="I116" i="1"/>
  <c r="H116" i="1"/>
  <c r="K115" i="1"/>
  <c r="J115" i="1"/>
  <c r="I115" i="1"/>
  <c r="H115" i="1"/>
  <c r="K114" i="1"/>
  <c r="J114" i="1"/>
  <c r="I114" i="1"/>
  <c r="H114" i="1"/>
  <c r="K113" i="1"/>
  <c r="J113" i="1"/>
  <c r="I113" i="1"/>
  <c r="H113" i="1"/>
  <c r="K110" i="1"/>
  <c r="J110" i="1"/>
  <c r="I110" i="1"/>
  <c r="H110" i="1"/>
  <c r="K109" i="1"/>
  <c r="J109" i="1"/>
  <c r="I109" i="1"/>
  <c r="H109" i="1"/>
  <c r="K108" i="1"/>
  <c r="J108" i="1"/>
  <c r="I108" i="1"/>
  <c r="H108" i="1"/>
  <c r="K107" i="1"/>
  <c r="J107" i="1"/>
  <c r="I107" i="1"/>
  <c r="H107" i="1"/>
  <c r="K104" i="1"/>
  <c r="J104" i="1"/>
  <c r="I104" i="1"/>
  <c r="H104" i="1"/>
  <c r="K103" i="1"/>
  <c r="J103" i="1"/>
  <c r="I103" i="1"/>
  <c r="H103" i="1"/>
  <c r="K102" i="1"/>
  <c r="J102" i="1"/>
  <c r="I102" i="1"/>
  <c r="H102" i="1"/>
  <c r="K101" i="1"/>
  <c r="J101" i="1"/>
  <c r="I101" i="1"/>
  <c r="H101" i="1"/>
  <c r="K100" i="1"/>
  <c r="J100" i="1"/>
  <c r="I100" i="1"/>
  <c r="H100" i="1"/>
  <c r="K99" i="1"/>
  <c r="J99" i="1"/>
  <c r="I99" i="1"/>
  <c r="H99" i="1"/>
  <c r="K98" i="1"/>
  <c r="J98" i="1"/>
  <c r="I98" i="1"/>
  <c r="H98" i="1"/>
  <c r="K97" i="1"/>
  <c r="J97" i="1"/>
  <c r="I97" i="1"/>
  <c r="H97" i="1"/>
  <c r="K96" i="1"/>
  <c r="J96" i="1"/>
  <c r="I96" i="1"/>
  <c r="H96" i="1"/>
  <c r="K95" i="1"/>
  <c r="J95" i="1"/>
  <c r="I95" i="1"/>
  <c r="H95" i="1"/>
  <c r="K94" i="1"/>
  <c r="J94" i="1"/>
  <c r="I94" i="1"/>
  <c r="H94" i="1"/>
  <c r="K93" i="1"/>
  <c r="J93" i="1"/>
  <c r="I93" i="1"/>
  <c r="H93" i="1"/>
  <c r="K90" i="1"/>
  <c r="J90" i="1"/>
  <c r="I90" i="1"/>
  <c r="H90" i="1"/>
  <c r="K87" i="1"/>
  <c r="J87" i="1"/>
  <c r="I87" i="1"/>
  <c r="H87" i="1"/>
  <c r="K54" i="1"/>
  <c r="J54" i="1"/>
  <c r="I54" i="1"/>
  <c r="H54" i="1"/>
  <c r="K53" i="1"/>
  <c r="J53" i="1"/>
  <c r="I53" i="1"/>
  <c r="H53" i="1"/>
  <c r="K52" i="1"/>
  <c r="J52" i="1"/>
  <c r="I52" i="1"/>
  <c r="H52" i="1"/>
  <c r="K51" i="1"/>
  <c r="J51" i="1"/>
  <c r="I51" i="1"/>
  <c r="H51" i="1"/>
  <c r="K50" i="1"/>
  <c r="J50" i="1"/>
  <c r="I50" i="1"/>
  <c r="H50" i="1"/>
  <c r="K49" i="1"/>
  <c r="J49" i="1"/>
  <c r="I49" i="1"/>
  <c r="H49" i="1"/>
  <c r="K48" i="1"/>
  <c r="J48" i="1"/>
  <c r="I48" i="1"/>
  <c r="H48" i="1"/>
  <c r="K47" i="1"/>
  <c r="J47" i="1"/>
  <c r="I47" i="1"/>
  <c r="H47" i="1"/>
  <c r="K46" i="1"/>
  <c r="J46" i="1"/>
  <c r="I46" i="1"/>
  <c r="H46" i="1"/>
  <c r="K45" i="1"/>
  <c r="J45" i="1"/>
  <c r="I45" i="1"/>
  <c r="H45" i="1"/>
  <c r="K44" i="1"/>
  <c r="J44" i="1"/>
  <c r="I44" i="1"/>
  <c r="H44" i="1"/>
  <c r="K43" i="1"/>
  <c r="J43" i="1"/>
  <c r="I43" i="1"/>
  <c r="H43" i="1"/>
  <c r="K42" i="1"/>
  <c r="J42" i="1"/>
  <c r="I42" i="1"/>
  <c r="H42" i="1"/>
  <c r="K39" i="1"/>
  <c r="J39" i="1"/>
  <c r="I39" i="1"/>
  <c r="H39" i="1"/>
  <c r="K38" i="1"/>
  <c r="J38" i="1"/>
  <c r="I38" i="1"/>
  <c r="H38" i="1"/>
  <c r="K37" i="1"/>
  <c r="J37" i="1"/>
  <c r="I37" i="1"/>
  <c r="H37" i="1"/>
  <c r="K36" i="1"/>
  <c r="J36" i="1"/>
  <c r="I36" i="1"/>
  <c r="H36" i="1"/>
  <c r="K35" i="1"/>
  <c r="J35" i="1"/>
  <c r="I35" i="1"/>
  <c r="H35" i="1"/>
  <c r="K34" i="1"/>
  <c r="J34" i="1"/>
  <c r="I34" i="1"/>
  <c r="H34" i="1"/>
  <c r="K33" i="1"/>
  <c r="J33" i="1"/>
  <c r="I33" i="1"/>
  <c r="H33" i="1"/>
  <c r="K32" i="1"/>
  <c r="J32" i="1"/>
  <c r="I32" i="1"/>
  <c r="H32" i="1"/>
  <c r="K31" i="1"/>
  <c r="J31" i="1"/>
  <c r="I31" i="1"/>
  <c r="H31" i="1"/>
  <c r="K30" i="1"/>
  <c r="J30" i="1"/>
  <c r="I30" i="1"/>
  <c r="H30" i="1"/>
  <c r="K29" i="1"/>
  <c r="J29" i="1"/>
  <c r="I29" i="1"/>
  <c r="H29" i="1"/>
  <c r="K28" i="1"/>
  <c r="J28" i="1"/>
  <c r="I28" i="1"/>
  <c r="H28" i="1"/>
  <c r="K27" i="1"/>
  <c r="J27" i="1"/>
  <c r="I27" i="1"/>
  <c r="H27" i="1"/>
  <c r="K24" i="1"/>
  <c r="J24" i="1"/>
  <c r="I24" i="1"/>
  <c r="H24" i="1"/>
  <c r="K23" i="1"/>
  <c r="J23" i="1"/>
  <c r="I23" i="1"/>
  <c r="H23" i="1"/>
  <c r="K20" i="1"/>
  <c r="J20" i="1"/>
  <c r="I20" i="1"/>
  <c r="H20" i="1"/>
  <c r="K19" i="1"/>
  <c r="J19" i="1"/>
  <c r="I19" i="1"/>
  <c r="H19" i="1"/>
  <c r="H209" i="1" l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377" i="1"/>
  <c r="H376" i="1"/>
  <c r="H374" i="1"/>
  <c r="H373" i="1"/>
  <c r="H371" i="1"/>
  <c r="H370" i="1"/>
  <c r="H368" i="1"/>
  <c r="H367" i="1"/>
  <c r="H365" i="1"/>
  <c r="H364" i="1"/>
  <c r="H362" i="1"/>
  <c r="H361" i="1"/>
  <c r="H359" i="1"/>
  <c r="H358" i="1"/>
  <c r="H356" i="1"/>
  <c r="H355" i="1"/>
  <c r="H353" i="1"/>
  <c r="H352" i="1"/>
  <c r="H350" i="1"/>
  <c r="H349" i="1"/>
  <c r="H347" i="1"/>
  <c r="H346" i="1"/>
  <c r="H344" i="1"/>
  <c r="H343" i="1"/>
  <c r="H341" i="1"/>
  <c r="H340" i="1"/>
  <c r="I323" i="1" l="1"/>
  <c r="K352" i="1"/>
  <c r="J352" i="1"/>
  <c r="I352" i="1"/>
  <c r="I319" i="1"/>
  <c r="J319" i="1"/>
  <c r="K319" i="1"/>
  <c r="H319" i="1"/>
  <c r="K199" i="1"/>
  <c r="J199" i="1"/>
  <c r="I199" i="1"/>
  <c r="K198" i="1"/>
  <c r="J198" i="1"/>
  <c r="I198" i="1"/>
  <c r="K482" i="1"/>
  <c r="J482" i="1"/>
  <c r="I482" i="1"/>
  <c r="H482" i="1"/>
  <c r="K481" i="1"/>
  <c r="J481" i="1"/>
  <c r="I481" i="1"/>
  <c r="H481" i="1"/>
  <c r="K480" i="1"/>
  <c r="J480" i="1"/>
  <c r="I480" i="1"/>
  <c r="H480" i="1"/>
  <c r="K479" i="1"/>
  <c r="J479" i="1"/>
  <c r="I479" i="1"/>
  <c r="H479" i="1"/>
  <c r="K478" i="1"/>
  <c r="J478" i="1"/>
  <c r="I478" i="1"/>
  <c r="H478" i="1"/>
  <c r="K477" i="1"/>
  <c r="J477" i="1"/>
  <c r="I477" i="1"/>
  <c r="H477" i="1"/>
  <c r="K476" i="1"/>
  <c r="J476" i="1"/>
  <c r="I476" i="1"/>
  <c r="H476" i="1"/>
  <c r="K475" i="1"/>
  <c r="J475" i="1"/>
  <c r="I475" i="1"/>
  <c r="H475" i="1"/>
  <c r="K474" i="1"/>
  <c r="J474" i="1"/>
  <c r="I474" i="1"/>
  <c r="H474" i="1"/>
  <c r="K473" i="1"/>
  <c r="J473" i="1"/>
  <c r="I473" i="1"/>
  <c r="H473" i="1"/>
  <c r="K472" i="1"/>
  <c r="J472" i="1"/>
  <c r="I472" i="1"/>
  <c r="H472" i="1"/>
  <c r="K471" i="1"/>
  <c r="J471" i="1"/>
  <c r="I471" i="1"/>
  <c r="H471" i="1"/>
  <c r="K470" i="1"/>
  <c r="J470" i="1"/>
  <c r="I470" i="1"/>
  <c r="H470" i="1"/>
  <c r="K469" i="1"/>
  <c r="J469" i="1"/>
  <c r="I469" i="1"/>
  <c r="H469" i="1"/>
  <c r="K468" i="1"/>
  <c r="J468" i="1"/>
  <c r="I468" i="1"/>
  <c r="H468" i="1"/>
  <c r="K467" i="1"/>
  <c r="J467" i="1"/>
  <c r="I467" i="1"/>
  <c r="H467" i="1"/>
  <c r="K466" i="1"/>
  <c r="J466" i="1"/>
  <c r="I466" i="1"/>
  <c r="H466" i="1"/>
  <c r="K463" i="1"/>
  <c r="J463" i="1"/>
  <c r="I463" i="1"/>
  <c r="H463" i="1"/>
  <c r="K462" i="1"/>
  <c r="J462" i="1"/>
  <c r="I462" i="1"/>
  <c r="H462" i="1"/>
  <c r="K461" i="1"/>
  <c r="J461" i="1"/>
  <c r="I461" i="1"/>
  <c r="H461" i="1"/>
  <c r="K460" i="1"/>
  <c r="J460" i="1"/>
  <c r="I460" i="1"/>
  <c r="H460" i="1"/>
  <c r="K457" i="1"/>
  <c r="J457" i="1"/>
  <c r="I457" i="1"/>
  <c r="H457" i="1"/>
  <c r="K456" i="1"/>
  <c r="J456" i="1"/>
  <c r="I456" i="1"/>
  <c r="H456" i="1"/>
  <c r="K455" i="1"/>
  <c r="J455" i="1"/>
  <c r="I455" i="1"/>
  <c r="H455" i="1"/>
  <c r="K454" i="1"/>
  <c r="J454" i="1"/>
  <c r="I454" i="1"/>
  <c r="H454" i="1"/>
  <c r="K453" i="1"/>
  <c r="J453" i="1"/>
  <c r="I453" i="1"/>
  <c r="H453" i="1"/>
  <c r="K452" i="1"/>
  <c r="J452" i="1"/>
  <c r="I452" i="1"/>
  <c r="H452" i="1"/>
  <c r="K451" i="1"/>
  <c r="J451" i="1"/>
  <c r="I451" i="1"/>
  <c r="H451" i="1"/>
  <c r="K448" i="1"/>
  <c r="J448" i="1"/>
  <c r="I448" i="1"/>
  <c r="H448" i="1"/>
  <c r="K447" i="1"/>
  <c r="J447" i="1"/>
  <c r="I447" i="1"/>
  <c r="H447" i="1"/>
  <c r="K446" i="1"/>
  <c r="J446" i="1"/>
  <c r="I446" i="1"/>
  <c r="H446" i="1"/>
  <c r="K445" i="1"/>
  <c r="J445" i="1"/>
  <c r="I445" i="1"/>
  <c r="H445" i="1"/>
  <c r="K444" i="1"/>
  <c r="J444" i="1"/>
  <c r="I444" i="1"/>
  <c r="H444" i="1"/>
  <c r="K443" i="1"/>
  <c r="J443" i="1"/>
  <c r="I443" i="1"/>
  <c r="H443" i="1"/>
  <c r="K442" i="1"/>
  <c r="J442" i="1"/>
  <c r="I442" i="1"/>
  <c r="H442" i="1"/>
  <c r="K382" i="1"/>
  <c r="J382" i="1"/>
  <c r="I382" i="1"/>
  <c r="H382" i="1"/>
  <c r="K381" i="1"/>
  <c r="J381" i="1"/>
  <c r="I381" i="1"/>
  <c r="H381" i="1"/>
  <c r="K380" i="1"/>
  <c r="J380" i="1"/>
  <c r="I380" i="1"/>
  <c r="H380" i="1"/>
  <c r="K379" i="1"/>
  <c r="J379" i="1"/>
  <c r="I379" i="1"/>
  <c r="H379" i="1"/>
  <c r="K378" i="1"/>
  <c r="J378" i="1"/>
  <c r="I378" i="1"/>
  <c r="H378" i="1"/>
  <c r="K377" i="1"/>
  <c r="J377" i="1"/>
  <c r="I377" i="1"/>
  <c r="K376" i="1"/>
  <c r="J376" i="1"/>
  <c r="I376" i="1"/>
  <c r="K375" i="1"/>
  <c r="J375" i="1"/>
  <c r="I375" i="1"/>
  <c r="H375" i="1"/>
  <c r="K374" i="1"/>
  <c r="J374" i="1"/>
  <c r="I374" i="1"/>
  <c r="K373" i="1"/>
  <c r="J373" i="1"/>
  <c r="I373" i="1"/>
  <c r="K372" i="1"/>
  <c r="J372" i="1"/>
  <c r="I372" i="1"/>
  <c r="H372" i="1"/>
  <c r="K371" i="1"/>
  <c r="J371" i="1"/>
  <c r="I371" i="1"/>
  <c r="K370" i="1"/>
  <c r="J370" i="1"/>
  <c r="I370" i="1"/>
  <c r="K369" i="1"/>
  <c r="J369" i="1"/>
  <c r="I369" i="1"/>
  <c r="H369" i="1"/>
  <c r="K368" i="1"/>
  <c r="J368" i="1"/>
  <c r="I368" i="1"/>
  <c r="K367" i="1"/>
  <c r="J367" i="1"/>
  <c r="I367" i="1"/>
  <c r="K366" i="1"/>
  <c r="J366" i="1"/>
  <c r="I366" i="1"/>
  <c r="H366" i="1"/>
  <c r="K365" i="1"/>
  <c r="J365" i="1"/>
  <c r="I365" i="1"/>
  <c r="K364" i="1"/>
  <c r="J364" i="1"/>
  <c r="I364" i="1"/>
  <c r="K363" i="1"/>
  <c r="J363" i="1"/>
  <c r="I363" i="1"/>
  <c r="H363" i="1"/>
  <c r="K362" i="1"/>
  <c r="J362" i="1"/>
  <c r="I362" i="1"/>
  <c r="K361" i="1"/>
  <c r="J361" i="1"/>
  <c r="I361" i="1"/>
  <c r="K360" i="1"/>
  <c r="J360" i="1"/>
  <c r="I360" i="1"/>
  <c r="H360" i="1"/>
  <c r="K359" i="1"/>
  <c r="J359" i="1"/>
  <c r="I359" i="1"/>
  <c r="K358" i="1"/>
  <c r="J358" i="1"/>
  <c r="I358" i="1"/>
  <c r="K357" i="1"/>
  <c r="J357" i="1"/>
  <c r="I357" i="1"/>
  <c r="H357" i="1"/>
  <c r="K356" i="1"/>
  <c r="J356" i="1"/>
  <c r="I356" i="1"/>
  <c r="K355" i="1"/>
  <c r="J355" i="1"/>
  <c r="I355" i="1"/>
  <c r="K354" i="1"/>
  <c r="J354" i="1"/>
  <c r="I354" i="1"/>
  <c r="H354" i="1"/>
  <c r="K353" i="1"/>
  <c r="J353" i="1"/>
  <c r="I353" i="1"/>
  <c r="K351" i="1"/>
  <c r="J351" i="1"/>
  <c r="I351" i="1"/>
  <c r="H351" i="1"/>
  <c r="K350" i="1"/>
  <c r="J350" i="1"/>
  <c r="I350" i="1"/>
  <c r="K349" i="1"/>
  <c r="J349" i="1"/>
  <c r="I349" i="1"/>
  <c r="K348" i="1"/>
  <c r="J348" i="1"/>
  <c r="I348" i="1"/>
  <c r="H348" i="1"/>
  <c r="K347" i="1"/>
  <c r="J347" i="1"/>
  <c r="I347" i="1"/>
  <c r="K346" i="1"/>
  <c r="J346" i="1"/>
  <c r="I346" i="1"/>
  <c r="K345" i="1"/>
  <c r="J345" i="1"/>
  <c r="I345" i="1"/>
  <c r="H345" i="1"/>
  <c r="K344" i="1"/>
  <c r="J344" i="1"/>
  <c r="I344" i="1"/>
  <c r="K343" i="1"/>
  <c r="J343" i="1"/>
  <c r="I343" i="1"/>
  <c r="K342" i="1"/>
  <c r="J342" i="1"/>
  <c r="I342" i="1"/>
  <c r="H342" i="1"/>
  <c r="K341" i="1"/>
  <c r="J341" i="1"/>
  <c r="I341" i="1"/>
  <c r="K340" i="1"/>
  <c r="J340" i="1"/>
  <c r="I340" i="1"/>
  <c r="K339" i="1"/>
  <c r="J339" i="1"/>
  <c r="I339" i="1"/>
  <c r="H339" i="1"/>
  <c r="K322" i="1"/>
  <c r="J322" i="1"/>
  <c r="I322" i="1"/>
  <c r="H322" i="1"/>
  <c r="K318" i="1"/>
  <c r="J318" i="1"/>
  <c r="I318" i="1"/>
  <c r="H318" i="1"/>
  <c r="K317" i="1"/>
  <c r="J317" i="1"/>
  <c r="I317" i="1"/>
  <c r="H317" i="1"/>
  <c r="K316" i="1"/>
  <c r="J316" i="1"/>
  <c r="I316" i="1"/>
  <c r="H316" i="1"/>
  <c r="K315" i="1"/>
  <c r="J315" i="1"/>
  <c r="I315" i="1"/>
  <c r="H315" i="1"/>
  <c r="K314" i="1"/>
  <c r="J314" i="1"/>
  <c r="I314" i="1"/>
  <c r="H314" i="1"/>
  <c r="K313" i="1"/>
  <c r="J313" i="1"/>
  <c r="I313" i="1"/>
  <c r="H313" i="1"/>
  <c r="K312" i="1"/>
  <c r="J312" i="1"/>
  <c r="I312" i="1"/>
  <c r="H312" i="1"/>
  <c r="K311" i="1"/>
  <c r="J311" i="1"/>
  <c r="I311" i="1"/>
  <c r="H311" i="1"/>
  <c r="K209" i="1"/>
  <c r="J209" i="1"/>
  <c r="I209" i="1"/>
  <c r="K208" i="1"/>
  <c r="J208" i="1"/>
  <c r="I208" i="1"/>
  <c r="K207" i="1"/>
  <c r="J207" i="1"/>
  <c r="I207" i="1"/>
  <c r="K206" i="1"/>
  <c r="J206" i="1"/>
  <c r="I206" i="1"/>
  <c r="K205" i="1"/>
  <c r="J205" i="1"/>
  <c r="I205" i="1"/>
  <c r="K204" i="1"/>
  <c r="J204" i="1"/>
  <c r="I204" i="1"/>
  <c r="K203" i="1"/>
  <c r="J203" i="1"/>
  <c r="I203" i="1"/>
  <c r="K202" i="1"/>
  <c r="J202" i="1"/>
  <c r="I202" i="1"/>
  <c r="K201" i="1"/>
  <c r="J201" i="1"/>
  <c r="I201" i="1"/>
  <c r="K200" i="1"/>
  <c r="J200" i="1"/>
  <c r="I200" i="1"/>
  <c r="K197" i="1"/>
  <c r="J197" i="1"/>
  <c r="I197" i="1"/>
  <c r="K196" i="1"/>
  <c r="J196" i="1"/>
  <c r="I196" i="1"/>
  <c r="K195" i="1"/>
  <c r="J195" i="1"/>
  <c r="I195" i="1"/>
  <c r="K194" i="1"/>
  <c r="J194" i="1"/>
  <c r="I194" i="1"/>
  <c r="K193" i="1"/>
  <c r="J193" i="1"/>
  <c r="I193" i="1"/>
  <c r="K192" i="1"/>
  <c r="J192" i="1"/>
  <c r="I192" i="1"/>
  <c r="K191" i="1"/>
  <c r="J191" i="1"/>
  <c r="I191" i="1"/>
  <c r="K190" i="1"/>
  <c r="J190" i="1"/>
  <c r="I190" i="1"/>
  <c r="K189" i="1"/>
  <c r="J189" i="1"/>
  <c r="I189" i="1"/>
  <c r="K188" i="1"/>
  <c r="J188" i="1"/>
  <c r="I188" i="1"/>
  <c r="K187" i="1"/>
  <c r="J187" i="1"/>
  <c r="I187" i="1"/>
  <c r="K186" i="1"/>
  <c r="J186" i="1"/>
  <c r="I186" i="1"/>
  <c r="K183" i="1"/>
  <c r="J183" i="1"/>
  <c r="I183" i="1"/>
  <c r="H183" i="1"/>
  <c r="K182" i="1"/>
  <c r="J182" i="1"/>
  <c r="I182" i="1"/>
  <c r="H182" i="1"/>
  <c r="K181" i="1"/>
  <c r="J181" i="1"/>
  <c r="I181" i="1"/>
  <c r="H181" i="1"/>
  <c r="K180" i="1"/>
  <c r="J180" i="1"/>
  <c r="I180" i="1"/>
  <c r="H180" i="1"/>
  <c r="K179" i="1"/>
  <c r="J179" i="1"/>
  <c r="I179" i="1"/>
  <c r="H179" i="1"/>
  <c r="K178" i="1"/>
  <c r="J178" i="1"/>
  <c r="I178" i="1"/>
  <c r="H178" i="1"/>
  <c r="K177" i="1"/>
  <c r="J177" i="1"/>
  <c r="I177" i="1"/>
  <c r="H177" i="1"/>
  <c r="K176" i="1"/>
  <c r="J176" i="1"/>
  <c r="I176" i="1"/>
  <c r="H176" i="1"/>
  <c r="K175" i="1"/>
  <c r="J175" i="1"/>
  <c r="I175" i="1"/>
  <c r="H175" i="1"/>
  <c r="K174" i="1"/>
  <c r="J174" i="1"/>
  <c r="I174" i="1"/>
  <c r="H174" i="1"/>
  <c r="K173" i="1"/>
  <c r="J173" i="1"/>
  <c r="I173" i="1"/>
  <c r="H173" i="1"/>
  <c r="K172" i="1"/>
  <c r="J172" i="1"/>
  <c r="I172" i="1"/>
  <c r="H172" i="1"/>
  <c r="K169" i="1"/>
  <c r="J169" i="1"/>
  <c r="I169" i="1"/>
  <c r="H169" i="1"/>
  <c r="K168" i="1"/>
  <c r="J168" i="1"/>
  <c r="I168" i="1"/>
  <c r="H168" i="1"/>
  <c r="K167" i="1"/>
  <c r="J167" i="1"/>
  <c r="I167" i="1"/>
  <c r="H167" i="1"/>
  <c r="K166" i="1"/>
  <c r="J166" i="1"/>
  <c r="I166" i="1"/>
  <c r="H166" i="1"/>
  <c r="K165" i="1"/>
  <c r="J165" i="1"/>
  <c r="I165" i="1"/>
  <c r="H165" i="1"/>
  <c r="K164" i="1"/>
  <c r="J164" i="1"/>
  <c r="I164" i="1"/>
  <c r="H164" i="1"/>
  <c r="K163" i="1"/>
  <c r="J163" i="1"/>
  <c r="I163" i="1"/>
  <c r="H163" i="1"/>
  <c r="K162" i="1"/>
  <c r="J162" i="1"/>
  <c r="I162" i="1"/>
  <c r="H162" i="1"/>
  <c r="K161" i="1"/>
  <c r="J161" i="1"/>
  <c r="I161" i="1"/>
  <c r="H161" i="1"/>
  <c r="K160" i="1"/>
  <c r="J160" i="1"/>
  <c r="I160" i="1"/>
  <c r="H160" i="1"/>
  <c r="K159" i="1"/>
  <c r="J159" i="1"/>
  <c r="I159" i="1"/>
  <c r="H159" i="1"/>
  <c r="K158" i="1"/>
  <c r="J158" i="1"/>
  <c r="I158" i="1"/>
  <c r="H158" i="1"/>
  <c r="K84" i="1"/>
  <c r="J84" i="1"/>
  <c r="I84" i="1"/>
  <c r="H84" i="1"/>
  <c r="K83" i="1"/>
  <c r="J83" i="1"/>
  <c r="I83" i="1"/>
  <c r="H83" i="1"/>
  <c r="K80" i="1"/>
  <c r="J80" i="1"/>
  <c r="I80" i="1"/>
  <c r="H80" i="1"/>
  <c r="K79" i="1"/>
  <c r="J79" i="1"/>
  <c r="I79" i="1"/>
  <c r="H79" i="1"/>
  <c r="K78" i="1"/>
  <c r="J78" i="1"/>
  <c r="I78" i="1"/>
  <c r="H78" i="1"/>
  <c r="K77" i="1"/>
  <c r="J77" i="1"/>
  <c r="I77" i="1"/>
  <c r="H77" i="1"/>
  <c r="K74" i="1"/>
  <c r="J74" i="1"/>
  <c r="I74" i="1"/>
  <c r="H74" i="1"/>
  <c r="K73" i="1"/>
  <c r="J73" i="1"/>
  <c r="I73" i="1"/>
  <c r="H73" i="1"/>
  <c r="K70" i="1"/>
  <c r="J70" i="1"/>
  <c r="I70" i="1"/>
  <c r="H70" i="1"/>
  <c r="K69" i="1"/>
  <c r="J69" i="1"/>
  <c r="I69" i="1"/>
  <c r="H69" i="1"/>
  <c r="K66" i="1"/>
  <c r="J66" i="1"/>
  <c r="I66" i="1"/>
  <c r="H66" i="1"/>
  <c r="K65" i="1"/>
  <c r="J65" i="1"/>
  <c r="I65" i="1"/>
  <c r="H65" i="1"/>
  <c r="K64" i="1"/>
  <c r="J64" i="1"/>
  <c r="I64" i="1"/>
  <c r="H64" i="1"/>
  <c r="K63" i="1"/>
  <c r="J63" i="1"/>
  <c r="I63" i="1"/>
  <c r="H63" i="1"/>
  <c r="K60" i="1"/>
  <c r="J60" i="1"/>
  <c r="I60" i="1"/>
  <c r="H60" i="1"/>
  <c r="K59" i="1"/>
  <c r="J59" i="1"/>
  <c r="I59" i="1"/>
  <c r="H59" i="1"/>
  <c r="K58" i="1"/>
  <c r="J58" i="1"/>
  <c r="I58" i="1"/>
  <c r="H58" i="1"/>
  <c r="K57" i="1"/>
  <c r="J57" i="1"/>
  <c r="I57" i="1"/>
  <c r="H57" i="1"/>
  <c r="K16" i="1"/>
  <c r="J16" i="1"/>
  <c r="I16" i="1"/>
  <c r="H16" i="1"/>
  <c r="K15" i="1"/>
  <c r="J15" i="1"/>
  <c r="I15" i="1"/>
  <c r="H15" i="1"/>
  <c r="K14" i="1"/>
  <c r="J14" i="1"/>
  <c r="I14" i="1"/>
  <c r="H14" i="1"/>
  <c r="K13" i="1"/>
  <c r="J13" i="1"/>
  <c r="I13" i="1"/>
  <c r="H13" i="1"/>
  <c r="K10" i="1"/>
  <c r="J10" i="1"/>
  <c r="I10" i="1"/>
  <c r="H10" i="1"/>
  <c r="K9" i="1"/>
  <c r="J9" i="1"/>
  <c r="I9" i="1"/>
  <c r="H9" i="1"/>
  <c r="K8" i="1"/>
  <c r="J8" i="1"/>
  <c r="I8" i="1"/>
  <c r="H8" i="1"/>
  <c r="K7" i="1"/>
  <c r="J7" i="1"/>
  <c r="I7" i="1"/>
  <c r="H7" i="1"/>
</calcChain>
</file>

<file path=xl/sharedStrings.xml><?xml version="1.0" encoding="utf-8"?>
<sst xmlns="http://schemas.openxmlformats.org/spreadsheetml/2006/main" count="2604" uniqueCount="666">
  <si>
    <t>INICIO DA VIGENCIA DESTA TABELA:----------------------------------------------------------------------&gt;&gt;</t>
  </si>
  <si>
    <t>COLOQUE AQUI SEU MULTIPLICADOR PARA ALTERAR A TABELA AO LADO ------------------------&gt;&gt;</t>
  </si>
  <si>
    <t>PRAZO DE PAGAMENTO 21DD - FRETE FOB - EMPRESA REGIME NORMAL - LUCRO PRESUMIDO</t>
  </si>
  <si>
    <t>IMAGEM</t>
  </si>
  <si>
    <t>Modelo</t>
  </si>
  <si>
    <t>Comp</t>
  </si>
  <si>
    <t>Prof</t>
  </si>
  <si>
    <t>Alt</t>
  </si>
  <si>
    <t>Bç</t>
  </si>
  <si>
    <t>Tec</t>
  </si>
  <si>
    <t>FORNECIDO</t>
  </si>
  <si>
    <t>N</t>
  </si>
  <si>
    <t>R</t>
  </si>
  <si>
    <t>V</t>
  </si>
  <si>
    <t>CO VQ</t>
  </si>
  <si>
    <t>CO AM</t>
  </si>
  <si>
    <t>CO FZ</t>
  </si>
  <si>
    <t>ABAPO 2B 2,30</t>
  </si>
  <si>
    <t>2,30</t>
  </si>
  <si>
    <t xml:space="preserve">0,98 </t>
  </si>
  <si>
    <t>0,76</t>
  </si>
  <si>
    <t>0,25</t>
  </si>
  <si>
    <t>13,00</t>
  </si>
  <si>
    <t>ABAPO 2B 2,50</t>
  </si>
  <si>
    <t>2,50</t>
  </si>
  <si>
    <t>14,00</t>
  </si>
  <si>
    <t>ABAPO 2B 2,70</t>
  </si>
  <si>
    <t>2,70</t>
  </si>
  <si>
    <t>15,00</t>
  </si>
  <si>
    <t>ABAPO 2B 2,90</t>
  </si>
  <si>
    <t>2,90</t>
  </si>
  <si>
    <t>16,00</t>
  </si>
  <si>
    <t>ABAPO COURO</t>
  </si>
  <si>
    <t>ABAPO 2B 2,30 (COURO)</t>
  </si>
  <si>
    <t>30,00</t>
  </si>
  <si>
    <t>ABAPO 2B 2,50 (COURO)</t>
  </si>
  <si>
    <t>32,00</t>
  </si>
  <si>
    <t>ABAPO 2B 2,70 (COURO)</t>
  </si>
  <si>
    <t>35,00</t>
  </si>
  <si>
    <t>ABAPO 2B 2,90 (COURO)</t>
  </si>
  <si>
    <t>36,00</t>
  </si>
  <si>
    <t>BULCÃO 2B 2,40</t>
  </si>
  <si>
    <t>2,40</t>
  </si>
  <si>
    <t xml:space="preserve">1,02 </t>
  </si>
  <si>
    <t>0,82</t>
  </si>
  <si>
    <t>25,00</t>
  </si>
  <si>
    <t>12,00</t>
  </si>
  <si>
    <t>BULCÃO 2B 2,60</t>
  </si>
  <si>
    <t>2,60</t>
  </si>
  <si>
    <t>BULCÃO 2B 2,80</t>
  </si>
  <si>
    <t>2,80</t>
  </si>
  <si>
    <t>BULCÃO 2B 3,00</t>
  </si>
  <si>
    <t>3,00</t>
  </si>
  <si>
    <t>BULCÃO 2B 2,40 (COURO)</t>
  </si>
  <si>
    <t>28,00</t>
  </si>
  <si>
    <t>BULCÃO 2B 2,60 (COURO)</t>
  </si>
  <si>
    <t>BULCÃO 2B 2,80 (COURO)</t>
  </si>
  <si>
    <t>BULCÃO 2B 3,00 (COURO)</t>
  </si>
  <si>
    <t>34,00</t>
  </si>
  <si>
    <t>CAATI POLTRONA</t>
  </si>
  <si>
    <t>0,87</t>
  </si>
  <si>
    <t xml:space="preserve">0,95 </t>
  </si>
  <si>
    <t>0,88</t>
  </si>
  <si>
    <t>0,00</t>
  </si>
  <si>
    <t>5,50</t>
  </si>
  <si>
    <t>CAATI PUFF</t>
  </si>
  <si>
    <t>0,65</t>
  </si>
  <si>
    <t>2,00</t>
  </si>
  <si>
    <t>CAATI COURO</t>
  </si>
  <si>
    <t>CAATI POLTRONA (COURO)</t>
  </si>
  <si>
    <t>CAATI PUFF (COURO)</t>
  </si>
  <si>
    <t>4,00</t>
  </si>
  <si>
    <t>CAATI MESCLA (COURO/TECIDO)</t>
  </si>
  <si>
    <t>CAATI POLTRONA MESCLA  C/ COURO FZ</t>
  </si>
  <si>
    <t>CAATI POLTRONA MESCLA C/ COURO AM/VQ</t>
  </si>
  <si>
    <t>CAATI PUFF MESCLA C/ COURO AM/VQ</t>
  </si>
  <si>
    <t>CAATI PUFF MESCLA C/ COURO FZ</t>
  </si>
  <si>
    <t>CACAU POL 1,27</t>
  </si>
  <si>
    <t>1,27</t>
  </si>
  <si>
    <t xml:space="preserve">0.93 </t>
  </si>
  <si>
    <t>0,93</t>
  </si>
  <si>
    <t>0,27</t>
  </si>
  <si>
    <t>6,00</t>
  </si>
  <si>
    <t>CACAU PUFF 0,92</t>
  </si>
  <si>
    <t>0,92</t>
  </si>
  <si>
    <t xml:space="preserve">0,58 </t>
  </si>
  <si>
    <t>0,40</t>
  </si>
  <si>
    <t>CRIO 2B 1,90 BÇ 20</t>
  </si>
  <si>
    <t>1,90</t>
  </si>
  <si>
    <t>0,72</t>
  </si>
  <si>
    <t>20,00</t>
  </si>
  <si>
    <t>10,00</t>
  </si>
  <si>
    <t>CRIO 2B 2,10 BÇ 20</t>
  </si>
  <si>
    <t>2,10</t>
  </si>
  <si>
    <t>CRIO 2B 2,10 BÇ 40/20</t>
  </si>
  <si>
    <t>CRIO 2B 2,30 BÇ 20</t>
  </si>
  <si>
    <t>10,50</t>
  </si>
  <si>
    <t>CRIO 2B 2,30 BÇ 40/20</t>
  </si>
  <si>
    <t>21,00</t>
  </si>
  <si>
    <t>CRIO 2B 2,50 BÇ 20</t>
  </si>
  <si>
    <t>11,00</t>
  </si>
  <si>
    <t>CRIO 2B 2,50 BÇ 40/20</t>
  </si>
  <si>
    <t>CRIO 2B 2,70 BÇ 20</t>
  </si>
  <si>
    <t>11,50</t>
  </si>
  <si>
    <t>CRIO 2B 2,70 BÇ 40/20</t>
  </si>
  <si>
    <t>CRIO 2B 2,90 BÇ 20</t>
  </si>
  <si>
    <t>CRIO 2B 2,90 BÇ 40/20</t>
  </si>
  <si>
    <t>CRIO 2B 3,10 BÇ 40/20</t>
  </si>
  <si>
    <t>3,10</t>
  </si>
  <si>
    <t>CRIO 2B 1,90 BÇ 20 (COURO)</t>
  </si>
  <si>
    <t>CRIO 2B 2,10 BÇ 20 (COURO)</t>
  </si>
  <si>
    <t>CRIO 2B 2,10 BÇ 40/20 (COURO)</t>
  </si>
  <si>
    <t>CRIO 2B 2,30 BÇ 20 (COURO)</t>
  </si>
  <si>
    <t>22,00</t>
  </si>
  <si>
    <t>CRIO 2B 2,30 BÇ 40/20 (COURO)</t>
  </si>
  <si>
    <t>CRIO 2B 2,50 BÇ 20 (COURO)</t>
  </si>
  <si>
    <t>CRIO 2B 2,50 BÇ 40/20 (COURO)</t>
  </si>
  <si>
    <t>CRIO 2B 2,70 BÇ 20 (COURO)</t>
  </si>
  <si>
    <t>24,00</t>
  </si>
  <si>
    <t>CRIO 2B 2,70 BÇ 40/20 (COURO)</t>
  </si>
  <si>
    <t>23,00</t>
  </si>
  <si>
    <t>CRIO 2B 2,90 BÇ 20 (COURO)</t>
  </si>
  <si>
    <t>CRIO 2B 2,90 BÇ 40/20 (COURO)</t>
  </si>
  <si>
    <t>CRIO 2B 3,10 BÇ 40/20 (COURO)</t>
  </si>
  <si>
    <t>CRIO 2B 1,90 C/ BÇ 20/20 MESCLA  CO AM/VQ+TEC</t>
  </si>
  <si>
    <t>5,00</t>
  </si>
  <si>
    <t>CRIO 2B 1,90 C/ BÇ 20/20 MESCLA CO FZ+TEC</t>
  </si>
  <si>
    <t>CRIO 2B 2,10 C/ BÇ 20/20 MESCLA  CO AM/VQ+TEC</t>
  </si>
  <si>
    <t>CRIO 2B 2,10 C/ BÇ 20/20 MESCLA CO FZ+TEC</t>
  </si>
  <si>
    <t>CRIO 2B 2,10 C/ BÇ 40/20 MESCLA CO AM/VQ+TEC</t>
  </si>
  <si>
    <t>CRIO 2B 2,10 C/ BÇ 40/20 MESCLA CO FZ+TEC</t>
  </si>
  <si>
    <t>CRIO 2B 2,30 C/ BÇ 20/20 MESCLA  CO AM/VQ+TEC</t>
  </si>
  <si>
    <t>CRIO 2B 2,30 C/ BÇ 20/20 MESCLA  CO FZ+TEC</t>
  </si>
  <si>
    <t>CRIO 2B 2,30 C/ BÇ 40/20 MESCLA CO AM/VQ+TEC</t>
  </si>
  <si>
    <t>CRIO 2B 2,30 C/ BÇ 40/20 MESCLA CO FZ+TEC</t>
  </si>
  <si>
    <t>CRIO 2B 2,50 C/ BÇ 20/20 MESCLA  CO AM/VQ+TEC</t>
  </si>
  <si>
    <t>CRIO 2B 2,50 C/ BÇ 20/20 MESCLA  CO FZ+TEC</t>
  </si>
  <si>
    <t>CRIO 2B 2,50 C/ BÇ 40/20 MESCLA CO  FZ+TEC</t>
  </si>
  <si>
    <t>CRIO 2B 2,50 C/ BÇ 40/20 MESCLA CO AM/VQ+TEC</t>
  </si>
  <si>
    <t>CRIO 2B 2,70 C/ BÇ 20/20 MESCLA  CO AM/VQ+TEC</t>
  </si>
  <si>
    <t>CRIO 2B 2,70 C/ BÇ 20/20 MESCLA CO FZ+TEC</t>
  </si>
  <si>
    <t>CRIO 2B 2,70 C/ BÇ 40/20 MESCLA CO AM/VQ+TEC</t>
  </si>
  <si>
    <t>CRIO 2B 2,70 C/ BÇ 40/20 MESCLA CO FZ+TEC</t>
  </si>
  <si>
    <t>CRIO 2B 2,90 C/ BÇ 20/20 MESCLA  CO AM/VQ+TEC</t>
  </si>
  <si>
    <t>CRIO 2B 2,90 C/ BÇ 20/20 MESCLA CO FZ+TEC</t>
  </si>
  <si>
    <t>CRIO 2B 2,90 C/ BÇ 40/20 MESCLA CO AM/VQ+TEC</t>
  </si>
  <si>
    <t>CRIO 2B 2,90 C/ BÇ 40/20 MESCLA CO FZ+TEC</t>
  </si>
  <si>
    <t>CRIO 2B 3,10 C/ BÇ 40/20 MESCLA CO AM/VQ+TEC</t>
  </si>
  <si>
    <t>7,00</t>
  </si>
  <si>
    <t>CRIO 2B 3,10 C/ BÇ 40/20 MESCLA CO FZ+TEC</t>
  </si>
  <si>
    <t>LIMI POLTRONA</t>
  </si>
  <si>
    <t>0,80</t>
  </si>
  <si>
    <t xml:space="preserve">1,04 </t>
  </si>
  <si>
    <t>9,00</t>
  </si>
  <si>
    <t>LIMI POLTRONA MESCLA C/ COURO AM/VQ</t>
  </si>
  <si>
    <t>LIMI POLTRONA MESCLA C/ COURO FZ</t>
  </si>
  <si>
    <t>MARAA 1B 1,17</t>
  </si>
  <si>
    <t>1,17</t>
  </si>
  <si>
    <t xml:space="preserve">0,97 </t>
  </si>
  <si>
    <t>0,77</t>
  </si>
  <si>
    <t>MARAA 1B 1,27</t>
  </si>
  <si>
    <t>MARAA 1B 1,37</t>
  </si>
  <si>
    <t>1,37</t>
  </si>
  <si>
    <t>6,50</t>
  </si>
  <si>
    <t>MARAA CTO 0,97</t>
  </si>
  <si>
    <t>0,97</t>
  </si>
  <si>
    <t>MARAA MESA 1,00X0,97</t>
  </si>
  <si>
    <t>1,00</t>
  </si>
  <si>
    <t>MARAA PUFF 0,97</t>
  </si>
  <si>
    <t>MARAA SB 0,90</t>
  </si>
  <si>
    <t>0,90</t>
  </si>
  <si>
    <t>MARAA SB 1,00</t>
  </si>
  <si>
    <t>MARAA SB 1,10</t>
  </si>
  <si>
    <t>1,10</t>
  </si>
  <si>
    <t>OCA 1B 2,75 (COURO)</t>
  </si>
  <si>
    <t>2,75</t>
  </si>
  <si>
    <t xml:space="preserve">1,01 </t>
  </si>
  <si>
    <t>0,78</t>
  </si>
  <si>
    <t>REGIA 1B 2 ENC 2,47</t>
  </si>
  <si>
    <t>2,47</t>
  </si>
  <si>
    <t>0,85</t>
  </si>
  <si>
    <t>0,04</t>
  </si>
  <si>
    <t>REGIA 1B 2 ENC 2,47 - BÇ E ENC EM COURO AM/VQ</t>
  </si>
  <si>
    <t>REGIA 1B 2 ENC 2,47 - BÇ E ENC EM COURO FZ</t>
  </si>
  <si>
    <t>REGIA 1B 2 ENC 2,77</t>
  </si>
  <si>
    <t>2,77</t>
  </si>
  <si>
    <t>REGIA 1B 2 ENC 2,77 - BÇ E ENC EM COURO AM/VQ</t>
  </si>
  <si>
    <t>REGIA 1B 2 ENC 2,77 - BÇ E ENC EM COURO FZ</t>
  </si>
  <si>
    <t>REGIA 1B 2 ENC 3,07</t>
  </si>
  <si>
    <t>3,07</t>
  </si>
  <si>
    <t>REGIA 1B 2 ENC 3,07 - BÇ E ENC EM COURO AM/VQ</t>
  </si>
  <si>
    <t>REGIA 1B 2 ENC 3,07 - BÇ E ENC EM COURO FZ</t>
  </si>
  <si>
    <t>REGIA 1B 3 ENC 2,47</t>
  </si>
  <si>
    <t>REGIA 1B 3 ENC 2,47 - BÇ E ENC EM COURO AM/VQ</t>
  </si>
  <si>
    <t>REGIA 1B 3 ENC 2,47 - BÇ E ENC EM COURO FZ</t>
  </si>
  <si>
    <t>REGIA 1B 3 ENC 2,77</t>
  </si>
  <si>
    <t>REGIA 1B 3 ENC 2,77 - BÇ E ENC EM COURO AM/VQ</t>
  </si>
  <si>
    <t>REGIA 1B 3 ENC 2,77 - BÇ E ENC EM COURO FZ</t>
  </si>
  <si>
    <t>REGIA 1B 3 ENC 3,07</t>
  </si>
  <si>
    <t>REGIA 1B 3 ENC 3,07 - BÇ E ENC EM COURO AM/VQ</t>
  </si>
  <si>
    <t>REGIA 1B 3 ENC 3,07 - BÇ E ENC EM COURO FZ</t>
  </si>
  <si>
    <t>REGIA 2B 2 ENC 2,47</t>
  </si>
  <si>
    <t>REGIA 2B 2 ENC 2,47 - BÇ E ENC EM COURO AM/VQ</t>
  </si>
  <si>
    <t>REGIA 2B 2 ENC 2,47 - BÇ E ENC EM COURO FZ</t>
  </si>
  <si>
    <t xml:space="preserve">REGIA 2B 2 ENC 2,77 </t>
  </si>
  <si>
    <t>REGIA 2B 2 ENC 2,77 - BÇ E ENC EM COURO AM/VQ</t>
  </si>
  <si>
    <t>REGIA 2B 2 ENC 2,77 - BÇ E ENC EM COURO FZ</t>
  </si>
  <si>
    <t>REGIA 2B 2 ENC 3,07</t>
  </si>
  <si>
    <t>REGIA 2B 2 ENC 3,07 BÇ E ENC EM COURO AM/VQ</t>
  </si>
  <si>
    <t>REGIA 2B 2 ENC 3,07 BÇ E ENC EM COURO FZ</t>
  </si>
  <si>
    <t>REGIA 2B 3 ENC 2,47</t>
  </si>
  <si>
    <t>REGIA 2B 3 ENC 2,47 - BÇ E ENC EM COURO AM/VQ</t>
  </si>
  <si>
    <t>REGIA 2B 3 ENC 2,47 - BÇ E ENC EM COURO FZ</t>
  </si>
  <si>
    <t>REGIA 2B 3 ENC 2,77</t>
  </si>
  <si>
    <t>REGIA 2B 3 ENC 2,77 - BÇ E ENC EM COURO AM/VQ</t>
  </si>
  <si>
    <t>REGIA 2B 3 ENC 2,77 - BÇ E ENC EM COURO FZ</t>
  </si>
  <si>
    <t>REGIA 2B 3 ENC 3,07</t>
  </si>
  <si>
    <t>REGIA 2B 3 ENC 3,07 - BÇ E ENC EM COURO AM/VQ</t>
  </si>
  <si>
    <t>REGIA 2B 3 ENC 3,07 - BÇ E ENC EM COURO FZ</t>
  </si>
  <si>
    <t>REGIA CHAISE</t>
  </si>
  <si>
    <t>1,68</t>
  </si>
  <si>
    <t xml:space="preserve">1,65 </t>
  </si>
  <si>
    <t>12,50</t>
  </si>
  <si>
    <t>REGIA CHAISE - ENC EM COURO AM/VQ</t>
  </si>
  <si>
    <t>REGIA CHAISE - ENC EM COURO FZ</t>
  </si>
  <si>
    <t>REGIA PUFF 0,80X0,80</t>
  </si>
  <si>
    <t xml:space="preserve">0,80 </t>
  </si>
  <si>
    <t>0,44</t>
  </si>
  <si>
    <t>REGIA PUFF 2,47X1,10</t>
  </si>
  <si>
    <t>0,96</t>
  </si>
  <si>
    <t xml:space="preserve">0,83 </t>
  </si>
  <si>
    <t>REGIA PUFF CONECÇÃO 0,96X0,83</t>
  </si>
  <si>
    <t>REGIA PUFF REDONDO 1,65X1,65</t>
  </si>
  <si>
    <t>1,65</t>
  </si>
  <si>
    <t>REGIA POLTRONA</t>
  </si>
  <si>
    <t>0,70</t>
  </si>
  <si>
    <t xml:space="preserve">0,73 </t>
  </si>
  <si>
    <t>TRESPO 2B 1,85</t>
  </si>
  <si>
    <t>1,85</t>
  </si>
  <si>
    <t>8,50</t>
  </si>
  <si>
    <t>TRESPO 2B 2,05</t>
  </si>
  <si>
    <t>2,05</t>
  </si>
  <si>
    <t>TRESPO 2B 2,25</t>
  </si>
  <si>
    <t>2,25</t>
  </si>
  <si>
    <t>TRESPO 2B 2,45</t>
  </si>
  <si>
    <t>2,45</t>
  </si>
  <si>
    <t>TRESPO 2B 2,65</t>
  </si>
  <si>
    <t>2,65</t>
  </si>
  <si>
    <t>TRESPO 2B 2,85</t>
  </si>
  <si>
    <t>2,85</t>
  </si>
  <si>
    <t>TRESPO 2B 3,05</t>
  </si>
  <si>
    <t>3,05</t>
  </si>
  <si>
    <t>TRESPO 2B 1,85 (COURO)</t>
  </si>
  <si>
    <t>TRESPO 2B 2,05 (COURO)</t>
  </si>
  <si>
    <t>TRESPO 2B 2,25 (COURO)</t>
  </si>
  <si>
    <t>TRESPO 2B 2,45 (COURO)</t>
  </si>
  <si>
    <t>TRESPO 2B 2,65 (COURO)</t>
  </si>
  <si>
    <t>26,00</t>
  </si>
  <si>
    <t>TRESPO 2B 2,85 (COURO)</t>
  </si>
  <si>
    <t>TRESPO 2B 3,05 (COURO)</t>
  </si>
  <si>
    <t>TUBE 2,00X1,00 MANUAL</t>
  </si>
  <si>
    <t xml:space="preserve">1,00 </t>
  </si>
  <si>
    <t xml:space="preserve">1,75 </t>
  </si>
  <si>
    <t>TUBE PUFF 1,00X1,75 MANUAL</t>
  </si>
  <si>
    <t>0,43</t>
  </si>
  <si>
    <t>TUBE SB 1,00X1,00 MANUAL</t>
  </si>
  <si>
    <t>URBI 1B 1,05</t>
  </si>
  <si>
    <t>1,05</t>
  </si>
  <si>
    <t xml:space="preserve">1,05 </t>
  </si>
  <si>
    <t>URBI 1B 1,15</t>
  </si>
  <si>
    <t>1,15</t>
  </si>
  <si>
    <t>9,50</t>
  </si>
  <si>
    <t>URBI 1B 1,25</t>
  </si>
  <si>
    <t>1,25</t>
  </si>
  <si>
    <t>URBI 1B 1,35</t>
  </si>
  <si>
    <t>1,35</t>
  </si>
  <si>
    <t>URBI 1B 1,45</t>
  </si>
  <si>
    <t>1,45</t>
  </si>
  <si>
    <t>URBI 2B 2,10</t>
  </si>
  <si>
    <t>16,50</t>
  </si>
  <si>
    <t>URBI 2B 2,30</t>
  </si>
  <si>
    <t>17,50</t>
  </si>
  <si>
    <t>URBI 2B 2,50</t>
  </si>
  <si>
    <t>18,50</t>
  </si>
  <si>
    <t>URBI 2B 2,70</t>
  </si>
  <si>
    <t>URBI 2B 2,90</t>
  </si>
  <si>
    <t>URBI CTO 1,05</t>
  </si>
  <si>
    <t>URBI PUFF 1,05</t>
  </si>
  <si>
    <t>0,41</t>
  </si>
  <si>
    <t>URBI SB 0,80</t>
  </si>
  <si>
    <t>URBI SB 0,90</t>
  </si>
  <si>
    <t>URBI SB 1,00</t>
  </si>
  <si>
    <t>8,00</t>
  </si>
  <si>
    <t>URBI SB 1,10</t>
  </si>
  <si>
    <t>URBI SB 1,20</t>
  </si>
  <si>
    <t>1,20</t>
  </si>
  <si>
    <t xml:space="preserve">1,050 </t>
  </si>
  <si>
    <t>ABAPO tecido</t>
  </si>
  <si>
    <t>BULCÃO tecido  (braços espessuras diferentes)</t>
  </si>
  <si>
    <t>BULCÃO couro (braços espessuras diferentes)</t>
  </si>
  <si>
    <t>CAATI tecido</t>
  </si>
  <si>
    <t>CACAU tecido</t>
  </si>
  <si>
    <t>LIMI tecido</t>
  </si>
  <si>
    <t>LIMI MESCLA (couro/tecido)</t>
  </si>
  <si>
    <t>MARAA tecido</t>
  </si>
  <si>
    <t>REGIA tecido e REGIA mescla(couro/tecido)</t>
  </si>
  <si>
    <t>TRESPO tecido</t>
  </si>
  <si>
    <t>TRESPO couro</t>
  </si>
  <si>
    <t>TUBE tecido</t>
  </si>
  <si>
    <t>URBI tecido</t>
  </si>
  <si>
    <t>CO+TC</t>
  </si>
  <si>
    <t>8 + 3</t>
  </si>
  <si>
    <t>2 + 1</t>
  </si>
  <si>
    <t>11 + 5</t>
  </si>
  <si>
    <t xml:space="preserve">11 + 5 </t>
  </si>
  <si>
    <t>11,5 + 5</t>
  </si>
  <si>
    <t>12 + 5,5</t>
  </si>
  <si>
    <t>12,5 + 5,5</t>
  </si>
  <si>
    <t>13,5 + 6</t>
  </si>
  <si>
    <t xml:space="preserve">14 + 6 </t>
  </si>
  <si>
    <t>14,5 + 7</t>
  </si>
  <si>
    <t>9 + 3</t>
  </si>
  <si>
    <t>11,00 tc</t>
  </si>
  <si>
    <t>13m² co + 7,5tc</t>
  </si>
  <si>
    <t>12,00 tc</t>
  </si>
  <si>
    <t>14m² co + 8,0tc</t>
  </si>
  <si>
    <t>13 tc</t>
  </si>
  <si>
    <t>15m² co + 9,0tc</t>
  </si>
  <si>
    <t>15m² co +7,5tc</t>
  </si>
  <si>
    <t>12 tc</t>
  </si>
  <si>
    <t xml:space="preserve">16m² co + 8,0tc </t>
  </si>
  <si>
    <t>15 tc</t>
  </si>
  <si>
    <t>17m² co + 10,0tc</t>
  </si>
  <si>
    <t>15m² co + 7,5tc</t>
  </si>
  <si>
    <t>11,5 tc</t>
  </si>
  <si>
    <t>16m² co + 8,0tc</t>
  </si>
  <si>
    <t>17m² co + 9,5tc</t>
  </si>
  <si>
    <t>18m² co + 7,5tc</t>
  </si>
  <si>
    <t>14 tc</t>
  </si>
  <si>
    <t>19m² co + 8,0tc</t>
  </si>
  <si>
    <t>17 tc</t>
  </si>
  <si>
    <t>21m² co + 10,0tc</t>
  </si>
  <si>
    <t>15m² co + 9,5tc</t>
  </si>
  <si>
    <t>5,5 tc</t>
  </si>
  <si>
    <t>7 tc</t>
  </si>
  <si>
    <t>TC FORNECIDO</t>
  </si>
  <si>
    <t>CO FORNECIDO</t>
  </si>
  <si>
    <t xml:space="preserve"> FORNECIDO</t>
  </si>
  <si>
    <t>BANDEJA - 30CM DIÂM. - PEDRAS: JADORE - BRANCO PARANÁ - ROSA PARANÁ E MAORI</t>
  </si>
  <si>
    <r>
      <t xml:space="preserve">TUBE 2,00X1,75 </t>
    </r>
    <r>
      <rPr>
        <b/>
        <sz val="10"/>
        <color indexed="8"/>
        <rFont val="Arial"/>
        <family val="2"/>
      </rPr>
      <t>AUTOMATIZADO</t>
    </r>
  </si>
  <si>
    <t>15 - 25</t>
  </si>
  <si>
    <t>40 - 20</t>
  </si>
  <si>
    <t>BOTO SOFA CAMA - COURO</t>
  </si>
  <si>
    <t>CO (m²)</t>
  </si>
  <si>
    <t>BOTO SOFÁ CAMA 1,90X1,25 - COURO</t>
  </si>
  <si>
    <t xml:space="preserve">1,25 </t>
  </si>
  <si>
    <t>0,75</t>
  </si>
  <si>
    <t>42,00</t>
  </si>
  <si>
    <t>BOTO SOFÁ CAMA 2,10X1,25 - COURO</t>
  </si>
  <si>
    <t>44,00</t>
  </si>
  <si>
    <t>BOTO SOFÁ CAMA - TECIDO</t>
  </si>
  <si>
    <t>J/N</t>
  </si>
  <si>
    <t>BOTO SOFÁ CAMA 1,90X1,25</t>
  </si>
  <si>
    <t>17,00</t>
  </si>
  <si>
    <t>BOTO SOFÁ CAMA 2,10X1,25</t>
  </si>
  <si>
    <t>18,00</t>
  </si>
  <si>
    <t>BROA CAMA COURO</t>
  </si>
  <si>
    <t>BROA APARADOR 0,44X0,55X0,59 - COURO</t>
  </si>
  <si>
    <t>0,55</t>
  </si>
  <si>
    <t xml:space="preserve">0,44 </t>
  </si>
  <si>
    <t>0,59</t>
  </si>
  <si>
    <t>BROA CAMA 1,10X2,40 - 88X1,88 - COURO</t>
  </si>
  <si>
    <t xml:space="preserve">2,40 </t>
  </si>
  <si>
    <t>BROA CAMA 1,10X2,90 AV60 - 88X1,88 - COURO</t>
  </si>
  <si>
    <t xml:space="preserve">2,90 </t>
  </si>
  <si>
    <t>BROA CAMA 1,60X2,40 - 1,38X1,88 - COURO</t>
  </si>
  <si>
    <t>1,60</t>
  </si>
  <si>
    <t>BROA CAMA 1,60X2,90 AV60 - 1,38X1,88 - COURO</t>
  </si>
  <si>
    <t>BROA CAMA 1,80X2,50 - 1,58X1,98 - COURO</t>
  </si>
  <si>
    <t>1,80</t>
  </si>
  <si>
    <t xml:space="preserve">2,50 </t>
  </si>
  <si>
    <t>BROA CAMA 1,80X3,00 AV60 - 1,58X1,98 - COURO</t>
  </si>
  <si>
    <t xml:space="preserve">3,00 </t>
  </si>
  <si>
    <t>BROA CAMA 2,00X2,50 - 1,78X1,98 - COURO</t>
  </si>
  <si>
    <t>BROA CAMA 2,00X3,00 AV60 - 1,78X1,98 - COURO</t>
  </si>
  <si>
    <t>BROA CAMA 2,15X2,55 - 1,93X2,03 - COURO</t>
  </si>
  <si>
    <t>2,15</t>
  </si>
  <si>
    <t xml:space="preserve">2,55 </t>
  </si>
  <si>
    <t>BROA CAMA 2,15X3,05 AV60 - 1,93X2,03 - COURO</t>
  </si>
  <si>
    <t xml:space="preserve">3,05 </t>
  </si>
  <si>
    <t>BROA MESA 1,20X60 - COURO</t>
  </si>
  <si>
    <t xml:space="preserve">0,60 </t>
  </si>
  <si>
    <t>0,15</t>
  </si>
  <si>
    <t>BROA MESA 70X70 - COURO</t>
  </si>
  <si>
    <t xml:space="preserve">0,70 </t>
  </si>
  <si>
    <t>BROA CAMA - TECIDO</t>
  </si>
  <si>
    <t>BROA APARADOR 0,44X0,55X0,59</t>
  </si>
  <si>
    <t>BROA CAMA 1,10X2,40 - 88X1,88</t>
  </si>
  <si>
    <t>BROA CAMA 1,10X2,90 AV60 - 88X1,88</t>
  </si>
  <si>
    <t>BROA CAMA 1,60X2,40 - 1,38X1,88</t>
  </si>
  <si>
    <t>BROA CAMA 1,60X2,90 AV60 - 1,38X1,88</t>
  </si>
  <si>
    <t>BROA CAMA 1,80X2,50 - 1,58X1,98</t>
  </si>
  <si>
    <t>BROA CAMA 1,80X3,00 AV60 - 1,58X1,98</t>
  </si>
  <si>
    <t>BROA CAMA 2,00X2,50 - 1,78X1,98</t>
  </si>
  <si>
    <t>BROA CAMA 2,00X3,00 AV60 - 1,78X1,98</t>
  </si>
  <si>
    <t>BROA CAMA 2,15X2,55 - 1,93X2,03</t>
  </si>
  <si>
    <t>BROA CAMA 2,15X3,05 AV60 - 1,93X2,03</t>
  </si>
  <si>
    <t>BROA MESA 1,20X60</t>
  </si>
  <si>
    <t>BROA MESA 70X70</t>
  </si>
  <si>
    <t>1,50</t>
  </si>
  <si>
    <t>CAJU POLTRONA - COURO</t>
  </si>
  <si>
    <t xml:space="preserve">79 </t>
  </si>
  <si>
    <t>66,00</t>
  </si>
  <si>
    <t>0,32</t>
  </si>
  <si>
    <t>CAJU POLTRONA - TECIDO</t>
  </si>
  <si>
    <t>CHAPADA</t>
  </si>
  <si>
    <t>CHAPADA 1B 1,15X1,05 1AS</t>
  </si>
  <si>
    <t>0,35</t>
  </si>
  <si>
    <t>7,50</t>
  </si>
  <si>
    <t>CHAPADA 1B 1,25X1,05 1AS</t>
  </si>
  <si>
    <t>CHAPADA 1B 1,35X1,05 1AS</t>
  </si>
  <si>
    <t>CHAPADA 1B 1,45X1,05 1AS</t>
  </si>
  <si>
    <t>CHAPADA CH 1,25X1,35 1AS</t>
  </si>
  <si>
    <t xml:space="preserve">1,35 </t>
  </si>
  <si>
    <t>CHAPADA CH 1,35X1,35 1AS</t>
  </si>
  <si>
    <t>CHAPADA CH 1,45X1,35 1AS</t>
  </si>
  <si>
    <t>CHAPADA CTO 1,05X1,05 1AS</t>
  </si>
  <si>
    <t>CHAPADA SB 0,80X1,05 1AS</t>
  </si>
  <si>
    <t>4,50</t>
  </si>
  <si>
    <t>CHAPADA SB 0,90X1,05 1AS</t>
  </si>
  <si>
    <t>CHAPADA SB 1,00X1,05 1AS</t>
  </si>
  <si>
    <t>CHAPADA SB 1,10X1,05 1AS</t>
  </si>
  <si>
    <t>CRIO SOFÁ COURO</t>
  </si>
  <si>
    <t>CRIO SOFÁ MESCLA (COURO ESTRUTURA - TECIDO ASS/ENC)</t>
  </si>
  <si>
    <t>CRIO BANCO - COURO</t>
  </si>
  <si>
    <t>CRIO BANCO 1,25X0,65 - COURO</t>
  </si>
  <si>
    <t xml:space="preserve">0,65 </t>
  </si>
  <si>
    <t>CRIO BANCO 1,45X0,65 - COURO</t>
  </si>
  <si>
    <t>CRIO BANCO 1,65X0,65 - COURO</t>
  </si>
  <si>
    <t>CRIO BANCO 1,80X0,65 - COURO</t>
  </si>
  <si>
    <t>CRIO BANCO - TECIDO</t>
  </si>
  <si>
    <t>CRIO BANCO 1,25X0,65</t>
  </si>
  <si>
    <t>CRIO BANCO 1,45X0,65</t>
  </si>
  <si>
    <t>CRIO BANCO 1,65X0,65</t>
  </si>
  <si>
    <t>CRIO BANCO 1,80X0,65</t>
  </si>
  <si>
    <t>CRIO CAMA - COURO</t>
  </si>
  <si>
    <t>CRIO CAMA 1,50 X 2,28 - 0,88 X 1,88 COURO</t>
  </si>
  <si>
    <t xml:space="preserve">2.28 </t>
  </si>
  <si>
    <t>20,40</t>
  </si>
  <si>
    <t>CRIO CAMA 2,00 X 2,28 - 1,38 X 1,88 COURO</t>
  </si>
  <si>
    <t>CRIO CAMA 2,20 X 2,38 - 1,58 X 1,98 COURO</t>
  </si>
  <si>
    <t>2,20</t>
  </si>
  <si>
    <t xml:space="preserve">2.38 </t>
  </si>
  <si>
    <t>CRIO CAMA 2,40 X 2,38 - 1,78 X 1,98 COURO</t>
  </si>
  <si>
    <t>CRIO CAMA 2,55 X 2,43 - 1,93 X 2,03 COURO</t>
  </si>
  <si>
    <t>2,55</t>
  </si>
  <si>
    <t xml:space="preserve">2.43 </t>
  </si>
  <si>
    <t>CRIO CAMA SEM ABA - COURO</t>
  </si>
  <si>
    <t>CRIO CAMA  S/ABA 1,15 X 2,28 - 0,88 X 1,88 COURO</t>
  </si>
  <si>
    <t>CRIO CAMA  S/ABA 1,65 X 2,28 - 1,38 X 1,88 COURO</t>
  </si>
  <si>
    <t>CRIO CAMA  S/ABA 1,85 X 2,38 - 1,58 X 1,98 COURO</t>
  </si>
  <si>
    <t>CRIO CAMA  S/ABA 2,05 X 2,38 - 1,78 X 1,98 COURO</t>
  </si>
  <si>
    <t>CRIO CAMA  S/ABA 2,20 X 2,43 - 1,93 X 2,03 COURO</t>
  </si>
  <si>
    <t>CRIO CAMA - TECIDO</t>
  </si>
  <si>
    <t>CRIO CAMA 1,50 X 2,28 - COLCHAO 0,88 X 1,88</t>
  </si>
  <si>
    <t>CRIO CAMA 2,00 X 2,28 - COLCHAO 1,38 X 1,88</t>
  </si>
  <si>
    <t>CRIO CAMA 2,20 X 2,38 - COLCHAO 1,58 X 1,98</t>
  </si>
  <si>
    <t>CRIO CAMA 2,40 X 2,38 - COLCHAO 1,78 X 1,98</t>
  </si>
  <si>
    <t>CRIO CAMA 2,55 X 2,43 - COLCHAO 1,93 X 2,03</t>
  </si>
  <si>
    <t>CRIO CAMA SEM ABA - TECIDO</t>
  </si>
  <si>
    <t>CRIO CAMA  S/ABA 1,15 X 2,28 - COLCHAO 0,88 X 1,88</t>
  </si>
  <si>
    <t>CRIO CAMA  S/ABA 1,65 X 2,28 - COLCHAO 1,38 X 1,88</t>
  </si>
  <si>
    <t>CRIO CAMA  S/ABA 1,85 X 2,38 - COLCHAO 1,58 X 1,98</t>
  </si>
  <si>
    <t>CRIO CAMA  S/ABA 2,05 X 2,38 - COLCHAO 1,78 X 1,98</t>
  </si>
  <si>
    <t>CRIO CAMA  S/ABA 2,20 X 2,43 - COLCHAO 1,93 X 2,03</t>
  </si>
  <si>
    <t>CRIO POLTRONA - COURO</t>
  </si>
  <si>
    <t>CRIO POLTRONA 1,12X0,98 COURO</t>
  </si>
  <si>
    <t>1,12</t>
  </si>
  <si>
    <t>0,20</t>
  </si>
  <si>
    <t>CRIO POLTRONA SEM ABA - COURO</t>
  </si>
  <si>
    <t>CRIO POLTRONA SEM ABA 0,94X0,98 - COURO</t>
  </si>
  <si>
    <t>0,94</t>
  </si>
  <si>
    <t>CRIO POLTRONA - TECIDO</t>
  </si>
  <si>
    <t>CRIO POLTRONA 1,12X0,98 TECIDO</t>
  </si>
  <si>
    <t>CRIO POLTRONA SEM ABA- TECIDO</t>
  </si>
  <si>
    <t>CRIO POLTRONA SEM ABA 0,94X0,98 - TECIDO</t>
  </si>
  <si>
    <t>CRIO SOFÁ tecido</t>
  </si>
  <si>
    <t>FAMI</t>
  </si>
  <si>
    <t xml:space="preserve">1,20 </t>
  </si>
  <si>
    <t>GOL POLTRONA - COURO</t>
  </si>
  <si>
    <t>GOL POLTRONA 1,20X0,84 - COURO</t>
  </si>
  <si>
    <t xml:space="preserve">0,54 </t>
  </si>
  <si>
    <t>0,71</t>
  </si>
  <si>
    <t>GOL POLTRONA - TECIDO</t>
  </si>
  <si>
    <t>GOL POLTRONA 1,20X0,84 - TECIDO</t>
  </si>
  <si>
    <t>MADÁ - COURO</t>
  </si>
  <si>
    <t>MADA 1B 1,15X0,92 1AS - COURO</t>
  </si>
  <si>
    <t xml:space="preserve">0,92 </t>
  </si>
  <si>
    <t>0,81</t>
  </si>
  <si>
    <t>19,00</t>
  </si>
  <si>
    <t>MADA 1B 1,25X0,92 1AS - COURO</t>
  </si>
  <si>
    <t>MADA 1B 1,35X0,92 1AS - COURO</t>
  </si>
  <si>
    <t>MADA 1B 1,45X0,92 1AS - COURO</t>
  </si>
  <si>
    <t>MADA 1B 1,95X0,92 2AS - COURO</t>
  </si>
  <si>
    <t>1,95</t>
  </si>
  <si>
    <t>29,00</t>
  </si>
  <si>
    <t>MADA 1B 2,15X0,92 2AS - COURO</t>
  </si>
  <si>
    <t>MADA 1B 2,35X0,92 2AS - COURO</t>
  </si>
  <si>
    <t>2,35</t>
  </si>
  <si>
    <t>31,00</t>
  </si>
  <si>
    <t>MADA 1B 2,55X0,92 2AS - COURO</t>
  </si>
  <si>
    <t>33,00</t>
  </si>
  <si>
    <t>MADA 2B 2,30X0,92 2AS - COURO</t>
  </si>
  <si>
    <t>MADA 2B 2,50X0,92 2AS - COURO</t>
  </si>
  <si>
    <t>MADA 2B 2,70X0,92 2AS - COURO</t>
  </si>
  <si>
    <t>MADA 2B 2,90X0,92 2AS - COURO</t>
  </si>
  <si>
    <t>MADA 2B 3,10X0,92 3AS - COURO</t>
  </si>
  <si>
    <t>MADA 2B 3,40X0,92 3AS - COURO</t>
  </si>
  <si>
    <t>3,40</t>
  </si>
  <si>
    <t>43,00</t>
  </si>
  <si>
    <t>MADA 2B 3,70X0,92 3AS - COURO</t>
  </si>
  <si>
    <t>3,70</t>
  </si>
  <si>
    <t>46,00</t>
  </si>
  <si>
    <t>MADA 2B 4,00X0,92 3AS - COURO</t>
  </si>
  <si>
    <t>49,00</t>
  </si>
  <si>
    <t>MADA CTO 0,92X0,92 1AS - COURO</t>
  </si>
  <si>
    <t>MADA SB 0,80X0,92 1AS - COURO</t>
  </si>
  <si>
    <t>MADA SB 0,90X0,92 1AS - COURO</t>
  </si>
  <si>
    <t>MADA SB 1,00X0,92 1AS - COURO</t>
  </si>
  <si>
    <t>MADA SB 1,10X0,92 1AS - COURO</t>
  </si>
  <si>
    <t>MADÁ - TECIDO</t>
  </si>
  <si>
    <t>MADA 1B 1,15X0,92 1AS</t>
  </si>
  <si>
    <t>MADA 1B 1,25X0,92 1AS</t>
  </si>
  <si>
    <t>MADA 1B 1,35X0,92 1AS</t>
  </si>
  <si>
    <t>MADA 1B 1,45X0,92 1AS</t>
  </si>
  <si>
    <t>MADA 1B 1,95X0,92 2AS</t>
  </si>
  <si>
    <t>MADA 1B 2,15X0,92 2AS</t>
  </si>
  <si>
    <t>MADA 1B 2,35X0,92 2AS</t>
  </si>
  <si>
    <t>MADA 1B 2,55X0,92 2AS</t>
  </si>
  <si>
    <t>MADA 2B 2,30X0,92 2AS</t>
  </si>
  <si>
    <t>MADA 2B 2,50X0,92 2AS</t>
  </si>
  <si>
    <t>MADA 2B 2,70X0,92 2AS</t>
  </si>
  <si>
    <t>MADA 2B 2,90X0,92 2AS</t>
  </si>
  <si>
    <t>MADA 2B 3,10X0,92 3AS</t>
  </si>
  <si>
    <t>MADA 2B 3,40X0,92 3AS</t>
  </si>
  <si>
    <t>MADA 2B 3,70X0,92 3AS</t>
  </si>
  <si>
    <t>MADA 2B 4,00X0,92 3AS</t>
  </si>
  <si>
    <t>MADA CTO 0,92X0,92 1AS</t>
  </si>
  <si>
    <t>MADA SB 0,80X0,92 1AS</t>
  </si>
  <si>
    <t xml:space="preserve">MADA SB 0,90X0,92 1AS </t>
  </si>
  <si>
    <t>MADA SB 1,00X0,92 1AS</t>
  </si>
  <si>
    <t>MADA SB 1,10X0,92 1AS</t>
  </si>
  <si>
    <t>MANDACARU PUFF - COURO CAMURÇA 4 OPÇOES</t>
  </si>
  <si>
    <t>COURO/CAM 4 OPÇOES</t>
  </si>
  <si>
    <t>BANCO MANDACARU 01</t>
  </si>
  <si>
    <t xml:space="preserve">0,40 </t>
  </si>
  <si>
    <t>BANCO MANDACARU 02</t>
  </si>
  <si>
    <t>BANCO MANDACARU 03</t>
  </si>
  <si>
    <t>BANCO MANDACARU 04</t>
  </si>
  <si>
    <t>PIRARUCU</t>
  </si>
  <si>
    <t>PIRARUCU BANCO</t>
  </si>
  <si>
    <t xml:space="preserve">PIRARUCU POLTRONA </t>
  </si>
  <si>
    <t xml:space="preserve">0,74 </t>
  </si>
  <si>
    <t>3,50</t>
  </si>
  <si>
    <t>RACIONAL POLTRONA COURO</t>
  </si>
  <si>
    <t>CO FORN</t>
  </si>
  <si>
    <t xml:space="preserve">0.75 </t>
  </si>
  <si>
    <t>RACIONAL POLTRONA TECIDO</t>
  </si>
  <si>
    <t>SAMPA COURO</t>
  </si>
  <si>
    <t>SAMPA 1B 1,15X1,20 1AS - COURO</t>
  </si>
  <si>
    <t>SAMPA 1B 1,25X1,20 1AS - COURO</t>
  </si>
  <si>
    <t xml:space="preserve">1.20 </t>
  </si>
  <si>
    <t>SAMPA 1B 1,35X1,20 1AS - COURO</t>
  </si>
  <si>
    <t>SAMPA 1B 1,45X1,20 1AS - COURO</t>
  </si>
  <si>
    <t>27,00</t>
  </si>
  <si>
    <t>SAMPA 1B 1,95X1,20 2AS - COURO</t>
  </si>
  <si>
    <t>SAMPA 1B 2,15X1,20 2AS - COURO</t>
  </si>
  <si>
    <t>SAMPA 1B 2,35X1,20 2AS - COURO</t>
  </si>
  <si>
    <t>38,00</t>
  </si>
  <si>
    <t>SAMPA 1B 2,55X1,20 2AS - COURO</t>
  </si>
  <si>
    <t>40,00</t>
  </si>
  <si>
    <t>SAMPA 1B 2,75X1,20 3AS - COURO</t>
  </si>
  <si>
    <t>SAMPA 1B 3,05X1,20 3AS - COURO</t>
  </si>
  <si>
    <t>48,00</t>
  </si>
  <si>
    <t>SAMPA 1B 3,35X1,20 3AS - COURO</t>
  </si>
  <si>
    <t>3,35</t>
  </si>
  <si>
    <t>50,00</t>
  </si>
  <si>
    <t>SAMPA 1B 3,65X1,20 3AS - COURO</t>
  </si>
  <si>
    <t>3,65</t>
  </si>
  <si>
    <t>54,00</t>
  </si>
  <si>
    <t>SAMPA 2B 2,30X1,20 2AS - COURO</t>
  </si>
  <si>
    <t>SAMPA 2B 2,50X1,20 2AS - COURO</t>
  </si>
  <si>
    <t>SAMPA 2B 2,70X1,20 2AS - COURO</t>
  </si>
  <si>
    <t>SAMPA 2B 2,90X1,20 2AS - COURO</t>
  </si>
  <si>
    <t>SAMPA 2B 3,10X1,20 3AS - COURO</t>
  </si>
  <si>
    <t>52,00</t>
  </si>
  <si>
    <t>SAMPA 2B 3,40X1,20 3AS - COURO</t>
  </si>
  <si>
    <t>56,00</t>
  </si>
  <si>
    <t>SAMPA 2B 3,70X1,20 3AS - COURO</t>
  </si>
  <si>
    <t>59,00</t>
  </si>
  <si>
    <t>SAMPA 2B 4,00X1,20 3AS - COURO</t>
  </si>
  <si>
    <t>62,00</t>
  </si>
  <si>
    <t>SAMPA CTO 1,20X1,20 1AS - COURO</t>
  </si>
  <si>
    <t>SAMPA SB 0,80X1,20 1AS - COURO</t>
  </si>
  <si>
    <t>SAMPA SB 0,90X1,20 1AS - COURO</t>
  </si>
  <si>
    <t>SAMPA SB 1,00X1,20 1AS - COURO</t>
  </si>
  <si>
    <t>SAMPA SB 1,10X1,20 1AS - COURO</t>
  </si>
  <si>
    <t>SAMPA TECIDO</t>
  </si>
  <si>
    <t>SAMPA 1B 1,15X1,20 1AS</t>
  </si>
  <si>
    <t>SAMPA 1B 1,25X1,20 1AS</t>
  </si>
  <si>
    <t>10,01</t>
  </si>
  <si>
    <t>SAMPA 1B 1,35X1,20 1AS</t>
  </si>
  <si>
    <t>SAMPA 1B 1,45X1,20 1AS</t>
  </si>
  <si>
    <t>SAMPA 1B 1,95X1,20 2AS</t>
  </si>
  <si>
    <t>SAMPA 1B 2,15X1,20 2AS</t>
  </si>
  <si>
    <t>SAMPA 1B 2,35X1,20 2AS</t>
  </si>
  <si>
    <t>SAMPA 1B 2,55X1,20 2AS</t>
  </si>
  <si>
    <t>SAMPA 1B 2,75X1,20 3AS</t>
  </si>
  <si>
    <t>SAMPA 1B 3,05X1,20 3AS</t>
  </si>
  <si>
    <t>SAMPA 1B 3,35X1,20 3AS</t>
  </si>
  <si>
    <t>SAMPA 1B 3,65X1,20 3AS</t>
  </si>
  <si>
    <t>SAMPA 2B 2,30X1,20 2AS</t>
  </si>
  <si>
    <t>SAMPA 2B 2,50X1,20 2AS</t>
  </si>
  <si>
    <t>SAMPA 2B 2,70X1,20 2AS</t>
  </si>
  <si>
    <t>SAMPA 2B 2,90X1,20 2AS</t>
  </si>
  <si>
    <t>SAMPA 2B 3,10X1,20 3AS</t>
  </si>
  <si>
    <t>SAMPA 2B 3,40X1,20 3AS</t>
  </si>
  <si>
    <t>SAMPA 2B 3,70X1,20 3AS</t>
  </si>
  <si>
    <t>SAMPA 2B 4,00X1,20 3AS</t>
  </si>
  <si>
    <t>SAMPA CTO 1,20X1,20 1AS</t>
  </si>
  <si>
    <t>SAMPA SB 0,80X1,20 1AS</t>
  </si>
  <si>
    <t>SAMPA SB 0,90X1,20 1AS</t>
  </si>
  <si>
    <t>SAMPA SB 1,00X1,20 1AS</t>
  </si>
  <si>
    <t>SAMPA SB 1,10X1,20 1AS</t>
  </si>
  <si>
    <t>TAPIOCA POLTRONA</t>
  </si>
  <si>
    <t>TAPIOCA POL 1,20X0,85</t>
  </si>
  <si>
    <t xml:space="preserve">0,85 </t>
  </si>
  <si>
    <t>OCA (TECIDO)</t>
  </si>
  <si>
    <t>OCA 1B 2,75 (TECIDO)</t>
  </si>
  <si>
    <t>OCA (COURO)</t>
  </si>
  <si>
    <t>Produto</t>
  </si>
  <si>
    <t>C</t>
  </si>
  <si>
    <t>P</t>
  </si>
  <si>
    <t>A</t>
  </si>
  <si>
    <t>Braço</t>
  </si>
  <si>
    <t>TEC.</t>
  </si>
  <si>
    <t>FX J/N</t>
  </si>
  <si>
    <t>FX R</t>
  </si>
  <si>
    <t>FX V</t>
  </si>
  <si>
    <t>FAMI PUFF 1,51X0,91 1AS ESQ</t>
  </si>
  <si>
    <t>FAMI PUFF 1,51X0,91 1AS DIR</t>
  </si>
  <si>
    <t>FAMI TECIDO</t>
  </si>
  <si>
    <t>FAMI COURO</t>
  </si>
  <si>
    <r>
      <t>FAMI 1B 2,00X1,07 1AS</t>
    </r>
    <r>
      <rPr>
        <b/>
        <sz val="10"/>
        <rFont val="Arial"/>
        <family val="2"/>
      </rPr>
      <t xml:space="preserve"> RETO</t>
    </r>
  </si>
  <si>
    <r>
      <t xml:space="preserve">FAMI 1B 1,55X1,68 1AS </t>
    </r>
    <r>
      <rPr>
        <b/>
        <i/>
        <sz val="10"/>
        <rFont val="Arial"/>
        <family val="2"/>
      </rPr>
      <t>ANGULAR</t>
    </r>
  </si>
  <si>
    <r>
      <t xml:space="preserve">FAMI 1B 1,70X1,97 1AS </t>
    </r>
    <r>
      <rPr>
        <b/>
        <i/>
        <sz val="10"/>
        <rFont val="Arial"/>
        <family val="2"/>
      </rPr>
      <t>ANGULAR</t>
    </r>
  </si>
  <si>
    <r>
      <t xml:space="preserve">FAMI 1B 2,10X2,00 1AS </t>
    </r>
    <r>
      <rPr>
        <b/>
        <i/>
        <sz val="10"/>
        <rFont val="Arial"/>
        <family val="2"/>
      </rPr>
      <t>ANGULAR</t>
    </r>
  </si>
  <si>
    <r>
      <t xml:space="preserve">FAMI 1B 2,25X2,30 1AS </t>
    </r>
    <r>
      <rPr>
        <b/>
        <i/>
        <sz val="10"/>
        <rFont val="Arial"/>
        <family val="2"/>
      </rPr>
      <t>ANGULAR</t>
    </r>
  </si>
  <si>
    <r>
      <t xml:space="preserve">FAMI CH 1,95X2,15 1AS </t>
    </r>
    <r>
      <rPr>
        <b/>
        <i/>
        <sz val="10"/>
        <rFont val="Arial"/>
        <family val="2"/>
      </rPr>
      <t>ANGULAR</t>
    </r>
  </si>
  <si>
    <r>
      <t xml:space="preserve">FAMI CH 1,95X2,37 1AS </t>
    </r>
    <r>
      <rPr>
        <b/>
        <i/>
        <sz val="10"/>
        <rFont val="Arial"/>
        <family val="2"/>
      </rPr>
      <t>ANGULAR</t>
    </r>
  </si>
  <si>
    <r>
      <t xml:space="preserve">FAMI MEIO 1,00X1,20 1AS </t>
    </r>
    <r>
      <rPr>
        <b/>
        <i/>
        <sz val="10"/>
        <rFont val="Arial"/>
        <family val="2"/>
      </rPr>
      <t>ANGULAR</t>
    </r>
  </si>
  <si>
    <r>
      <t xml:space="preserve">FAMI 1B 2,35X1,07 1AS </t>
    </r>
    <r>
      <rPr>
        <b/>
        <sz val="10"/>
        <rFont val="Arial"/>
        <family val="2"/>
      </rPr>
      <t>RETO</t>
    </r>
  </si>
  <si>
    <r>
      <t>FAMI 1B 2,60X1,07 1AS</t>
    </r>
    <r>
      <rPr>
        <b/>
        <sz val="10"/>
        <rFont val="Arial"/>
        <family val="2"/>
      </rPr>
      <t xml:space="preserve"> RETO</t>
    </r>
  </si>
  <si>
    <r>
      <t>FAMI 1B 2,95X1,07 1AS</t>
    </r>
    <r>
      <rPr>
        <b/>
        <sz val="10"/>
        <rFont val="Arial"/>
        <family val="2"/>
      </rPr>
      <t xml:space="preserve"> RETO</t>
    </r>
  </si>
  <si>
    <r>
      <t xml:space="preserve">FAMI CH 2,32X1,80 1AS </t>
    </r>
    <r>
      <rPr>
        <b/>
        <sz val="10"/>
        <rFont val="Arial"/>
        <family val="2"/>
      </rPr>
      <t>RETO</t>
    </r>
  </si>
  <si>
    <r>
      <t xml:space="preserve">FAMI CH 2,35X1,93 1AS </t>
    </r>
    <r>
      <rPr>
        <b/>
        <sz val="10"/>
        <rFont val="Arial"/>
        <family val="2"/>
      </rPr>
      <t>RETO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</si>
</sst>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#,##0.00000"/>
    <numFmt numFmtId="165" formatCode="#,##0.0000"/>
    <numFmt numFmtId="166" formatCode="_-[$R$-416]\ * #,##0.00_-;\-[$R$-416]\ * #,##0.00_-;_-[$R$-416]\ * &quot;-&quot;??_-;_-@_-"/>
    <numFmt numFmtId="167" formatCode="#,##0.0"/>
    <numFmt numFmtId="168" formatCode="0.0"/>
    <numFmt numFmtId="169" formatCode="_-[$R$-416]\ * #,##0_-;\-[$R$-416]\ * #,##0_-;_-[$R$-416]\ * &quot;-&quot;??_-;_-@_-"/>
  </numFmts>
  <fonts count="23" x14ac:knownFonts="1">
    <font>
      <sz val="10"/>
      <color indexed="8"/>
      <name val="Arial"/>
    </font>
    <font>
      <b/>
      <sz val="10"/>
      <color indexed="8"/>
      <name val="Segoe UI"/>
      <family val="2"/>
    </font>
    <font>
      <b/>
      <sz val="10"/>
      <color indexed="10"/>
      <name val="Segoe UI"/>
      <family val="2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b/>
      <sz val="18"/>
      <color indexed="8"/>
      <name val="Segoe UI"/>
      <family val="2"/>
    </font>
    <font>
      <b/>
      <sz val="10"/>
      <color indexed="8"/>
      <name val="Arial"/>
      <family val="2"/>
    </font>
    <font>
      <b/>
      <sz val="18"/>
      <color indexed="8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indexed="8"/>
      <name val="Arial"/>
      <family val="2"/>
    </font>
    <font>
      <b/>
      <sz val="18"/>
      <color theme="1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0"/>
      <color indexed="8"/>
      <name val="Arial"/>
      <family val="2"/>
    </font>
    <font>
      <b/>
      <sz val="16"/>
      <color indexed="10"/>
      <name val="Arial Narrow"/>
      <family val="2"/>
    </font>
    <font>
      <b/>
      <i/>
      <sz val="12"/>
      <color indexed="10"/>
      <name val="Arial Narrow"/>
      <family val="2"/>
    </font>
    <font>
      <sz val="10"/>
      <color indexed="10"/>
      <name val="Arial Narrow"/>
      <family val="2"/>
    </font>
    <font>
      <sz val="10"/>
      <name val="Arial Narrow"/>
      <family val="2"/>
    </font>
    <font>
      <b/>
      <sz val="16"/>
      <name val="Arial"/>
      <family val="2"/>
    </font>
    <font>
      <b/>
      <i/>
      <sz val="10"/>
      <name val="Arial"/>
      <family val="2"/>
    </font>
    <font>
      <b/>
      <sz val="18"/>
      <name val="Arial"/>
      <family val="2"/>
    </font>
    <font>
      <b/>
      <sz val="1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11"/>
      </patternFill>
    </fill>
    <fill>
      <patternFill patternType="solid">
        <fgColor theme="9" tint="0.59999389629810485"/>
        <bgColor theme="6" tint="0.79998168889431442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theme="6" tint="0.7999816888943144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6" tint="0.79998168889431442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 applyFill="0" applyProtection="0"/>
    <xf numFmtId="43" fontId="14" fillId="0" borderId="0" applyFont="0" applyFill="0" applyBorder="0" applyAlignment="0" applyProtection="0"/>
  </cellStyleXfs>
  <cellXfs count="103">
    <xf numFmtId="0" fontId="0" fillId="0" borderId="0" xfId="0" applyFill="1" applyProtection="1"/>
    <xf numFmtId="0" fontId="4" fillId="0" borderId="0" xfId="0" applyFont="1" applyFill="1" applyProtection="1"/>
    <xf numFmtId="0" fontId="0" fillId="0" borderId="1" xfId="0" applyFill="1" applyBorder="1" applyProtection="1"/>
    <xf numFmtId="0" fontId="1" fillId="2" borderId="1" xfId="0" applyFont="1" applyFill="1" applyBorder="1" applyAlignment="1" applyProtection="1">
      <alignment horizontal="center" vertical="center"/>
    </xf>
    <xf numFmtId="0" fontId="3" fillId="0" borderId="1" xfId="0" applyFont="1" applyFill="1" applyBorder="1" applyAlignment="1" applyProtection="1">
      <alignment horizontal="center"/>
    </xf>
    <xf numFmtId="0" fontId="6" fillId="0" borderId="1" xfId="0" applyFont="1" applyFill="1" applyBorder="1" applyAlignment="1" applyProtection="1">
      <alignment horizontal="center"/>
    </xf>
    <xf numFmtId="0" fontId="0" fillId="0" borderId="0" xfId="0" applyFill="1" applyAlignment="1" applyProtection="1">
      <alignment horizontal="center"/>
    </xf>
    <xf numFmtId="3" fontId="0" fillId="0" borderId="1" xfId="0" applyNumberFormat="1" applyFill="1" applyBorder="1" applyProtection="1"/>
    <xf numFmtId="3" fontId="0" fillId="0" borderId="1" xfId="0" applyNumberFormat="1" applyFill="1" applyBorder="1" applyAlignment="1" applyProtection="1">
      <alignment horizontal="center"/>
    </xf>
    <xf numFmtId="3" fontId="6" fillId="0" borderId="1" xfId="0" applyNumberFormat="1" applyFont="1" applyFill="1" applyBorder="1" applyAlignment="1" applyProtection="1">
      <alignment horizontal="center"/>
    </xf>
    <xf numFmtId="3" fontId="12" fillId="0" borderId="1" xfId="0" applyNumberFormat="1" applyFont="1" applyFill="1" applyBorder="1" applyAlignment="1" applyProtection="1">
      <alignment horizontal="center"/>
    </xf>
    <xf numFmtId="3" fontId="9" fillId="0" borderId="1" xfId="0" applyNumberFormat="1" applyFont="1" applyFill="1" applyBorder="1" applyAlignment="1" applyProtection="1">
      <alignment horizontal="center"/>
    </xf>
    <xf numFmtId="3" fontId="8" fillId="0" borderId="1" xfId="0" applyNumberFormat="1" applyFont="1" applyFill="1" applyBorder="1" applyAlignment="1" applyProtection="1">
      <alignment horizontal="center"/>
    </xf>
    <xf numFmtId="3" fontId="13" fillId="0" borderId="1" xfId="0" applyNumberFormat="1" applyFont="1" applyFill="1" applyBorder="1" applyAlignment="1" applyProtection="1">
      <alignment horizontal="center"/>
    </xf>
    <xf numFmtId="4" fontId="12" fillId="0" borderId="1" xfId="0" applyNumberFormat="1" applyFont="1" applyFill="1" applyBorder="1" applyAlignment="1" applyProtection="1">
      <alignment horizontal="center"/>
    </xf>
    <xf numFmtId="4" fontId="0" fillId="0" borderId="1" xfId="0" applyNumberFormat="1" applyFill="1" applyBorder="1" applyAlignment="1" applyProtection="1">
      <alignment horizontal="center"/>
    </xf>
    <xf numFmtId="0" fontId="10" fillId="0" borderId="0" xfId="0" applyFont="1" applyFill="1" applyProtection="1"/>
    <xf numFmtId="0" fontId="10" fillId="0" borderId="1" xfId="0" applyFont="1" applyFill="1" applyBorder="1" applyProtection="1"/>
    <xf numFmtId="3" fontId="10" fillId="0" borderId="1" xfId="0" applyNumberFormat="1" applyFont="1" applyFill="1" applyBorder="1" applyProtection="1"/>
    <xf numFmtId="3" fontId="10" fillId="0" borderId="1" xfId="0" applyNumberFormat="1" applyFont="1" applyFill="1" applyBorder="1" applyAlignment="1" applyProtection="1">
      <alignment horizontal="center"/>
    </xf>
    <xf numFmtId="43" fontId="0" fillId="0" borderId="1" xfId="1" applyFont="1" applyFill="1" applyBorder="1" applyAlignment="1" applyProtection="1">
      <alignment horizontal="center"/>
    </xf>
    <xf numFmtId="3" fontId="0" fillId="0" borderId="1" xfId="0" applyNumberFormat="1" applyFill="1" applyBorder="1" applyAlignment="1" applyProtection="1">
      <alignment horizontal="right"/>
    </xf>
    <xf numFmtId="3" fontId="0" fillId="0" borderId="0" xfId="0" applyNumberFormat="1" applyFill="1" applyAlignment="1" applyProtection="1">
      <alignment horizontal="center"/>
    </xf>
    <xf numFmtId="0" fontId="6" fillId="0" borderId="0" xfId="0" applyFont="1" applyFill="1" applyAlignment="1" applyProtection="1">
      <alignment horizontal="center"/>
    </xf>
    <xf numFmtId="0" fontId="0" fillId="0" borderId="1" xfId="0" applyFill="1" applyBorder="1" applyAlignment="1" applyProtection="1">
      <alignment horizontal="center"/>
    </xf>
    <xf numFmtId="0" fontId="16" fillId="0" borderId="10" xfId="0" applyFont="1" applyBorder="1" applyAlignment="1">
      <alignment vertical="top"/>
    </xf>
    <xf numFmtId="0" fontId="17" fillId="3" borderId="10" xfId="0" applyFont="1" applyFill="1" applyBorder="1" applyAlignment="1">
      <alignment vertical="top"/>
    </xf>
    <xf numFmtId="0" fontId="17" fillId="4" borderId="10" xfId="0" applyFont="1" applyFill="1" applyBorder="1" applyAlignment="1">
      <alignment vertical="top"/>
    </xf>
    <xf numFmtId="0" fontId="17" fillId="5" borderId="10" xfId="0" applyFont="1" applyFill="1" applyBorder="1" applyAlignment="1">
      <alignment vertical="center"/>
    </xf>
    <xf numFmtId="0" fontId="17" fillId="6" borderId="10" xfId="0" applyFont="1" applyFill="1" applyBorder="1" applyAlignment="1">
      <alignment vertical="top"/>
    </xf>
    <xf numFmtId="0" fontId="17" fillId="7" borderId="10" xfId="0" applyFont="1" applyFill="1" applyBorder="1" applyAlignment="1">
      <alignment vertical="top"/>
    </xf>
    <xf numFmtId="0" fontId="18" fillId="7" borderId="10" xfId="0" applyFont="1" applyFill="1" applyBorder="1" applyAlignment="1">
      <alignment vertical="top"/>
    </xf>
    <xf numFmtId="0" fontId="17" fillId="6" borderId="11" xfId="0" applyFont="1" applyFill="1" applyBorder="1" applyAlignment="1">
      <alignment vertical="top"/>
    </xf>
    <xf numFmtId="0" fontId="15" fillId="0" borderId="8" xfId="0" applyFont="1" applyBorder="1" applyAlignment="1">
      <alignment vertical="center"/>
    </xf>
    <xf numFmtId="0" fontId="20" fillId="0" borderId="3" xfId="0" applyFont="1" applyBorder="1" applyAlignment="1">
      <alignment vertical="top"/>
    </xf>
    <xf numFmtId="0" fontId="20" fillId="0" borderId="1" xfId="0" applyFont="1" applyBorder="1" applyAlignment="1">
      <alignment horizontal="center" vertical="top"/>
    </xf>
    <xf numFmtId="3" fontId="12" fillId="0" borderId="0" xfId="0" applyNumberFormat="1" applyFont="1" applyFill="1" applyAlignment="1" applyProtection="1">
      <alignment horizontal="center"/>
    </xf>
    <xf numFmtId="0" fontId="12" fillId="0" borderId="0" xfId="0" applyFont="1" applyFill="1" applyProtection="1"/>
    <xf numFmtId="0" fontId="15" fillId="0" borderId="0" xfId="0" applyFont="1" applyAlignment="1">
      <alignment vertical="center"/>
    </xf>
    <xf numFmtId="169" fontId="0" fillId="0" borderId="0" xfId="0" applyNumberFormat="1" applyFill="1" applyProtection="1"/>
    <xf numFmtId="0" fontId="0" fillId="0" borderId="2" xfId="0" applyFill="1" applyBorder="1" applyProtection="1"/>
    <xf numFmtId="3" fontId="0" fillId="0" borderId="12" xfId="0" applyNumberFormat="1" applyFill="1" applyBorder="1" applyProtection="1"/>
    <xf numFmtId="3" fontId="0" fillId="0" borderId="12" xfId="0" applyNumberFormat="1" applyFill="1" applyBorder="1" applyAlignment="1" applyProtection="1">
      <alignment horizontal="center"/>
    </xf>
    <xf numFmtId="3" fontId="0" fillId="0" borderId="12" xfId="0" applyNumberFormat="1" applyFill="1" applyBorder="1" applyAlignment="1" applyProtection="1">
      <alignment horizontal="right"/>
    </xf>
    <xf numFmtId="165" fontId="0" fillId="0" borderId="12" xfId="0" applyNumberFormat="1" applyFill="1" applyBorder="1" applyAlignment="1" applyProtection="1">
      <alignment horizontal="center"/>
    </xf>
    <xf numFmtId="4" fontId="12" fillId="0" borderId="12" xfId="0" applyNumberFormat="1" applyFont="1" applyFill="1" applyBorder="1" applyAlignment="1" applyProtection="1">
      <alignment horizontal="center"/>
    </xf>
    <xf numFmtId="3" fontId="12" fillId="0" borderId="12" xfId="0" applyNumberFormat="1" applyFont="1" applyFill="1" applyBorder="1" applyAlignment="1" applyProtection="1">
      <alignment horizontal="center"/>
    </xf>
    <xf numFmtId="3" fontId="6" fillId="0" borderId="13" xfId="0" applyNumberFormat="1" applyFont="1" applyFill="1" applyBorder="1" applyAlignment="1" applyProtection="1">
      <alignment horizontal="center"/>
    </xf>
    <xf numFmtId="3" fontId="9" fillId="0" borderId="13" xfId="0" applyNumberFormat="1" applyFont="1" applyFill="1" applyBorder="1" applyAlignment="1" applyProtection="1">
      <alignment horizontal="center"/>
    </xf>
    <xf numFmtId="169" fontId="12" fillId="8" borderId="1" xfId="0" applyNumberFormat="1" applyFont="1" applyFill="1" applyBorder="1" applyAlignment="1">
      <alignment horizontal="center" vertical="top"/>
    </xf>
    <xf numFmtId="169" fontId="12" fillId="9" borderId="1" xfId="0" applyNumberFormat="1" applyFont="1" applyFill="1" applyBorder="1" applyAlignment="1">
      <alignment horizontal="center" vertical="top"/>
    </xf>
    <xf numFmtId="166" fontId="20" fillId="8" borderId="1" xfId="0" applyNumberFormat="1" applyFont="1" applyFill="1" applyBorder="1" applyAlignment="1">
      <alignment horizontal="center" vertical="top"/>
    </xf>
    <xf numFmtId="0" fontId="12" fillId="9" borderId="3" xfId="0" applyFont="1" applyFill="1" applyBorder="1" applyAlignment="1">
      <alignment vertical="top"/>
    </xf>
    <xf numFmtId="4" fontId="12" fillId="9" borderId="1" xfId="0" applyNumberFormat="1" applyFont="1" applyFill="1" applyBorder="1" applyAlignment="1">
      <alignment horizontal="center" vertical="top"/>
    </xf>
    <xf numFmtId="167" fontId="12" fillId="9" borderId="1" xfId="0" applyNumberFormat="1" applyFont="1" applyFill="1" applyBorder="1" applyAlignment="1">
      <alignment horizontal="center" vertical="top"/>
    </xf>
    <xf numFmtId="4" fontId="12" fillId="8" borderId="1" xfId="0" applyNumberFormat="1" applyFont="1" applyFill="1" applyBorder="1" applyAlignment="1">
      <alignment horizontal="center" vertical="top"/>
    </xf>
    <xf numFmtId="167" fontId="12" fillId="8" borderId="1" xfId="0" applyNumberFormat="1" applyFont="1" applyFill="1" applyBorder="1" applyAlignment="1">
      <alignment horizontal="center" vertical="top"/>
    </xf>
    <xf numFmtId="4" fontId="12" fillId="8" borderId="1" xfId="0" applyNumberFormat="1" applyFont="1" applyFill="1" applyBorder="1" applyAlignment="1">
      <alignment horizontal="center" vertical="center"/>
    </xf>
    <xf numFmtId="167" fontId="12" fillId="8" borderId="1" xfId="0" applyNumberFormat="1" applyFont="1" applyFill="1" applyBorder="1" applyAlignment="1">
      <alignment horizontal="center" vertical="center"/>
    </xf>
    <xf numFmtId="169" fontId="12" fillId="8" borderId="1" xfId="0" applyNumberFormat="1" applyFont="1" applyFill="1" applyBorder="1" applyAlignment="1">
      <alignment horizontal="center" vertical="center"/>
    </xf>
    <xf numFmtId="0" fontId="12" fillId="9" borderId="6" xfId="0" applyFont="1" applyFill="1" applyBorder="1" applyAlignment="1">
      <alignment vertical="top"/>
    </xf>
    <xf numFmtId="4" fontId="12" fillId="9" borderId="12" xfId="0" applyNumberFormat="1" applyFont="1" applyFill="1" applyBorder="1" applyAlignment="1">
      <alignment horizontal="center" vertical="top"/>
    </xf>
    <xf numFmtId="167" fontId="12" fillId="9" borderId="12" xfId="0" applyNumberFormat="1" applyFont="1" applyFill="1" applyBorder="1" applyAlignment="1">
      <alignment horizontal="center" vertical="top"/>
    </xf>
    <xf numFmtId="169" fontId="12" fillId="9" borderId="9" xfId="0" applyNumberFormat="1" applyFont="1" applyFill="1" applyBorder="1" applyAlignment="1">
      <alignment horizontal="center" vertical="top"/>
    </xf>
    <xf numFmtId="168" fontId="12" fillId="9" borderId="1" xfId="0" applyNumberFormat="1" applyFont="1" applyFill="1" applyBorder="1" applyAlignment="1">
      <alignment horizontal="center" vertical="top"/>
    </xf>
    <xf numFmtId="4" fontId="12" fillId="9" borderId="9" xfId="0" applyNumberFormat="1" applyFont="1" applyFill="1" applyBorder="1" applyAlignment="1">
      <alignment horizontal="center" vertical="top"/>
    </xf>
    <xf numFmtId="3" fontId="7" fillId="0" borderId="2" xfId="0" applyNumberFormat="1" applyFont="1" applyFill="1" applyBorder="1" applyAlignment="1" applyProtection="1">
      <alignment horizontal="center"/>
    </xf>
    <xf numFmtId="3" fontId="7" fillId="0" borderId="3" xfId="0" applyNumberFormat="1" applyFont="1" applyFill="1" applyBorder="1" applyAlignment="1" applyProtection="1">
      <alignment horizontal="center"/>
    </xf>
    <xf numFmtId="3" fontId="7" fillId="0" borderId="4" xfId="0" applyNumberFormat="1" applyFont="1" applyFill="1" applyBorder="1" applyAlignment="1" applyProtection="1">
      <alignment horizontal="center"/>
    </xf>
    <xf numFmtId="3" fontId="7" fillId="0" borderId="1" xfId="0" applyNumberFormat="1" applyFont="1" applyFill="1" applyBorder="1" applyAlignment="1" applyProtection="1">
      <alignment horizontal="center"/>
    </xf>
    <xf numFmtId="0" fontId="7" fillId="0" borderId="2" xfId="0" applyFont="1" applyFill="1" applyBorder="1" applyAlignment="1" applyProtection="1">
      <alignment horizontal="center"/>
    </xf>
    <xf numFmtId="0" fontId="7" fillId="0" borderId="3" xfId="0" applyFont="1" applyFill="1" applyBorder="1" applyAlignment="1" applyProtection="1">
      <alignment horizontal="center"/>
    </xf>
    <xf numFmtId="0" fontId="7" fillId="0" borderId="4" xfId="0" applyFont="1" applyFill="1" applyBorder="1" applyAlignment="1" applyProtection="1">
      <alignment horizontal="center"/>
    </xf>
    <xf numFmtId="0" fontId="6" fillId="0" borderId="2" xfId="0" applyFont="1" applyFill="1" applyBorder="1" applyAlignment="1" applyProtection="1">
      <alignment horizontal="center"/>
    </xf>
    <xf numFmtId="0" fontId="6" fillId="0" borderId="3" xfId="0" applyFont="1" applyFill="1" applyBorder="1" applyAlignment="1" applyProtection="1">
      <alignment horizontal="center"/>
    </xf>
    <xf numFmtId="0" fontId="6" fillId="0" borderId="4" xfId="0" applyFont="1" applyFill="1" applyBorder="1" applyAlignment="1" applyProtection="1">
      <alignment horizontal="center"/>
    </xf>
    <xf numFmtId="3" fontId="0" fillId="0" borderId="2" xfId="0" applyNumberFormat="1" applyFill="1" applyBorder="1" applyAlignment="1" applyProtection="1">
      <alignment horizontal="center"/>
    </xf>
    <xf numFmtId="3" fontId="0" fillId="0" borderId="3" xfId="0" applyNumberFormat="1" applyFill="1" applyBorder="1" applyAlignment="1" applyProtection="1">
      <alignment horizontal="center"/>
    </xf>
    <xf numFmtId="3" fontId="0" fillId="0" borderId="4" xfId="0" applyNumberFormat="1" applyFill="1" applyBorder="1" applyAlignment="1" applyProtection="1">
      <alignment horizontal="center"/>
    </xf>
    <xf numFmtId="0" fontId="19" fillId="0" borderId="2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3" fontId="0" fillId="0" borderId="1" xfId="0" applyNumberFormat="1" applyFill="1" applyBorder="1" applyAlignment="1" applyProtection="1">
      <alignment horizontal="left"/>
    </xf>
    <xf numFmtId="3" fontId="0" fillId="0" borderId="1" xfId="0" applyNumberFormat="1" applyFill="1" applyBorder="1" applyAlignment="1" applyProtection="1">
      <alignment horizontal="center"/>
    </xf>
    <xf numFmtId="3" fontId="21" fillId="0" borderId="1" xfId="0" applyNumberFormat="1" applyFont="1" applyFill="1" applyBorder="1" applyAlignment="1" applyProtection="1">
      <alignment horizontal="center"/>
    </xf>
    <xf numFmtId="0" fontId="1" fillId="0" borderId="2" xfId="0" applyFont="1" applyFill="1" applyBorder="1" applyAlignment="1" applyProtection="1">
      <alignment horizontal="center" vertical="center"/>
    </xf>
    <xf numFmtId="0" fontId="1" fillId="0" borderId="3" xfId="0" applyFont="1" applyFill="1" applyBorder="1" applyAlignment="1" applyProtection="1">
      <alignment horizontal="center" vertical="center"/>
    </xf>
    <xf numFmtId="0" fontId="1" fillId="0" borderId="4" xfId="0" applyFont="1" applyFill="1" applyBorder="1" applyAlignment="1" applyProtection="1">
      <alignment horizontal="center" vertical="center"/>
    </xf>
    <xf numFmtId="3" fontId="11" fillId="0" borderId="2" xfId="0" applyNumberFormat="1" applyFont="1" applyFill="1" applyBorder="1" applyAlignment="1" applyProtection="1">
      <alignment horizontal="center"/>
    </xf>
    <xf numFmtId="3" fontId="11" fillId="0" borderId="3" xfId="0" applyNumberFormat="1" applyFont="1" applyFill="1" applyBorder="1" applyAlignment="1" applyProtection="1">
      <alignment horizontal="center"/>
    </xf>
    <xf numFmtId="3" fontId="11" fillId="0" borderId="4" xfId="0" applyNumberFormat="1" applyFont="1" applyFill="1" applyBorder="1" applyAlignment="1" applyProtection="1">
      <alignment horizontal="center"/>
    </xf>
    <xf numFmtId="0" fontId="0" fillId="0" borderId="5" xfId="0" applyFill="1" applyBorder="1" applyAlignment="1" applyProtection="1">
      <alignment horizontal="center" vertical="center"/>
    </xf>
    <xf numFmtId="0" fontId="0" fillId="0" borderId="6" xfId="0" applyFill="1" applyBorder="1" applyAlignment="1" applyProtection="1">
      <alignment horizontal="center" vertical="center"/>
    </xf>
    <xf numFmtId="0" fontId="0" fillId="0" borderId="7" xfId="0" applyFill="1" applyBorder="1" applyAlignment="1" applyProtection="1">
      <alignment horizontal="center" vertical="center"/>
    </xf>
    <xf numFmtId="14" fontId="2" fillId="0" borderId="1" xfId="0" applyNumberFormat="1" applyFont="1" applyFill="1" applyBorder="1" applyAlignment="1" applyProtection="1">
      <alignment horizontal="center" vertical="center"/>
    </xf>
    <xf numFmtId="0" fontId="2" fillId="0" borderId="1" xfId="0" applyFont="1" applyFill="1" applyBorder="1" applyAlignment="1" applyProtection="1">
      <alignment horizontal="center" vertical="center"/>
    </xf>
    <xf numFmtId="164" fontId="7" fillId="0" borderId="2" xfId="0" applyNumberFormat="1" applyFont="1" applyFill="1" applyBorder="1" applyAlignment="1" applyProtection="1">
      <alignment horizontal="center"/>
    </xf>
    <xf numFmtId="164" fontId="7" fillId="0" borderId="3" xfId="0" applyNumberFormat="1" applyFont="1" applyFill="1" applyBorder="1" applyAlignment="1" applyProtection="1">
      <alignment horizontal="center"/>
    </xf>
    <xf numFmtId="164" fontId="7" fillId="0" borderId="4" xfId="0" applyNumberFormat="1" applyFont="1" applyFill="1" applyBorder="1" applyAlignment="1" applyProtection="1">
      <alignment horizontal="center"/>
    </xf>
    <xf numFmtId="0" fontId="5" fillId="2" borderId="2" xfId="0" applyFont="1" applyFill="1" applyBorder="1" applyAlignment="1" applyProtection="1">
      <alignment horizontal="center" vertical="center"/>
    </xf>
    <xf numFmtId="0" fontId="5" fillId="2" borderId="3" xfId="0" applyFont="1" applyFill="1" applyBorder="1" applyAlignment="1" applyProtection="1">
      <alignment horizontal="center" vertical="center"/>
    </xf>
    <xf numFmtId="0" fontId="5" fillId="2" borderId="4" xfId="0" applyFont="1" applyFill="1" applyBorder="1" applyAlignment="1" applyProtection="1">
      <alignment horizontal="center" vertical="center"/>
    </xf>
    <xf numFmtId="0" fontId="1" fillId="0" borderId="1" xfId="0" applyFont="1" applyFill="1" applyBorder="1" applyAlignment="1" applyProtection="1">
      <alignment horizontal="center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0066CC"/>
      <rgbColor rgb="00FFFFCC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31401</xdr:colOff>
      <xdr:row>0</xdr:row>
      <xdr:rowOff>52334</xdr:rowOff>
    </xdr:from>
    <xdr:to>
      <xdr:col>9</xdr:col>
      <xdr:colOff>450082</xdr:colOff>
      <xdr:row>0</xdr:row>
      <xdr:rowOff>1172308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01" y="52334"/>
          <a:ext cx="9221456" cy="11199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488"/>
  <sheetViews>
    <sheetView tabSelected="1" showRuler="0" view="pageBreakPreview" topLeftCell="B460" zoomScale="115" zoomScaleNormal="96" zoomScaleSheetLayoutView="115" zoomScalePageLayoutView="96" workbookViewId="0">
      <selection activeCell="B17" sqref="B17:K17"/>
    </sheetView>
  </sheetViews>
  <sheetFormatPr defaultRowHeight="12.75" customHeight="1" x14ac:dyDescent="0.2"/>
  <cols>
    <col min="1" max="1" width="42.85546875" hidden="1" customWidth="1"/>
    <col min="2" max="2" width="48.7109375" customWidth="1"/>
    <col min="3" max="5" width="7" style="6" customWidth="1"/>
    <col min="6" max="6" width="8.85546875" style="6" customWidth="1"/>
    <col min="7" max="7" width="17.5703125" style="6" customWidth="1"/>
    <col min="8" max="8" width="16" style="6" customWidth="1"/>
    <col min="9" max="11" width="19.85546875" style="6" customWidth="1"/>
    <col min="12" max="12" width="18.42578125" customWidth="1"/>
    <col min="13" max="13" width="14.140625" hidden="1" customWidth="1"/>
  </cols>
  <sheetData>
    <row r="1" spans="1:11" ht="93" customHeight="1" x14ac:dyDescent="0.2">
      <c r="A1" s="91"/>
      <c r="B1" s="92"/>
      <c r="C1" s="92"/>
      <c r="D1" s="92"/>
      <c r="E1" s="92"/>
      <c r="F1" s="92"/>
      <c r="G1" s="92"/>
      <c r="H1" s="92"/>
      <c r="I1" s="92"/>
      <c r="J1" s="92"/>
      <c r="K1" s="93"/>
    </row>
    <row r="2" spans="1:11" ht="12.75" customHeight="1" x14ac:dyDescent="0.25">
      <c r="A2" s="102" t="s">
        <v>0</v>
      </c>
      <c r="B2" s="102"/>
      <c r="C2" s="102"/>
      <c r="D2" s="102"/>
      <c r="E2" s="102"/>
      <c r="F2" s="102"/>
      <c r="G2" s="102"/>
      <c r="H2" s="94">
        <v>44927</v>
      </c>
      <c r="I2" s="94"/>
      <c r="J2" s="94"/>
      <c r="K2" s="94"/>
    </row>
    <row r="3" spans="1:11" ht="12.75" hidden="1" customHeight="1" x14ac:dyDescent="0.25">
      <c r="A3" s="102" t="s">
        <v>1</v>
      </c>
      <c r="B3" s="102"/>
      <c r="C3" s="102"/>
      <c r="D3" s="102"/>
      <c r="E3" s="102"/>
      <c r="F3" s="102"/>
      <c r="G3" s="102"/>
      <c r="H3" s="95">
        <v>5.35</v>
      </c>
      <c r="I3" s="95"/>
      <c r="J3" s="95"/>
      <c r="K3" s="95"/>
    </row>
    <row r="4" spans="1:11" ht="12.75" customHeight="1" x14ac:dyDescent="0.2">
      <c r="A4" s="85" t="s">
        <v>2</v>
      </c>
      <c r="B4" s="86"/>
      <c r="C4" s="86"/>
      <c r="D4" s="86"/>
      <c r="E4" s="86"/>
      <c r="F4" s="86"/>
      <c r="G4" s="86"/>
      <c r="H4" s="86"/>
      <c r="I4" s="86"/>
      <c r="J4" s="86"/>
      <c r="K4" s="87"/>
    </row>
    <row r="5" spans="1:11" ht="30" customHeight="1" x14ac:dyDescent="0.2">
      <c r="A5" s="3"/>
      <c r="B5" s="99" t="s">
        <v>297</v>
      </c>
      <c r="C5" s="100"/>
      <c r="D5" s="100"/>
      <c r="E5" s="100"/>
      <c r="F5" s="100"/>
      <c r="G5" s="100"/>
      <c r="H5" s="100"/>
      <c r="I5" s="100"/>
      <c r="J5" s="100"/>
      <c r="K5" s="101"/>
    </row>
    <row r="6" spans="1:11" s="1" customFormat="1" ht="12.75" customHeight="1" x14ac:dyDescent="0.2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4" t="s">
        <v>8</v>
      </c>
      <c r="G6" s="4" t="s">
        <v>9</v>
      </c>
      <c r="H6" s="5" t="s">
        <v>345</v>
      </c>
      <c r="I6" s="4" t="s">
        <v>11</v>
      </c>
      <c r="J6" s="4" t="s">
        <v>12</v>
      </c>
      <c r="K6" s="4" t="s">
        <v>13</v>
      </c>
    </row>
    <row r="7" spans="1:11" ht="12.75" customHeight="1" x14ac:dyDescent="0.2">
      <c r="A7" s="2"/>
      <c r="B7" s="7" t="s">
        <v>17</v>
      </c>
      <c r="C7" s="8" t="s">
        <v>18</v>
      </c>
      <c r="D7" s="8" t="s">
        <v>19</v>
      </c>
      <c r="E7" s="8" t="s">
        <v>20</v>
      </c>
      <c r="F7" s="8" t="s">
        <v>21</v>
      </c>
      <c r="G7" s="8" t="s">
        <v>22</v>
      </c>
      <c r="H7" s="8">
        <f>(6629.04*($H$3))</f>
        <v>35465.363999999994</v>
      </c>
      <c r="I7" s="8">
        <f>(8122.37*($H$3))</f>
        <v>43454.679499999998</v>
      </c>
      <c r="J7" s="8">
        <f>(8442.37*($H$3))</f>
        <v>45166.679499999998</v>
      </c>
      <c r="K7" s="8">
        <f>(8895.7*($H$3))</f>
        <v>47591.995000000003</v>
      </c>
    </row>
    <row r="8" spans="1:11" ht="12.75" customHeight="1" x14ac:dyDescent="0.2">
      <c r="A8" s="2"/>
      <c r="B8" s="7" t="s">
        <v>23</v>
      </c>
      <c r="C8" s="8" t="s">
        <v>24</v>
      </c>
      <c r="D8" s="8" t="s">
        <v>19</v>
      </c>
      <c r="E8" s="8" t="s">
        <v>20</v>
      </c>
      <c r="F8" s="8" t="s">
        <v>21</v>
      </c>
      <c r="G8" s="8" t="s">
        <v>25</v>
      </c>
      <c r="H8" s="8">
        <f>(6951.09*($H$3))</f>
        <v>37188.3315</v>
      </c>
      <c r="I8" s="8">
        <f>(8568.86*($H$3))</f>
        <v>45843.400999999998</v>
      </c>
      <c r="J8" s="8">
        <f>(8915.53*($H$3))</f>
        <v>47698.085500000001</v>
      </c>
      <c r="K8" s="8">
        <f>(9406.64*($H$3))</f>
        <v>50325.52399999999</v>
      </c>
    </row>
    <row r="9" spans="1:11" ht="12.75" customHeight="1" x14ac:dyDescent="0.2">
      <c r="A9" s="2"/>
      <c r="B9" s="7" t="s">
        <v>26</v>
      </c>
      <c r="C9" s="8" t="s">
        <v>27</v>
      </c>
      <c r="D9" s="8" t="s">
        <v>19</v>
      </c>
      <c r="E9" s="8" t="s">
        <v>20</v>
      </c>
      <c r="F9" s="8" t="s">
        <v>21</v>
      </c>
      <c r="G9" s="8" t="s">
        <v>28</v>
      </c>
      <c r="H9" s="8">
        <f>(7272.65*($H$3))</f>
        <v>38908.677499999998</v>
      </c>
      <c r="I9" s="8">
        <f>(9014.87*($H$3))</f>
        <v>48229.554499999998</v>
      </c>
      <c r="J9" s="8">
        <f>(9388.2*($H$3))</f>
        <v>50226.87</v>
      </c>
      <c r="K9" s="8">
        <f>(9917.09*($H$3))</f>
        <v>53056.431499999999</v>
      </c>
    </row>
    <row r="10" spans="1:11" ht="12.75" customHeight="1" x14ac:dyDescent="0.2">
      <c r="A10" s="2"/>
      <c r="B10" s="7" t="s">
        <v>29</v>
      </c>
      <c r="C10" s="8" t="s">
        <v>30</v>
      </c>
      <c r="D10" s="8" t="s">
        <v>19</v>
      </c>
      <c r="E10" s="8" t="s">
        <v>20</v>
      </c>
      <c r="F10" s="8" t="s">
        <v>21</v>
      </c>
      <c r="G10" s="8" t="s">
        <v>31</v>
      </c>
      <c r="H10" s="8">
        <f>(7612.09*($H$3))</f>
        <v>40724.681499999999</v>
      </c>
      <c r="I10" s="8">
        <f>(9478.76*($H$3))</f>
        <v>50711.365999999995</v>
      </c>
      <c r="J10" s="8">
        <f>(9878.76*($H$3))</f>
        <v>52851.365999999995</v>
      </c>
      <c r="K10" s="8">
        <f>(10445.42*($H$3))</f>
        <v>55882.996999999996</v>
      </c>
    </row>
    <row r="11" spans="1:11" ht="30" customHeight="1" x14ac:dyDescent="0.35">
      <c r="A11" s="2"/>
      <c r="B11" s="66" t="s">
        <v>32</v>
      </c>
      <c r="C11" s="67"/>
      <c r="D11" s="67"/>
      <c r="E11" s="67"/>
      <c r="F11" s="67"/>
      <c r="G11" s="67"/>
      <c r="H11" s="67"/>
      <c r="I11" s="67"/>
      <c r="J11" s="67"/>
      <c r="K11" s="68"/>
    </row>
    <row r="12" spans="1:11" s="16" customFormat="1" ht="12.75" customHeight="1" x14ac:dyDescent="0.2">
      <c r="A12" s="5" t="s">
        <v>3</v>
      </c>
      <c r="B12" s="9" t="s">
        <v>4</v>
      </c>
      <c r="C12" s="9" t="s">
        <v>5</v>
      </c>
      <c r="D12" s="9" t="s">
        <v>6</v>
      </c>
      <c r="E12" s="9" t="s">
        <v>7</v>
      </c>
      <c r="F12" s="9" t="s">
        <v>8</v>
      </c>
      <c r="G12" s="9" t="s">
        <v>9</v>
      </c>
      <c r="H12" s="9" t="s">
        <v>346</v>
      </c>
      <c r="I12" s="9" t="s">
        <v>14</v>
      </c>
      <c r="J12" s="9" t="s">
        <v>15</v>
      </c>
      <c r="K12" s="9" t="s">
        <v>16</v>
      </c>
    </row>
    <row r="13" spans="1:11" ht="12.75" customHeight="1" x14ac:dyDescent="0.2">
      <c r="A13" s="2"/>
      <c r="B13" s="7" t="s">
        <v>33</v>
      </c>
      <c r="C13" s="8" t="s">
        <v>18</v>
      </c>
      <c r="D13" s="8" t="s">
        <v>19</v>
      </c>
      <c r="E13" s="8" t="s">
        <v>20</v>
      </c>
      <c r="F13" s="8" t="s">
        <v>21</v>
      </c>
      <c r="G13" s="8" t="s">
        <v>34</v>
      </c>
      <c r="H13" s="8">
        <f>(8307.88*($H$3))</f>
        <v>44447.157999999996</v>
      </c>
      <c r="I13" s="8">
        <f>(14852.32*($H$3))</f>
        <v>79459.911999999997</v>
      </c>
      <c r="J13" s="8">
        <f>(14852.32*($H$3))</f>
        <v>79459.911999999997</v>
      </c>
      <c r="K13" s="8">
        <f>(19398.99*($H$3))</f>
        <v>103784.5965</v>
      </c>
    </row>
    <row r="14" spans="1:11" ht="12.75" customHeight="1" x14ac:dyDescent="0.2">
      <c r="A14" s="2"/>
      <c r="B14" s="7" t="s">
        <v>35</v>
      </c>
      <c r="C14" s="8" t="s">
        <v>24</v>
      </c>
      <c r="D14" s="8" t="s">
        <v>19</v>
      </c>
      <c r="E14" s="8" t="s">
        <v>20</v>
      </c>
      <c r="F14" s="8" t="s">
        <v>21</v>
      </c>
      <c r="G14" s="8" t="s">
        <v>36</v>
      </c>
      <c r="H14" s="8">
        <f>(8728.15*($H$3))</f>
        <v>46695.602499999994</v>
      </c>
      <c r="I14" s="8">
        <f>(15694.82*($H$3))</f>
        <v>83967.286999999997</v>
      </c>
      <c r="J14" s="8">
        <f>(15694.82*($H$3))</f>
        <v>83967.286999999997</v>
      </c>
      <c r="K14" s="8">
        <f>(20534.82*($H$3))</f>
        <v>109861.287</v>
      </c>
    </row>
    <row r="15" spans="1:11" ht="12.75" customHeight="1" x14ac:dyDescent="0.2">
      <c r="A15" s="2"/>
      <c r="B15" s="7" t="s">
        <v>37</v>
      </c>
      <c r="C15" s="8" t="s">
        <v>27</v>
      </c>
      <c r="D15" s="8" t="s">
        <v>19</v>
      </c>
      <c r="E15" s="8" t="s">
        <v>20</v>
      </c>
      <c r="F15" s="8" t="s">
        <v>21</v>
      </c>
      <c r="G15" s="8" t="s">
        <v>38</v>
      </c>
      <c r="H15" s="8">
        <f>(9216.83*($H$3))</f>
        <v>49310.040499999996</v>
      </c>
      <c r="I15" s="8">
        <f>(16816.83*($H$3))</f>
        <v>89970.040500000003</v>
      </c>
      <c r="J15" s="8">
        <f>(16816.83*($H$3))</f>
        <v>89970.040500000003</v>
      </c>
      <c r="K15" s="8">
        <f>(22096.83*($H$3))</f>
        <v>118218.0405</v>
      </c>
    </row>
    <row r="16" spans="1:11" ht="12.75" customHeight="1" x14ac:dyDescent="0.2">
      <c r="A16" s="2"/>
      <c r="B16" s="7" t="s">
        <v>39</v>
      </c>
      <c r="C16" s="8" t="s">
        <v>30</v>
      </c>
      <c r="D16" s="8" t="s">
        <v>19</v>
      </c>
      <c r="E16" s="8" t="s">
        <v>20</v>
      </c>
      <c r="F16" s="8" t="s">
        <v>21</v>
      </c>
      <c r="G16" s="8" t="s">
        <v>40</v>
      </c>
      <c r="H16" s="8">
        <f>(9577.53*($H$3))</f>
        <v>51239.785499999998</v>
      </c>
      <c r="I16" s="8">
        <f>(17388.64*($H$3))</f>
        <v>93029.223999999987</v>
      </c>
      <c r="J16" s="8">
        <f>(17388.64*($H$3))</f>
        <v>93029.223999999987</v>
      </c>
      <c r="K16" s="8">
        <f>(22815.31*($H$3))</f>
        <v>122061.90850000001</v>
      </c>
    </row>
    <row r="17" spans="1:12" ht="30" customHeight="1" x14ac:dyDescent="0.35">
      <c r="A17" s="2"/>
      <c r="B17" s="66" t="s">
        <v>352</v>
      </c>
      <c r="C17" s="67"/>
      <c r="D17" s="67"/>
      <c r="E17" s="67"/>
      <c r="F17" s="67"/>
      <c r="G17" s="67"/>
      <c r="H17" s="67"/>
      <c r="I17" s="67"/>
      <c r="J17" s="67"/>
      <c r="K17" s="68"/>
      <c r="L17" s="22"/>
    </row>
    <row r="18" spans="1:12" ht="12.75" customHeight="1" x14ac:dyDescent="0.2">
      <c r="A18" s="5" t="s">
        <v>3</v>
      </c>
      <c r="B18" s="9" t="s">
        <v>4</v>
      </c>
      <c r="C18" s="9" t="s">
        <v>5</v>
      </c>
      <c r="D18" s="9" t="s">
        <v>6</v>
      </c>
      <c r="E18" s="9" t="s">
        <v>7</v>
      </c>
      <c r="F18" s="9" t="s">
        <v>8</v>
      </c>
      <c r="G18" s="9" t="s">
        <v>353</v>
      </c>
      <c r="H18" s="9" t="s">
        <v>10</v>
      </c>
      <c r="I18" s="9" t="s">
        <v>14</v>
      </c>
      <c r="J18" s="9" t="s">
        <v>15</v>
      </c>
      <c r="K18" s="9" t="s">
        <v>16</v>
      </c>
    </row>
    <row r="19" spans="1:12" ht="12.75" customHeight="1" x14ac:dyDescent="0.2">
      <c r="A19" s="2"/>
      <c r="B19" s="7" t="s">
        <v>354</v>
      </c>
      <c r="C19" s="8" t="s">
        <v>88</v>
      </c>
      <c r="D19" s="8" t="s">
        <v>355</v>
      </c>
      <c r="E19" s="8" t="s">
        <v>356</v>
      </c>
      <c r="F19" s="8" t="s">
        <v>63</v>
      </c>
      <c r="G19" s="8" t="s">
        <v>357</v>
      </c>
      <c r="H19" s="8">
        <f>(7393.59*($H$3))</f>
        <v>39555.7065</v>
      </c>
      <c r="I19" s="8">
        <f>(16726.92*($H$3))</f>
        <v>89489.021999999983</v>
      </c>
      <c r="J19" s="8">
        <f>(16726.92*($H$3))</f>
        <v>89489.021999999983</v>
      </c>
      <c r="K19" s="8">
        <f>(22593.59*($H$3))</f>
        <v>120875.70649999999</v>
      </c>
    </row>
    <row r="20" spans="1:12" ht="12.75" customHeight="1" x14ac:dyDescent="0.2">
      <c r="A20" s="2"/>
      <c r="B20" s="7" t="s">
        <v>358</v>
      </c>
      <c r="C20" s="8" t="s">
        <v>93</v>
      </c>
      <c r="D20" s="8" t="s">
        <v>355</v>
      </c>
      <c r="E20" s="8" t="s">
        <v>356</v>
      </c>
      <c r="F20" s="8" t="s">
        <v>63</v>
      </c>
      <c r="G20" s="8" t="s">
        <v>359</v>
      </c>
      <c r="H20" s="8">
        <f>(7934.79*($H$3))</f>
        <v>42451.126499999998</v>
      </c>
      <c r="I20" s="8">
        <f>(18201.45*($H$3))</f>
        <v>97377.757499999992</v>
      </c>
      <c r="J20" s="8">
        <f>(18201.45*($H$3))</f>
        <v>97377.757499999992</v>
      </c>
      <c r="K20" s="8">
        <f>(24654.79*($H$3))</f>
        <v>131903.12649999998</v>
      </c>
    </row>
    <row r="21" spans="1:12" ht="30" customHeight="1" x14ac:dyDescent="0.35">
      <c r="A21" s="2"/>
      <c r="B21" s="66" t="s">
        <v>360</v>
      </c>
      <c r="C21" s="67"/>
      <c r="D21" s="67"/>
      <c r="E21" s="67"/>
      <c r="F21" s="67"/>
      <c r="G21" s="67"/>
      <c r="H21" s="67"/>
      <c r="I21" s="67"/>
      <c r="J21" s="67"/>
      <c r="K21" s="68"/>
      <c r="L21" s="22"/>
    </row>
    <row r="22" spans="1:12" ht="12.75" customHeight="1" x14ac:dyDescent="0.2">
      <c r="A22" s="5" t="s">
        <v>3</v>
      </c>
      <c r="B22" s="9" t="s">
        <v>4</v>
      </c>
      <c r="C22" s="9" t="s">
        <v>5</v>
      </c>
      <c r="D22" s="9" t="s">
        <v>6</v>
      </c>
      <c r="E22" s="9" t="s">
        <v>7</v>
      </c>
      <c r="F22" s="9" t="s">
        <v>8</v>
      </c>
      <c r="G22" s="9" t="s">
        <v>9</v>
      </c>
      <c r="H22" s="9" t="s">
        <v>10</v>
      </c>
      <c r="I22" s="9" t="s">
        <v>361</v>
      </c>
      <c r="J22" s="9" t="s">
        <v>12</v>
      </c>
      <c r="K22" s="9" t="s">
        <v>13</v>
      </c>
    </row>
    <row r="23" spans="1:12" ht="12.75" customHeight="1" x14ac:dyDescent="0.2">
      <c r="A23" s="2"/>
      <c r="B23" s="7" t="s">
        <v>362</v>
      </c>
      <c r="C23" s="8" t="s">
        <v>88</v>
      </c>
      <c r="D23" s="8" t="s">
        <v>355</v>
      </c>
      <c r="E23" s="8" t="s">
        <v>356</v>
      </c>
      <c r="F23" s="8" t="s">
        <v>63</v>
      </c>
      <c r="G23" s="8" t="s">
        <v>363</v>
      </c>
      <c r="H23" s="8">
        <f>(5976.92*($H$3))</f>
        <v>31976.521999999997</v>
      </c>
      <c r="I23" s="8">
        <f>(8103.59*($H$3))</f>
        <v>43354.2065</v>
      </c>
      <c r="J23" s="8">
        <f>(8490.25*($H$3))</f>
        <v>45422.837499999994</v>
      </c>
      <c r="K23" s="8">
        <f>(9038.03*($H$3))</f>
        <v>48353.460500000001</v>
      </c>
    </row>
    <row r="24" spans="1:12" ht="12.75" customHeight="1" x14ac:dyDescent="0.2">
      <c r="A24" s="2"/>
      <c r="B24" s="7" t="s">
        <v>364</v>
      </c>
      <c r="C24" s="8" t="s">
        <v>93</v>
      </c>
      <c r="D24" s="8" t="s">
        <v>355</v>
      </c>
      <c r="E24" s="8" t="s">
        <v>356</v>
      </c>
      <c r="F24" s="8" t="s">
        <v>63</v>
      </c>
      <c r="G24" s="8" t="s">
        <v>365</v>
      </c>
      <c r="H24" s="8">
        <f>(6351.45*($H$3))</f>
        <v>33980.2575</v>
      </c>
      <c r="I24" s="8">
        <f>(8624.79*($H$3))</f>
        <v>46142.626499999998</v>
      </c>
      <c r="J24" s="8">
        <f>(9038.12*($H$3))</f>
        <v>48353.942000000003</v>
      </c>
      <c r="K24" s="8">
        <f>(9623.67*($H$3))</f>
        <v>51486.6345</v>
      </c>
    </row>
    <row r="25" spans="1:12" ht="30" customHeight="1" x14ac:dyDescent="0.35">
      <c r="A25" s="2"/>
      <c r="B25" s="66" t="s">
        <v>366</v>
      </c>
      <c r="C25" s="67"/>
      <c r="D25" s="67"/>
      <c r="E25" s="67"/>
      <c r="F25" s="67"/>
      <c r="G25" s="67"/>
      <c r="H25" s="67"/>
      <c r="I25" s="67"/>
      <c r="J25" s="67"/>
      <c r="K25" s="68"/>
      <c r="L25" s="22"/>
    </row>
    <row r="26" spans="1:12" ht="12.75" customHeight="1" x14ac:dyDescent="0.2">
      <c r="A26" s="5" t="s">
        <v>3</v>
      </c>
      <c r="B26" s="9" t="s">
        <v>4</v>
      </c>
      <c r="C26" s="9" t="s">
        <v>5</v>
      </c>
      <c r="D26" s="9" t="s">
        <v>6</v>
      </c>
      <c r="E26" s="9" t="s">
        <v>7</v>
      </c>
      <c r="F26" s="9" t="s">
        <v>8</v>
      </c>
      <c r="G26" s="9" t="s">
        <v>353</v>
      </c>
      <c r="H26" s="9" t="s">
        <v>10</v>
      </c>
      <c r="I26" s="9" t="s">
        <v>14</v>
      </c>
      <c r="J26" s="9" t="s">
        <v>15</v>
      </c>
      <c r="K26" s="9" t="s">
        <v>16</v>
      </c>
    </row>
    <row r="27" spans="1:12" ht="12.75" customHeight="1" x14ac:dyDescent="0.2">
      <c r="A27" s="2"/>
      <c r="B27" s="7" t="s">
        <v>367</v>
      </c>
      <c r="C27" s="8" t="s">
        <v>368</v>
      </c>
      <c r="D27" s="8" t="s">
        <v>369</v>
      </c>
      <c r="E27" s="8" t="s">
        <v>370</v>
      </c>
      <c r="F27" s="8" t="s">
        <v>63</v>
      </c>
      <c r="G27" s="8" t="s">
        <v>125</v>
      </c>
      <c r="H27" s="8">
        <f>(2242.73*($H$3))</f>
        <v>11998.6055</v>
      </c>
      <c r="I27" s="8">
        <f>(3409.4*($H$3))</f>
        <v>18240.29</v>
      </c>
      <c r="J27" s="8">
        <f>(3409.4*($H$3))</f>
        <v>18240.29</v>
      </c>
      <c r="K27" s="8">
        <f>(4142.73*($H$3))</f>
        <v>22163.605499999998</v>
      </c>
    </row>
    <row r="28" spans="1:12" ht="12.75" customHeight="1" x14ac:dyDescent="0.2">
      <c r="A28" s="2"/>
      <c r="B28" s="7" t="s">
        <v>371</v>
      </c>
      <c r="C28" s="8" t="s">
        <v>173</v>
      </c>
      <c r="D28" s="8" t="s">
        <v>372</v>
      </c>
      <c r="E28" s="8" t="s">
        <v>356</v>
      </c>
      <c r="F28" s="8" t="s">
        <v>63</v>
      </c>
      <c r="G28" s="8" t="s">
        <v>25</v>
      </c>
      <c r="H28" s="8">
        <f>(5484.22*($H$3))</f>
        <v>29340.577000000001</v>
      </c>
      <c r="I28" s="8">
        <f>(8284.22*($H$3))</f>
        <v>44320.57699999999</v>
      </c>
      <c r="J28" s="8">
        <f>(8284.22*($H$3))</f>
        <v>44320.57699999999</v>
      </c>
      <c r="K28" s="8">
        <f>(10044.22*($H$3))</f>
        <v>53736.57699999999</v>
      </c>
    </row>
    <row r="29" spans="1:12" ht="12.75" customHeight="1" x14ac:dyDescent="0.2">
      <c r="A29" s="2"/>
      <c r="B29" s="7" t="s">
        <v>373</v>
      </c>
      <c r="C29" s="8" t="s">
        <v>173</v>
      </c>
      <c r="D29" s="8" t="s">
        <v>374</v>
      </c>
      <c r="E29" s="8" t="s">
        <v>356</v>
      </c>
      <c r="F29" s="8" t="s">
        <v>63</v>
      </c>
      <c r="G29" s="8" t="s">
        <v>31</v>
      </c>
      <c r="H29" s="8">
        <f>(5695.91*($H$3))</f>
        <v>30473.118499999997</v>
      </c>
      <c r="I29" s="8">
        <f>(8962.58*($H$3))</f>
        <v>47949.803</v>
      </c>
      <c r="J29" s="8">
        <f>(8962.58*($H$3))</f>
        <v>47949.803</v>
      </c>
      <c r="K29" s="8">
        <f>(11015.91*($H$3))</f>
        <v>58935.118499999997</v>
      </c>
    </row>
    <row r="30" spans="1:12" ht="12.75" customHeight="1" x14ac:dyDescent="0.2">
      <c r="A30" s="2"/>
      <c r="B30" s="7" t="s">
        <v>375</v>
      </c>
      <c r="C30" s="8" t="s">
        <v>376</v>
      </c>
      <c r="D30" s="8" t="s">
        <v>372</v>
      </c>
      <c r="E30" s="8" t="s">
        <v>356</v>
      </c>
      <c r="F30" s="8" t="s">
        <v>63</v>
      </c>
      <c r="G30" s="8" t="s">
        <v>365</v>
      </c>
      <c r="H30" s="8">
        <f>(6147.87*($H$3))</f>
        <v>32891.104499999994</v>
      </c>
      <c r="I30" s="8">
        <f>(9881.2*($H$3))</f>
        <v>52864.42</v>
      </c>
      <c r="J30" s="8">
        <f>(9881.2*($H$3))</f>
        <v>52864.42</v>
      </c>
      <c r="K30" s="8">
        <f>(12227.87*($H$3))</f>
        <v>65419.104500000001</v>
      </c>
    </row>
    <row r="31" spans="1:12" ht="12.75" customHeight="1" x14ac:dyDescent="0.2">
      <c r="A31" s="2"/>
      <c r="B31" s="7" t="s">
        <v>377</v>
      </c>
      <c r="C31" s="8" t="s">
        <v>376</v>
      </c>
      <c r="D31" s="8" t="s">
        <v>374</v>
      </c>
      <c r="E31" s="8" t="s">
        <v>356</v>
      </c>
      <c r="F31" s="8" t="s">
        <v>63</v>
      </c>
      <c r="G31" s="8" t="s">
        <v>98</v>
      </c>
      <c r="H31" s="8">
        <f>(6447*($H$3))</f>
        <v>34491.449999999997</v>
      </c>
      <c r="I31" s="8">
        <f>(10880.33*($H$3))</f>
        <v>58209.765499999994</v>
      </c>
      <c r="J31" s="8">
        <f>(10880.33*($H$3))</f>
        <v>58209.765499999994</v>
      </c>
      <c r="K31" s="8">
        <f>(13667*($H$3))</f>
        <v>73118.45</v>
      </c>
    </row>
    <row r="32" spans="1:12" ht="12.75" customHeight="1" x14ac:dyDescent="0.2">
      <c r="A32" s="2"/>
      <c r="B32" s="7" t="s">
        <v>378</v>
      </c>
      <c r="C32" s="8" t="s">
        <v>379</v>
      </c>
      <c r="D32" s="8" t="s">
        <v>380</v>
      </c>
      <c r="E32" s="8" t="s">
        <v>356</v>
      </c>
      <c r="F32" s="8" t="s">
        <v>63</v>
      </c>
      <c r="G32" s="8" t="s">
        <v>90</v>
      </c>
      <c r="H32" s="8">
        <f>(6468.53*($H$3))</f>
        <v>34606.635499999997</v>
      </c>
      <c r="I32" s="8">
        <f>(10668.53*($H$3))</f>
        <v>57076.635499999997</v>
      </c>
      <c r="J32" s="8">
        <f>(10668.53*($H$3))</f>
        <v>57076.635499999997</v>
      </c>
      <c r="K32" s="8">
        <f>(13308.53*($H$3))</f>
        <v>71200.635500000004</v>
      </c>
    </row>
    <row r="33" spans="1:12" ht="12.75" customHeight="1" x14ac:dyDescent="0.2">
      <c r="A33" s="2"/>
      <c r="B33" s="7" t="s">
        <v>381</v>
      </c>
      <c r="C33" s="8" t="s">
        <v>379</v>
      </c>
      <c r="D33" s="8" t="s">
        <v>382</v>
      </c>
      <c r="E33" s="8" t="s">
        <v>356</v>
      </c>
      <c r="F33" s="8" t="s">
        <v>63</v>
      </c>
      <c r="G33" s="8" t="s">
        <v>113</v>
      </c>
      <c r="H33" s="8">
        <f>(6735.73*($H$3))</f>
        <v>36036.155499999993</v>
      </c>
      <c r="I33" s="8">
        <f>(11402.4*($H$3))</f>
        <v>61002.84</v>
      </c>
      <c r="J33" s="8">
        <f>(11402.4*($H$3))</f>
        <v>61002.84</v>
      </c>
      <c r="K33" s="8">
        <f>(14335.73*($H$3))</f>
        <v>76696.155499999993</v>
      </c>
    </row>
    <row r="34" spans="1:12" ht="12.75" customHeight="1" x14ac:dyDescent="0.2">
      <c r="A34" s="2"/>
      <c r="B34" s="7" t="s">
        <v>383</v>
      </c>
      <c r="C34" s="8" t="s">
        <v>67</v>
      </c>
      <c r="D34" s="8" t="s">
        <v>380</v>
      </c>
      <c r="E34" s="8" t="s">
        <v>356</v>
      </c>
      <c r="F34" s="8" t="s">
        <v>63</v>
      </c>
      <c r="G34" s="8" t="s">
        <v>98</v>
      </c>
      <c r="H34" s="8">
        <f>(6700.38*($H$3))</f>
        <v>35847.032999999996</v>
      </c>
      <c r="I34" s="8">
        <f>(11133.71*($H$3))</f>
        <v>59565.348499999993</v>
      </c>
      <c r="J34" s="8">
        <f>(11133.71*($H$3))</f>
        <v>59565.348499999993</v>
      </c>
      <c r="K34" s="8">
        <f>(13920.38*($H$3))</f>
        <v>74474.032999999996</v>
      </c>
    </row>
    <row r="35" spans="1:12" ht="12.75" customHeight="1" x14ac:dyDescent="0.2">
      <c r="A35" s="2"/>
      <c r="B35" s="7" t="s">
        <v>384</v>
      </c>
      <c r="C35" s="8" t="s">
        <v>67</v>
      </c>
      <c r="D35" s="8" t="s">
        <v>382</v>
      </c>
      <c r="E35" s="8" t="s">
        <v>356</v>
      </c>
      <c r="F35" s="8" t="s">
        <v>63</v>
      </c>
      <c r="G35" s="8" t="s">
        <v>118</v>
      </c>
      <c r="H35" s="8">
        <f>(7074.09*($H$3))</f>
        <v>37846.381499999996</v>
      </c>
      <c r="I35" s="8">
        <f>(12207.42*($H$3))</f>
        <v>65309.696999999993</v>
      </c>
      <c r="J35" s="8">
        <f>(12207.42*($H$3))</f>
        <v>65309.696999999993</v>
      </c>
      <c r="K35" s="8">
        <f>(15434.09*($H$3))</f>
        <v>82572.381499999989</v>
      </c>
    </row>
    <row r="36" spans="1:12" ht="12.75" customHeight="1" x14ac:dyDescent="0.2">
      <c r="A36" s="2"/>
      <c r="B36" s="7" t="s">
        <v>385</v>
      </c>
      <c r="C36" s="8" t="s">
        <v>386</v>
      </c>
      <c r="D36" s="8" t="s">
        <v>387</v>
      </c>
      <c r="E36" s="8" t="s">
        <v>356</v>
      </c>
      <c r="F36" s="8" t="s">
        <v>63</v>
      </c>
      <c r="G36" s="8" t="s">
        <v>113</v>
      </c>
      <c r="H36" s="8">
        <f>(6916.09*($H$3))</f>
        <v>37001.0815</v>
      </c>
      <c r="I36" s="8">
        <f>(11582.76*($H$3))</f>
        <v>61967.765999999996</v>
      </c>
      <c r="J36" s="8">
        <f>(11582.76*($H$3))</f>
        <v>61967.765999999996</v>
      </c>
      <c r="K36" s="8">
        <f>(14516.09*($H$3))</f>
        <v>77661.0815</v>
      </c>
    </row>
    <row r="37" spans="1:12" ht="12.75" customHeight="1" x14ac:dyDescent="0.2">
      <c r="A37" s="2"/>
      <c r="B37" s="7" t="s">
        <v>388</v>
      </c>
      <c r="C37" s="8" t="s">
        <v>386</v>
      </c>
      <c r="D37" s="8" t="s">
        <v>389</v>
      </c>
      <c r="E37" s="8" t="s">
        <v>356</v>
      </c>
      <c r="F37" s="8" t="s">
        <v>63</v>
      </c>
      <c r="G37" s="8" t="s">
        <v>257</v>
      </c>
      <c r="H37" s="8">
        <f>(7426.56*($H$3))</f>
        <v>39732.095999999998</v>
      </c>
      <c r="I37" s="8">
        <f>(13026.56*($H$3))</f>
        <v>69692.09599999999</v>
      </c>
      <c r="J37" s="8">
        <f>(13026.56*($H$3))</f>
        <v>69692.09599999999</v>
      </c>
      <c r="K37" s="8">
        <f>(16546.56*($H$3))</f>
        <v>88524.096000000005</v>
      </c>
    </row>
    <row r="38" spans="1:12" ht="12.75" customHeight="1" x14ac:dyDescent="0.2">
      <c r="A38" s="2"/>
      <c r="B38" s="7" t="s">
        <v>390</v>
      </c>
      <c r="C38" s="8" t="s">
        <v>295</v>
      </c>
      <c r="D38" s="8" t="s">
        <v>391</v>
      </c>
      <c r="E38" s="8" t="s">
        <v>392</v>
      </c>
      <c r="F38" s="8" t="s">
        <v>63</v>
      </c>
      <c r="G38" s="8" t="s">
        <v>125</v>
      </c>
      <c r="H38" s="8">
        <f>(1400.44*($H$3))</f>
        <v>7492.3539999999994</v>
      </c>
      <c r="I38" s="8">
        <f>(2333.77*($H$3))</f>
        <v>12485.6695</v>
      </c>
      <c r="J38" s="8">
        <f>(2333.77*($H$3))</f>
        <v>12485.6695</v>
      </c>
      <c r="K38" s="8">
        <f>(2920.44*($H$3))</f>
        <v>15624.353999999999</v>
      </c>
    </row>
    <row r="39" spans="1:12" ht="12.75" customHeight="1" x14ac:dyDescent="0.2">
      <c r="A39" s="2"/>
      <c r="B39" s="7" t="s">
        <v>393</v>
      </c>
      <c r="C39" s="8" t="s">
        <v>235</v>
      </c>
      <c r="D39" s="8" t="s">
        <v>394</v>
      </c>
      <c r="E39" s="8" t="s">
        <v>392</v>
      </c>
      <c r="F39" s="8" t="s">
        <v>63</v>
      </c>
      <c r="G39" s="8" t="s">
        <v>71</v>
      </c>
      <c r="H39" s="8">
        <f>(1241.71*($H$3))</f>
        <v>6643.1484999999993</v>
      </c>
      <c r="I39" s="8">
        <f>(1941.71*($H$3))</f>
        <v>10388.148499999999</v>
      </c>
      <c r="J39" s="8">
        <f>(1941.71*($H$3))</f>
        <v>10388.148499999999</v>
      </c>
      <c r="K39" s="8">
        <f>(2381.71*($H$3))</f>
        <v>12742.148499999999</v>
      </c>
    </row>
    <row r="40" spans="1:12" ht="30" customHeight="1" x14ac:dyDescent="0.35">
      <c r="A40" s="2"/>
      <c r="B40" s="66" t="s">
        <v>395</v>
      </c>
      <c r="C40" s="67"/>
      <c r="D40" s="67"/>
      <c r="E40" s="67"/>
      <c r="F40" s="67"/>
      <c r="G40" s="67"/>
      <c r="H40" s="67"/>
      <c r="I40" s="67"/>
      <c r="J40" s="67"/>
      <c r="K40" s="68"/>
      <c r="L40" s="22"/>
    </row>
    <row r="41" spans="1:12" ht="12.75" customHeight="1" x14ac:dyDescent="0.2">
      <c r="A41" s="5" t="s">
        <v>3</v>
      </c>
      <c r="B41" s="9" t="s">
        <v>4</v>
      </c>
      <c r="C41" s="9" t="s">
        <v>5</v>
      </c>
      <c r="D41" s="9" t="s">
        <v>6</v>
      </c>
      <c r="E41" s="9" t="s">
        <v>7</v>
      </c>
      <c r="F41" s="9" t="s">
        <v>8</v>
      </c>
      <c r="G41" s="9" t="s">
        <v>9</v>
      </c>
      <c r="H41" s="9" t="s">
        <v>10</v>
      </c>
      <c r="I41" s="9" t="s">
        <v>361</v>
      </c>
      <c r="J41" s="9" t="s">
        <v>12</v>
      </c>
      <c r="K41" s="9" t="s">
        <v>13</v>
      </c>
    </row>
    <row r="42" spans="1:12" ht="12.75" customHeight="1" x14ac:dyDescent="0.2">
      <c r="A42" s="2"/>
      <c r="B42" s="7" t="s">
        <v>396</v>
      </c>
      <c r="C42" s="8" t="s">
        <v>368</v>
      </c>
      <c r="D42" s="8" t="s">
        <v>369</v>
      </c>
      <c r="E42" s="8" t="s">
        <v>370</v>
      </c>
      <c r="F42" s="8" t="s">
        <v>63</v>
      </c>
      <c r="G42" s="8" t="s">
        <v>125</v>
      </c>
      <c r="H42" s="8">
        <f>(2076.07*($H$3))</f>
        <v>11106.9745</v>
      </c>
      <c r="I42" s="8">
        <f>(2369.4*($H$3))</f>
        <v>12676.289999999999</v>
      </c>
      <c r="J42" s="8">
        <f>(2422.73*($H$3))</f>
        <v>12961.6055</v>
      </c>
      <c r="K42" s="8">
        <f>(2498.29*($H$3))</f>
        <v>13365.851499999999</v>
      </c>
    </row>
    <row r="43" spans="1:12" ht="12.75" customHeight="1" x14ac:dyDescent="0.2">
      <c r="A43" s="2"/>
      <c r="B43" s="7" t="s">
        <v>397</v>
      </c>
      <c r="C43" s="8" t="s">
        <v>173</v>
      </c>
      <c r="D43" s="8" t="s">
        <v>372</v>
      </c>
      <c r="E43" s="8" t="s">
        <v>356</v>
      </c>
      <c r="F43" s="8" t="s">
        <v>63</v>
      </c>
      <c r="G43" s="8" t="s">
        <v>82</v>
      </c>
      <c r="H43" s="8">
        <f>(5067.56*($H$3))</f>
        <v>27111.446</v>
      </c>
      <c r="I43" s="8">
        <f>(5727.56*($H$3))</f>
        <v>30642.446</v>
      </c>
      <c r="J43" s="8">
        <f>(5847.56*($H$3))</f>
        <v>31284.446</v>
      </c>
      <c r="K43" s="8">
        <f>(6017.56*($H$3))</f>
        <v>32193.946</v>
      </c>
    </row>
    <row r="44" spans="1:12" ht="12.75" customHeight="1" x14ac:dyDescent="0.2">
      <c r="A44" s="2"/>
      <c r="B44" s="7" t="s">
        <v>398</v>
      </c>
      <c r="C44" s="8" t="s">
        <v>173</v>
      </c>
      <c r="D44" s="8" t="s">
        <v>374</v>
      </c>
      <c r="E44" s="8" t="s">
        <v>356</v>
      </c>
      <c r="F44" s="8" t="s">
        <v>63</v>
      </c>
      <c r="G44" s="8" t="s">
        <v>148</v>
      </c>
      <c r="H44" s="8">
        <f>(5195.91*($H$3))</f>
        <v>27798.118499999997</v>
      </c>
      <c r="I44" s="8">
        <f>(5929.24*($H$3))</f>
        <v>31721.433999999997</v>
      </c>
      <c r="J44" s="8">
        <f>(6062.58*($H$3))</f>
        <v>32434.802999999996</v>
      </c>
      <c r="K44" s="8">
        <f>(6251.47*($H$3))</f>
        <v>33445.364499999996</v>
      </c>
    </row>
    <row r="45" spans="1:12" ht="12.75" customHeight="1" x14ac:dyDescent="0.2">
      <c r="A45" s="2"/>
      <c r="B45" s="7" t="s">
        <v>399</v>
      </c>
      <c r="C45" s="8" t="s">
        <v>376</v>
      </c>
      <c r="D45" s="8" t="s">
        <v>372</v>
      </c>
      <c r="E45" s="8" t="s">
        <v>356</v>
      </c>
      <c r="F45" s="8" t="s">
        <v>63</v>
      </c>
      <c r="G45" s="8" t="s">
        <v>148</v>
      </c>
      <c r="H45" s="8">
        <f>(5564.53*($H$3))</f>
        <v>29770.235499999995</v>
      </c>
      <c r="I45" s="8">
        <f>(6371.2*($H$3))</f>
        <v>34085.919999999998</v>
      </c>
      <c r="J45" s="8">
        <f>(6517.87*($H$3))</f>
        <v>34870.604499999994</v>
      </c>
      <c r="K45" s="8">
        <f>(6725.64*($H$3))</f>
        <v>35982.173999999999</v>
      </c>
    </row>
    <row r="46" spans="1:12" ht="12.75" customHeight="1" x14ac:dyDescent="0.2">
      <c r="A46" s="2"/>
      <c r="B46" s="7" t="s">
        <v>400</v>
      </c>
      <c r="C46" s="8" t="s">
        <v>376</v>
      </c>
      <c r="D46" s="8" t="s">
        <v>374</v>
      </c>
      <c r="E46" s="8" t="s">
        <v>356</v>
      </c>
      <c r="F46" s="8" t="s">
        <v>63</v>
      </c>
      <c r="G46" s="8" t="s">
        <v>292</v>
      </c>
      <c r="H46" s="8">
        <f>(5752.56*($H$3))</f>
        <v>30776.196</v>
      </c>
      <c r="I46" s="8">
        <f>(6705.89*($H$3))</f>
        <v>35876.511500000001</v>
      </c>
      <c r="J46" s="8">
        <f>(6879.22*($H$3))</f>
        <v>36803.826999999997</v>
      </c>
      <c r="K46" s="8">
        <f>(7124.78*($H$3))</f>
        <v>38117.572999999997</v>
      </c>
    </row>
    <row r="47" spans="1:12" ht="12.75" customHeight="1" x14ac:dyDescent="0.2">
      <c r="A47" s="2"/>
      <c r="B47" s="7" t="s">
        <v>401</v>
      </c>
      <c r="C47" s="8" t="s">
        <v>379</v>
      </c>
      <c r="D47" s="8" t="s">
        <v>380</v>
      </c>
      <c r="E47" s="8" t="s">
        <v>356</v>
      </c>
      <c r="F47" s="8" t="s">
        <v>63</v>
      </c>
      <c r="G47" s="8" t="s">
        <v>292</v>
      </c>
      <c r="H47" s="8">
        <f>(5829.64*($H$3))</f>
        <v>31188.574000000001</v>
      </c>
      <c r="I47" s="8">
        <f>(6782.98*($H$3))</f>
        <v>36288.942999999992</v>
      </c>
      <c r="J47" s="8">
        <f>(6956.31*($H$3))</f>
        <v>37216.258499999996</v>
      </c>
      <c r="K47" s="8">
        <f>(7201.87*($H$3))</f>
        <v>38530.004499999995</v>
      </c>
    </row>
    <row r="48" spans="1:12" ht="12.75" customHeight="1" x14ac:dyDescent="0.2">
      <c r="A48" s="2"/>
      <c r="B48" s="7" t="s">
        <v>402</v>
      </c>
      <c r="C48" s="8" t="s">
        <v>379</v>
      </c>
      <c r="D48" s="8" t="s">
        <v>382</v>
      </c>
      <c r="E48" s="8" t="s">
        <v>63</v>
      </c>
      <c r="F48" s="8" t="s">
        <v>63</v>
      </c>
      <c r="G48" s="8" t="s">
        <v>96</v>
      </c>
      <c r="H48" s="8">
        <f>(6041.29*($H$3))</f>
        <v>32320.901499999996</v>
      </c>
      <c r="I48" s="8">
        <f>(7141.29*($H$3))</f>
        <v>38205.9015</v>
      </c>
      <c r="J48" s="8">
        <f>(7341.29*($H$3))</f>
        <v>39275.9015</v>
      </c>
      <c r="K48" s="8">
        <f>(7624.62*($H$3))</f>
        <v>40791.716999999997</v>
      </c>
    </row>
    <row r="49" spans="1:11" ht="12.75" customHeight="1" x14ac:dyDescent="0.2">
      <c r="A49" s="2"/>
      <c r="B49" s="7" t="s">
        <v>403</v>
      </c>
      <c r="C49" s="8" t="s">
        <v>67</v>
      </c>
      <c r="D49" s="8" t="s">
        <v>380</v>
      </c>
      <c r="E49" s="8" t="s">
        <v>356</v>
      </c>
      <c r="F49" s="8" t="s">
        <v>63</v>
      </c>
      <c r="G49" s="8" t="s">
        <v>153</v>
      </c>
      <c r="H49" s="8">
        <f>(6017.04*($H$3))</f>
        <v>32191.163999999997</v>
      </c>
      <c r="I49" s="8">
        <f>(6999.71*($H$3))</f>
        <v>37448.448499999999</v>
      </c>
      <c r="J49" s="8">
        <f>(7178.38*($H$3))</f>
        <v>38404.332999999999</v>
      </c>
      <c r="K49" s="8">
        <f>(7431.49*($H$3))</f>
        <v>39758.4715</v>
      </c>
    </row>
    <row r="50" spans="1:11" ht="12.75" customHeight="1" x14ac:dyDescent="0.2">
      <c r="A50" s="2"/>
      <c r="B50" s="7" t="s">
        <v>404</v>
      </c>
      <c r="C50" s="8" t="s">
        <v>67</v>
      </c>
      <c r="D50" s="8" t="s">
        <v>382</v>
      </c>
      <c r="E50" s="8" t="s">
        <v>356</v>
      </c>
      <c r="F50" s="8" t="s">
        <v>63</v>
      </c>
      <c r="G50" s="8" t="s">
        <v>91</v>
      </c>
      <c r="H50" s="8">
        <f>(6296.31*($H$3))</f>
        <v>33685.258499999996</v>
      </c>
      <c r="I50" s="8">
        <f>(7469.64*($H$3))</f>
        <v>39962.574000000001</v>
      </c>
      <c r="J50" s="8">
        <f>(7682.98*($H$3))</f>
        <v>41103.942999999992</v>
      </c>
      <c r="K50" s="8">
        <f>(7985.2*($H$3))</f>
        <v>42720.82</v>
      </c>
    </row>
    <row r="51" spans="1:11" ht="12.75" customHeight="1" x14ac:dyDescent="0.2">
      <c r="A51" s="2"/>
      <c r="B51" s="7" t="s">
        <v>405</v>
      </c>
      <c r="C51" s="8" t="s">
        <v>386</v>
      </c>
      <c r="D51" s="8" t="s">
        <v>387</v>
      </c>
      <c r="E51" s="8" t="s">
        <v>356</v>
      </c>
      <c r="F51" s="8" t="s">
        <v>63</v>
      </c>
      <c r="G51" s="8" t="s">
        <v>153</v>
      </c>
      <c r="H51" s="8">
        <f>(6221.64*($H$3))</f>
        <v>33285.773999999998</v>
      </c>
      <c r="I51" s="8">
        <f>(7321.64*($H$3))</f>
        <v>39170.773999999998</v>
      </c>
      <c r="J51" s="8">
        <f>(7521.64*($H$3))</f>
        <v>40240.773999999998</v>
      </c>
      <c r="K51" s="8">
        <f>(7804.98*($H$3))</f>
        <v>41756.642999999996</v>
      </c>
    </row>
    <row r="52" spans="1:11" ht="12.75" customHeight="1" x14ac:dyDescent="0.2">
      <c r="A52" s="2"/>
      <c r="B52" s="7" t="s">
        <v>406</v>
      </c>
      <c r="C52" s="8" t="s">
        <v>386</v>
      </c>
      <c r="D52" s="8" t="s">
        <v>389</v>
      </c>
      <c r="E52" s="8" t="s">
        <v>356</v>
      </c>
      <c r="F52" s="8" t="s">
        <v>63</v>
      </c>
      <c r="G52" s="8" t="s">
        <v>100</v>
      </c>
      <c r="H52" s="8">
        <f>(6565.44*($H$3))</f>
        <v>35125.103999999992</v>
      </c>
      <c r="I52" s="8">
        <f>(7812.11*($H$3))</f>
        <v>41794.788499999995</v>
      </c>
      <c r="J52" s="8">
        <f>(8038.78*($H$3))</f>
        <v>43007.472999999998</v>
      </c>
      <c r="K52" s="8">
        <f>(8359.89*($H$3))</f>
        <v>44725.411499999995</v>
      </c>
    </row>
    <row r="53" spans="1:11" ht="12.75" customHeight="1" x14ac:dyDescent="0.2">
      <c r="A53" s="2"/>
      <c r="B53" s="7" t="s">
        <v>407</v>
      </c>
      <c r="C53" s="8" t="s">
        <v>295</v>
      </c>
      <c r="D53" s="8" t="s">
        <v>391</v>
      </c>
      <c r="E53" s="8" t="s">
        <v>392</v>
      </c>
      <c r="F53" s="8" t="s">
        <v>63</v>
      </c>
      <c r="G53" s="8" t="s">
        <v>67</v>
      </c>
      <c r="H53" s="8">
        <f>(1261.55*($H$3))</f>
        <v>6749.2924999999996</v>
      </c>
      <c r="I53" s="8">
        <f>(1481.55*($H$3))</f>
        <v>7926.2924999999996</v>
      </c>
      <c r="J53" s="8">
        <f>(1521.55*($H$3))</f>
        <v>8140.2924999999996</v>
      </c>
      <c r="K53" s="8">
        <f>(1578.22*($H$3))</f>
        <v>8443.476999999999</v>
      </c>
    </row>
    <row r="54" spans="1:11" ht="12.75" customHeight="1" x14ac:dyDescent="0.2">
      <c r="A54" s="2"/>
      <c r="B54" s="7" t="s">
        <v>408</v>
      </c>
      <c r="C54" s="8" t="s">
        <v>235</v>
      </c>
      <c r="D54" s="8" t="s">
        <v>394</v>
      </c>
      <c r="E54" s="8" t="s">
        <v>392</v>
      </c>
      <c r="F54" s="8" t="s">
        <v>63</v>
      </c>
      <c r="G54" s="8" t="s">
        <v>409</v>
      </c>
      <c r="H54" s="8">
        <f>(1130.6*($H$3))</f>
        <v>6048.7099999999991</v>
      </c>
      <c r="I54" s="8">
        <f>(1277.27*($H$3))</f>
        <v>6833.3944999999994</v>
      </c>
      <c r="J54" s="8">
        <f>(1303.93*($H$3))</f>
        <v>6976.0254999999997</v>
      </c>
      <c r="K54" s="8">
        <f>(1341.71*($H$3))</f>
        <v>7178.1484999999993</v>
      </c>
    </row>
    <row r="55" spans="1:11" ht="30" customHeight="1" x14ac:dyDescent="0.35">
      <c r="A55" s="2"/>
      <c r="B55" s="69" t="s">
        <v>298</v>
      </c>
      <c r="C55" s="69"/>
      <c r="D55" s="69"/>
      <c r="E55" s="69"/>
      <c r="F55" s="69"/>
      <c r="G55" s="69"/>
      <c r="H55" s="69"/>
      <c r="I55" s="69"/>
      <c r="J55" s="69"/>
      <c r="K55" s="69"/>
    </row>
    <row r="56" spans="1:11" s="16" customFormat="1" ht="12.75" customHeight="1" x14ac:dyDescent="0.2">
      <c r="A56" s="5" t="s">
        <v>3</v>
      </c>
      <c r="B56" s="9" t="s">
        <v>4</v>
      </c>
      <c r="C56" s="9" t="s">
        <v>5</v>
      </c>
      <c r="D56" s="9" t="s">
        <v>6</v>
      </c>
      <c r="E56" s="9" t="s">
        <v>7</v>
      </c>
      <c r="F56" s="9" t="s">
        <v>8</v>
      </c>
      <c r="G56" s="9" t="s">
        <v>9</v>
      </c>
      <c r="H56" s="5" t="s">
        <v>345</v>
      </c>
      <c r="I56" s="9" t="s">
        <v>11</v>
      </c>
      <c r="J56" s="9" t="s">
        <v>12</v>
      </c>
      <c r="K56" s="9" t="s">
        <v>13</v>
      </c>
    </row>
    <row r="57" spans="1:11" ht="12.75" customHeight="1" x14ac:dyDescent="0.2">
      <c r="A57" s="2"/>
      <c r="B57" s="7" t="s">
        <v>41</v>
      </c>
      <c r="C57" s="8" t="s">
        <v>42</v>
      </c>
      <c r="D57" s="8" t="s">
        <v>43</v>
      </c>
      <c r="E57" s="8" t="s">
        <v>44</v>
      </c>
      <c r="F57" s="19" t="s">
        <v>350</v>
      </c>
      <c r="G57" s="8" t="s">
        <v>46</v>
      </c>
      <c r="H57" s="8">
        <f>(7361.1*($H$3))</f>
        <v>39381.885000000002</v>
      </c>
      <c r="I57" s="8">
        <f>(8729.99*($H$3))</f>
        <v>46705.446499999998</v>
      </c>
      <c r="J57" s="8">
        <f>(9023.32*($H$3))</f>
        <v>48274.761999999995</v>
      </c>
      <c r="K57" s="8">
        <f>(9438.88*($H$3))</f>
        <v>50498.007999999994</v>
      </c>
    </row>
    <row r="58" spans="1:11" ht="12.75" customHeight="1" x14ac:dyDescent="0.2">
      <c r="A58" s="2"/>
      <c r="B58" s="7" t="s">
        <v>47</v>
      </c>
      <c r="C58" s="8" t="s">
        <v>48</v>
      </c>
      <c r="D58" s="8" t="s">
        <v>43</v>
      </c>
      <c r="E58" s="8" t="s">
        <v>44</v>
      </c>
      <c r="F58" s="19" t="s">
        <v>350</v>
      </c>
      <c r="G58" s="8" t="s">
        <v>22</v>
      </c>
      <c r="H58" s="8">
        <f>(7601.89*($H$3))</f>
        <v>40670.111499999999</v>
      </c>
      <c r="I58" s="8">
        <f>(9033*($H$3))</f>
        <v>48326.549999999996</v>
      </c>
      <c r="J58" s="8">
        <f>(9339.66*($H$3))</f>
        <v>49967.180999999997</v>
      </c>
      <c r="K58" s="8">
        <f>(9774.11*($H$3))</f>
        <v>52291.488499999999</v>
      </c>
    </row>
    <row r="59" spans="1:11" ht="12.75" customHeight="1" x14ac:dyDescent="0.2">
      <c r="A59" s="2"/>
      <c r="B59" s="7" t="s">
        <v>49</v>
      </c>
      <c r="C59" s="8" t="s">
        <v>50</v>
      </c>
      <c r="D59" s="8" t="s">
        <v>43</v>
      </c>
      <c r="E59" s="8" t="s">
        <v>44</v>
      </c>
      <c r="F59" s="19" t="s">
        <v>350</v>
      </c>
      <c r="G59" s="8" t="s">
        <v>25</v>
      </c>
      <c r="H59" s="8">
        <f>(7844.18*($H$3))</f>
        <v>41966.362999999998</v>
      </c>
      <c r="I59" s="8">
        <f>(9337.52*($H$3))</f>
        <v>49955.731999999996</v>
      </c>
      <c r="J59" s="8">
        <f>(9657.52*($H$3))</f>
        <v>51667.731999999996</v>
      </c>
      <c r="K59" s="8">
        <f>(10110.85*($H$3))</f>
        <v>54093.047500000001</v>
      </c>
    </row>
    <row r="60" spans="1:11" ht="12.75" customHeight="1" x14ac:dyDescent="0.2">
      <c r="A60" s="2"/>
      <c r="B60" s="7" t="s">
        <v>51</v>
      </c>
      <c r="C60" s="8" t="s">
        <v>52</v>
      </c>
      <c r="D60" s="8" t="s">
        <v>43</v>
      </c>
      <c r="E60" s="8" t="s">
        <v>44</v>
      </c>
      <c r="F60" s="19" t="s">
        <v>350</v>
      </c>
      <c r="G60" s="8" t="s">
        <v>28</v>
      </c>
      <c r="H60" s="8">
        <f>(8118.47*($H$3))</f>
        <v>43433.8145</v>
      </c>
      <c r="I60" s="8">
        <f>(9736.24*($H$3))</f>
        <v>52088.883999999998</v>
      </c>
      <c r="J60" s="8">
        <f>(10082.91*($H$3))</f>
        <v>53943.568499999994</v>
      </c>
      <c r="K60" s="8">
        <f>(10574.02*($H$3))</f>
        <v>56571.006999999998</v>
      </c>
    </row>
    <row r="61" spans="1:11" ht="30" customHeight="1" x14ac:dyDescent="0.35">
      <c r="A61" s="2"/>
      <c r="B61" s="69" t="s">
        <v>299</v>
      </c>
      <c r="C61" s="69"/>
      <c r="D61" s="69"/>
      <c r="E61" s="69"/>
      <c r="F61" s="69"/>
      <c r="G61" s="69"/>
      <c r="H61" s="69"/>
      <c r="I61" s="69"/>
      <c r="J61" s="69"/>
      <c r="K61" s="69"/>
    </row>
    <row r="62" spans="1:11" s="16" customFormat="1" ht="12.75" customHeight="1" x14ac:dyDescent="0.2">
      <c r="A62" s="5" t="s">
        <v>3</v>
      </c>
      <c r="B62" s="9" t="s">
        <v>4</v>
      </c>
      <c r="C62" s="9" t="s">
        <v>5</v>
      </c>
      <c r="D62" s="9" t="s">
        <v>6</v>
      </c>
      <c r="E62" s="9" t="s">
        <v>7</v>
      </c>
      <c r="F62" s="9" t="s">
        <v>8</v>
      </c>
      <c r="G62" s="9" t="s">
        <v>9</v>
      </c>
      <c r="H62" s="9" t="s">
        <v>346</v>
      </c>
      <c r="I62" s="9" t="s">
        <v>14</v>
      </c>
      <c r="J62" s="9" t="s">
        <v>15</v>
      </c>
      <c r="K62" s="9" t="s">
        <v>16</v>
      </c>
    </row>
    <row r="63" spans="1:11" ht="12.75" customHeight="1" x14ac:dyDescent="0.2">
      <c r="A63" s="2"/>
      <c r="B63" s="7" t="s">
        <v>53</v>
      </c>
      <c r="C63" s="8" t="s">
        <v>42</v>
      </c>
      <c r="D63" s="8" t="s">
        <v>43</v>
      </c>
      <c r="E63" s="8" t="s">
        <v>44</v>
      </c>
      <c r="F63" s="19" t="s">
        <v>350</v>
      </c>
      <c r="G63" s="8" t="s">
        <v>54</v>
      </c>
      <c r="H63" s="8">
        <f>(8769.99*($H$3))</f>
        <v>46919.446499999998</v>
      </c>
      <c r="I63" s="8">
        <f>(14892.21*($H$3))</f>
        <v>79673.323499999984</v>
      </c>
      <c r="J63" s="8">
        <f>(14892.21*($H$3))</f>
        <v>79673.323499999984</v>
      </c>
      <c r="K63" s="8">
        <f>(19145.55*($H$3))</f>
        <v>102428.69249999999</v>
      </c>
    </row>
    <row r="64" spans="1:11" ht="12.75" customHeight="1" x14ac:dyDescent="0.2">
      <c r="A64" s="2"/>
      <c r="B64" s="7" t="s">
        <v>55</v>
      </c>
      <c r="C64" s="8" t="s">
        <v>48</v>
      </c>
      <c r="D64" s="8" t="s">
        <v>43</v>
      </c>
      <c r="E64" s="8" t="s">
        <v>44</v>
      </c>
      <c r="F64" s="19" t="s">
        <v>350</v>
      </c>
      <c r="G64" s="8" t="s">
        <v>34</v>
      </c>
      <c r="H64" s="8">
        <f>(9129.66*($H$3))</f>
        <v>48843.680999999997</v>
      </c>
      <c r="I64" s="8">
        <f>(15674.11*($H$3))</f>
        <v>83856.488499999992</v>
      </c>
      <c r="J64" s="8">
        <f>(15674.11*($H$3))</f>
        <v>83856.488499999992</v>
      </c>
      <c r="K64" s="8">
        <f>(20220.77*($H$3))</f>
        <v>108181.1195</v>
      </c>
    </row>
    <row r="65" spans="1:11" ht="12.75" customHeight="1" x14ac:dyDescent="0.2">
      <c r="A65" s="2"/>
      <c r="B65" s="7" t="s">
        <v>56</v>
      </c>
      <c r="C65" s="8" t="s">
        <v>50</v>
      </c>
      <c r="D65" s="8" t="s">
        <v>43</v>
      </c>
      <c r="E65" s="8" t="s">
        <v>44</v>
      </c>
      <c r="F65" s="19" t="s">
        <v>350</v>
      </c>
      <c r="G65" s="8" t="s">
        <v>36</v>
      </c>
      <c r="H65" s="8">
        <f>(9490.85*($H$3))</f>
        <v>50776.047500000001</v>
      </c>
      <c r="I65" s="8">
        <f>(16457.52*($H$3))</f>
        <v>88047.732000000004</v>
      </c>
      <c r="J65" s="8">
        <f>(16457.52*($H$3))</f>
        <v>88047.732000000004</v>
      </c>
      <c r="K65" s="8">
        <f>(21297.52*($H$3))</f>
        <v>113941.73199999999</v>
      </c>
    </row>
    <row r="66" spans="1:11" ht="12.75" customHeight="1" x14ac:dyDescent="0.2">
      <c r="A66" s="2"/>
      <c r="B66" s="7" t="s">
        <v>57</v>
      </c>
      <c r="C66" s="8" t="s">
        <v>52</v>
      </c>
      <c r="D66" s="8" t="s">
        <v>43</v>
      </c>
      <c r="E66" s="8" t="s">
        <v>44</v>
      </c>
      <c r="F66" s="19" t="s">
        <v>350</v>
      </c>
      <c r="G66" s="8" t="s">
        <v>58</v>
      </c>
      <c r="H66" s="8">
        <f>(9845.13*($H$3))</f>
        <v>52671.445499999994</v>
      </c>
      <c r="I66" s="8">
        <f>(17234.02*($H$3))</f>
        <v>92202.006999999998</v>
      </c>
      <c r="J66" s="8">
        <f>(17234.02*($H$3))</f>
        <v>92202.006999999998</v>
      </c>
      <c r="K66" s="8">
        <f>(22367.36*($H$3))</f>
        <v>119665.37599999999</v>
      </c>
    </row>
    <row r="67" spans="1:11" ht="30" customHeight="1" x14ac:dyDescent="0.35">
      <c r="A67" s="2"/>
      <c r="B67" s="69" t="s">
        <v>300</v>
      </c>
      <c r="C67" s="69"/>
      <c r="D67" s="69"/>
      <c r="E67" s="69"/>
      <c r="F67" s="69"/>
      <c r="G67" s="69"/>
      <c r="H67" s="69"/>
      <c r="I67" s="69"/>
      <c r="J67" s="69"/>
      <c r="K67" s="69"/>
    </row>
    <row r="68" spans="1:11" s="16" customFormat="1" ht="12.75" customHeight="1" x14ac:dyDescent="0.2">
      <c r="A68" s="5" t="s">
        <v>3</v>
      </c>
      <c r="B68" s="9" t="s">
        <v>4</v>
      </c>
      <c r="C68" s="9" t="s">
        <v>5</v>
      </c>
      <c r="D68" s="9" t="s">
        <v>6</v>
      </c>
      <c r="E68" s="9" t="s">
        <v>7</v>
      </c>
      <c r="F68" s="9" t="s">
        <v>8</v>
      </c>
      <c r="G68" s="9" t="s">
        <v>9</v>
      </c>
      <c r="H68" s="5" t="s">
        <v>345</v>
      </c>
      <c r="I68" s="9" t="s">
        <v>11</v>
      </c>
      <c r="J68" s="9" t="s">
        <v>12</v>
      </c>
      <c r="K68" s="9" t="s">
        <v>13</v>
      </c>
    </row>
    <row r="69" spans="1:11" ht="12.75" customHeight="1" x14ac:dyDescent="0.2">
      <c r="A69" s="2"/>
      <c r="B69" s="7" t="s">
        <v>59</v>
      </c>
      <c r="C69" s="8" t="s">
        <v>60</v>
      </c>
      <c r="D69" s="8" t="s">
        <v>61</v>
      </c>
      <c r="E69" s="8" t="s">
        <v>62</v>
      </c>
      <c r="F69" s="8" t="s">
        <v>63</v>
      </c>
      <c r="G69" s="8" t="s">
        <v>64</v>
      </c>
      <c r="H69" s="8">
        <f>(3808.83*($H$3))</f>
        <v>20377.2405</v>
      </c>
      <c r="I69" s="8">
        <f>(4368.83*($H$3))</f>
        <v>23373.240499999996</v>
      </c>
      <c r="J69" s="8">
        <f>(4488.83*($H$3))</f>
        <v>24015.240499999996</v>
      </c>
      <c r="K69" s="8">
        <f>(4658.83*($H$3))</f>
        <v>24924.740499999996</v>
      </c>
    </row>
    <row r="70" spans="1:11" ht="12.75" customHeight="1" x14ac:dyDescent="0.2">
      <c r="A70" s="2"/>
      <c r="B70" s="7" t="s">
        <v>65</v>
      </c>
      <c r="C70" s="8" t="s">
        <v>66</v>
      </c>
      <c r="D70" s="15">
        <v>0.4</v>
      </c>
      <c r="E70" s="15">
        <v>0.45</v>
      </c>
      <c r="F70" s="8" t="s">
        <v>63</v>
      </c>
      <c r="G70" s="8" t="s">
        <v>67</v>
      </c>
      <c r="H70" s="8">
        <f>(2074.33*($H$3))</f>
        <v>11097.665499999999</v>
      </c>
      <c r="I70" s="8">
        <f>(2260.99*($H$3))</f>
        <v>12096.296499999999</v>
      </c>
      <c r="J70" s="8">
        <f>(2300.99*($H$3))</f>
        <v>12310.296499999999</v>
      </c>
      <c r="K70" s="8">
        <f>(2357.66*($H$3))</f>
        <v>12613.480999999998</v>
      </c>
    </row>
    <row r="71" spans="1:11" ht="30" customHeight="1" x14ac:dyDescent="0.35">
      <c r="A71" s="2"/>
      <c r="B71" s="96" t="s">
        <v>68</v>
      </c>
      <c r="C71" s="97"/>
      <c r="D71" s="97"/>
      <c r="E71" s="97"/>
      <c r="F71" s="97"/>
      <c r="G71" s="97"/>
      <c r="H71" s="97"/>
      <c r="I71" s="97"/>
      <c r="J71" s="97"/>
      <c r="K71" s="98"/>
    </row>
    <row r="72" spans="1:11" s="16" customFormat="1" ht="12.75" customHeight="1" x14ac:dyDescent="0.2">
      <c r="A72" s="5" t="s">
        <v>3</v>
      </c>
      <c r="B72" s="9" t="s">
        <v>4</v>
      </c>
      <c r="C72" s="9" t="s">
        <v>5</v>
      </c>
      <c r="D72" s="9" t="s">
        <v>6</v>
      </c>
      <c r="E72" s="9" t="s">
        <v>7</v>
      </c>
      <c r="F72" s="9" t="s">
        <v>8</v>
      </c>
      <c r="G72" s="9" t="s">
        <v>9</v>
      </c>
      <c r="H72" s="9" t="s">
        <v>346</v>
      </c>
      <c r="I72" s="9" t="s">
        <v>14</v>
      </c>
      <c r="J72" s="9" t="s">
        <v>15</v>
      </c>
      <c r="K72" s="9" t="s">
        <v>16</v>
      </c>
    </row>
    <row r="73" spans="1:11" ht="12.75" customHeight="1" x14ac:dyDescent="0.2">
      <c r="A73" s="2"/>
      <c r="B73" s="7" t="s">
        <v>69</v>
      </c>
      <c r="C73" s="8" t="s">
        <v>60</v>
      </c>
      <c r="D73" s="8" t="s">
        <v>61</v>
      </c>
      <c r="E73" s="8" t="s">
        <v>62</v>
      </c>
      <c r="F73" s="8" t="s">
        <v>63</v>
      </c>
      <c r="G73" s="8" t="s">
        <v>46</v>
      </c>
      <c r="H73" s="8">
        <f>(4414.72*($H$3))</f>
        <v>23618.752</v>
      </c>
      <c r="I73" s="8">
        <f>(7009.28*($H$3))</f>
        <v>37499.647999999994</v>
      </c>
      <c r="J73" s="8">
        <f>(7009.28*($H$3))</f>
        <v>37499.647999999994</v>
      </c>
      <c r="K73" s="8">
        <f>(8811.81*($H$3))</f>
        <v>47143.183499999992</v>
      </c>
    </row>
    <row r="74" spans="1:11" ht="12.75" customHeight="1" x14ac:dyDescent="0.2">
      <c r="A74" s="2"/>
      <c r="B74" s="7" t="s">
        <v>70</v>
      </c>
      <c r="C74" s="8" t="s">
        <v>66</v>
      </c>
      <c r="D74" s="15">
        <v>0.4</v>
      </c>
      <c r="E74" s="15">
        <v>0.45</v>
      </c>
      <c r="F74" s="8" t="s">
        <v>63</v>
      </c>
      <c r="G74" s="8" t="s">
        <v>71</v>
      </c>
      <c r="H74" s="8">
        <f>(2224.57*($H$3))</f>
        <v>11901.449500000001</v>
      </c>
      <c r="I74" s="8">
        <f>(2933.9*($H$3))</f>
        <v>15696.365</v>
      </c>
      <c r="J74" s="8">
        <f>(2933.9*($H$3))</f>
        <v>15696.365</v>
      </c>
      <c r="K74" s="8">
        <f>(3426.7*($H$3))</f>
        <v>18332.844999999998</v>
      </c>
    </row>
    <row r="75" spans="1:11" ht="30" customHeight="1" x14ac:dyDescent="0.35">
      <c r="A75" s="2"/>
      <c r="B75" s="66" t="s">
        <v>72</v>
      </c>
      <c r="C75" s="67"/>
      <c r="D75" s="67"/>
      <c r="E75" s="67"/>
      <c r="F75" s="67"/>
      <c r="G75" s="67"/>
      <c r="H75" s="67"/>
      <c r="I75" s="67"/>
      <c r="J75" s="67"/>
      <c r="K75" s="68"/>
    </row>
    <row r="76" spans="1:11" s="16" customFormat="1" ht="12.75" customHeight="1" x14ac:dyDescent="0.2">
      <c r="A76" s="5" t="s">
        <v>3</v>
      </c>
      <c r="B76" s="9" t="s">
        <v>4</v>
      </c>
      <c r="C76" s="9" t="s">
        <v>5</v>
      </c>
      <c r="D76" s="9" t="s">
        <v>6</v>
      </c>
      <c r="E76" s="9" t="s">
        <v>7</v>
      </c>
      <c r="F76" s="9" t="s">
        <v>8</v>
      </c>
      <c r="G76" s="11" t="s">
        <v>310</v>
      </c>
      <c r="H76" s="9" t="s">
        <v>10</v>
      </c>
      <c r="I76" s="9" t="s">
        <v>11</v>
      </c>
      <c r="J76" s="9" t="s">
        <v>12</v>
      </c>
      <c r="K76" s="9" t="s">
        <v>13</v>
      </c>
    </row>
    <row r="77" spans="1:11" ht="12.75" customHeight="1" x14ac:dyDescent="0.2">
      <c r="A77" s="2"/>
      <c r="B77" s="7" t="s">
        <v>73</v>
      </c>
      <c r="C77" s="8" t="s">
        <v>60</v>
      </c>
      <c r="D77" s="8" t="s">
        <v>61</v>
      </c>
      <c r="E77" s="8" t="s">
        <v>62</v>
      </c>
      <c r="F77" s="8" t="s">
        <v>63</v>
      </c>
      <c r="G77" s="12" t="s">
        <v>311</v>
      </c>
      <c r="H77" s="10">
        <f>(4194*($H$3))</f>
        <v>22437.899999999998</v>
      </c>
      <c r="I77" s="8">
        <f>(7009.94*($H$3))</f>
        <v>37503.178999999996</v>
      </c>
      <c r="J77" s="8">
        <f>(7076.61*($H$3))</f>
        <v>37859.863499999992</v>
      </c>
      <c r="K77" s="8">
        <f>(7171.05*($H$3))</f>
        <v>38365.1175</v>
      </c>
    </row>
    <row r="78" spans="1:11" ht="12.75" customHeight="1" x14ac:dyDescent="0.2">
      <c r="A78" s="2"/>
      <c r="B78" s="7" t="s">
        <v>74</v>
      </c>
      <c r="C78" s="8" t="s">
        <v>60</v>
      </c>
      <c r="D78" s="8" t="s">
        <v>61</v>
      </c>
      <c r="E78" s="8" t="s">
        <v>62</v>
      </c>
      <c r="F78" s="8" t="s">
        <v>63</v>
      </c>
      <c r="G78" s="12" t="s">
        <v>311</v>
      </c>
      <c r="H78" s="10">
        <f>(4194*($H$3))</f>
        <v>22437.899999999998</v>
      </c>
      <c r="I78" s="8">
        <f>(5827.72*($H$3))</f>
        <v>31178.302</v>
      </c>
      <c r="J78" s="8">
        <f>(5894.39*($H$3))</f>
        <v>31534.986499999999</v>
      </c>
      <c r="K78" s="8">
        <f>(5988.83*($H$3))</f>
        <v>32040.240499999996</v>
      </c>
    </row>
    <row r="79" spans="1:11" ht="12.75" customHeight="1" x14ac:dyDescent="0.2">
      <c r="A79" s="2"/>
      <c r="B79" s="7" t="s">
        <v>75</v>
      </c>
      <c r="C79" s="8" t="s">
        <v>66</v>
      </c>
      <c r="D79" s="15">
        <v>0.4</v>
      </c>
      <c r="E79" s="15">
        <v>0.45</v>
      </c>
      <c r="F79" s="8" t="s">
        <v>63</v>
      </c>
      <c r="G79" s="12" t="s">
        <v>312</v>
      </c>
      <c r="H79" s="10">
        <f>(2120*($H$3))</f>
        <v>11342</v>
      </c>
      <c r="I79" s="8">
        <f>(2432.12*($H$3))</f>
        <v>13011.841999999999</v>
      </c>
      <c r="J79" s="8">
        <f>(2458.79*($H$3))</f>
        <v>13154.526499999998</v>
      </c>
      <c r="K79" s="8">
        <f>(2496.57*($H$3))</f>
        <v>13356.6495</v>
      </c>
    </row>
    <row r="80" spans="1:11" ht="12.75" customHeight="1" x14ac:dyDescent="0.2">
      <c r="A80" s="2"/>
      <c r="B80" s="7" t="s">
        <v>76</v>
      </c>
      <c r="C80" s="8" t="s">
        <v>66</v>
      </c>
      <c r="D80" s="15">
        <v>0.4</v>
      </c>
      <c r="E80" s="15">
        <v>0.45</v>
      </c>
      <c r="F80" s="8" t="s">
        <v>63</v>
      </c>
      <c r="G80" s="12" t="s">
        <v>312</v>
      </c>
      <c r="H80" s="10">
        <f>(2120*($H$3))</f>
        <v>11342</v>
      </c>
      <c r="I80" s="8">
        <f>(2601.01*($H$3))</f>
        <v>13915.4035</v>
      </c>
      <c r="J80" s="8">
        <f>(2627.68*($H$3))</f>
        <v>14058.087999999998</v>
      </c>
      <c r="K80" s="8">
        <f>(2665.46*($H$3))</f>
        <v>14260.210999999999</v>
      </c>
    </row>
    <row r="81" spans="1:12" ht="30" customHeight="1" x14ac:dyDescent="0.35">
      <c r="A81" s="2"/>
      <c r="B81" s="69" t="s">
        <v>301</v>
      </c>
      <c r="C81" s="69"/>
      <c r="D81" s="69"/>
      <c r="E81" s="69"/>
      <c r="F81" s="69"/>
      <c r="G81" s="69"/>
      <c r="H81" s="69"/>
      <c r="I81" s="69"/>
      <c r="J81" s="69"/>
      <c r="K81" s="69"/>
    </row>
    <row r="82" spans="1:12" s="16" customFormat="1" ht="12.75" customHeight="1" x14ac:dyDescent="0.2">
      <c r="A82" s="5" t="s">
        <v>3</v>
      </c>
      <c r="B82" s="9" t="s">
        <v>4</v>
      </c>
      <c r="C82" s="9" t="s">
        <v>5</v>
      </c>
      <c r="D82" s="9" t="s">
        <v>6</v>
      </c>
      <c r="E82" s="9" t="s">
        <v>7</v>
      </c>
      <c r="F82" s="9" t="s">
        <v>8</v>
      </c>
      <c r="G82" s="9" t="s">
        <v>9</v>
      </c>
      <c r="H82" s="5" t="s">
        <v>345</v>
      </c>
      <c r="I82" s="9" t="s">
        <v>11</v>
      </c>
      <c r="J82" s="9" t="s">
        <v>12</v>
      </c>
      <c r="K82" s="9" t="s">
        <v>13</v>
      </c>
    </row>
    <row r="83" spans="1:12" ht="12.75" customHeight="1" x14ac:dyDescent="0.2">
      <c r="A83" s="2"/>
      <c r="B83" s="7" t="s">
        <v>77</v>
      </c>
      <c r="C83" s="8" t="s">
        <v>78</v>
      </c>
      <c r="D83" s="8" t="s">
        <v>79</v>
      </c>
      <c r="E83" s="8" t="s">
        <v>80</v>
      </c>
      <c r="F83" s="8" t="s">
        <v>81</v>
      </c>
      <c r="G83" s="8" t="s">
        <v>82</v>
      </c>
      <c r="H83" s="8">
        <f>(4261.83*($H$3))</f>
        <v>22800.790499999999</v>
      </c>
      <c r="I83" s="8">
        <f>(4884.05*($H$3))</f>
        <v>26129.6675</v>
      </c>
      <c r="J83" s="8">
        <f>(5017.39*($H$3))</f>
        <v>26843.036499999998</v>
      </c>
      <c r="K83" s="8">
        <f>(5206.27*($H$3))</f>
        <v>27853.5445</v>
      </c>
    </row>
    <row r="84" spans="1:12" ht="12.75" customHeight="1" x14ac:dyDescent="0.2">
      <c r="A84" s="2"/>
      <c r="B84" s="7" t="s">
        <v>83</v>
      </c>
      <c r="C84" s="8" t="s">
        <v>84</v>
      </c>
      <c r="D84" s="8" t="s">
        <v>85</v>
      </c>
      <c r="E84" s="8" t="s">
        <v>86</v>
      </c>
      <c r="F84" s="8" t="s">
        <v>63</v>
      </c>
      <c r="G84" s="8" t="s">
        <v>71</v>
      </c>
      <c r="H84" s="8">
        <f>(2654.34*($H$3))</f>
        <v>14200.718999999999</v>
      </c>
      <c r="I84" s="8">
        <f>(2903.23*($H$3))</f>
        <v>15532.280499999999</v>
      </c>
      <c r="J84" s="8">
        <f>(2956.57*($H$3))</f>
        <v>15817.6495</v>
      </c>
      <c r="K84" s="8">
        <f>(3032.12*($H$3))</f>
        <v>16221.841999999999</v>
      </c>
    </row>
    <row r="85" spans="1:12" ht="30" customHeight="1" x14ac:dyDescent="0.35">
      <c r="A85" s="2"/>
      <c r="B85" s="66" t="s">
        <v>410</v>
      </c>
      <c r="C85" s="67"/>
      <c r="D85" s="67"/>
      <c r="E85" s="67"/>
      <c r="F85" s="67"/>
      <c r="G85" s="67"/>
      <c r="H85" s="67"/>
      <c r="I85" s="67"/>
      <c r="J85" s="67"/>
      <c r="K85" s="68"/>
      <c r="L85" s="22"/>
    </row>
    <row r="86" spans="1:12" ht="12.75" customHeight="1" x14ac:dyDescent="0.2">
      <c r="A86" s="5" t="s">
        <v>3</v>
      </c>
      <c r="B86" s="9" t="s">
        <v>4</v>
      </c>
      <c r="C86" s="9" t="s">
        <v>5</v>
      </c>
      <c r="D86" s="9" t="s">
        <v>6</v>
      </c>
      <c r="E86" s="9" t="s">
        <v>7</v>
      </c>
      <c r="F86" s="9" t="s">
        <v>8</v>
      </c>
      <c r="G86" s="9" t="s">
        <v>353</v>
      </c>
      <c r="H86" s="9" t="s">
        <v>10</v>
      </c>
      <c r="I86" s="9" t="s">
        <v>14</v>
      </c>
      <c r="J86" s="9" t="s">
        <v>15</v>
      </c>
      <c r="K86" s="9" t="s">
        <v>16</v>
      </c>
    </row>
    <row r="87" spans="1:12" ht="12.75" customHeight="1" x14ac:dyDescent="0.2">
      <c r="A87" s="2"/>
      <c r="B87" s="7" t="s">
        <v>410</v>
      </c>
      <c r="C87" s="8" t="s">
        <v>275</v>
      </c>
      <c r="D87" s="8" t="s">
        <v>411</v>
      </c>
      <c r="E87" s="8" t="s">
        <v>412</v>
      </c>
      <c r="F87" s="8" t="s">
        <v>413</v>
      </c>
      <c r="G87" s="8" t="s">
        <v>31</v>
      </c>
      <c r="H87" s="8">
        <f>(4290.58*($H$3))</f>
        <v>22954.602999999999</v>
      </c>
      <c r="I87" s="8">
        <f>(7790.58*($H$3))</f>
        <v>41679.602999999996</v>
      </c>
      <c r="J87" s="8">
        <f>(7790.58*($H$3))</f>
        <v>41679.602999999996</v>
      </c>
      <c r="K87" s="8">
        <f>(9990.58*($H$3))</f>
        <v>53449.602999999996</v>
      </c>
    </row>
    <row r="88" spans="1:12" ht="30" customHeight="1" x14ac:dyDescent="0.35">
      <c r="A88" s="2"/>
      <c r="B88" s="66" t="s">
        <v>414</v>
      </c>
      <c r="C88" s="67"/>
      <c r="D88" s="67"/>
      <c r="E88" s="67"/>
      <c r="F88" s="67"/>
      <c r="G88" s="67"/>
      <c r="H88" s="67"/>
      <c r="I88" s="67"/>
      <c r="J88" s="67"/>
      <c r="K88" s="68"/>
      <c r="L88" s="22"/>
    </row>
    <row r="89" spans="1:12" ht="12.75" customHeight="1" x14ac:dyDescent="0.2">
      <c r="A89" s="5" t="s">
        <v>3</v>
      </c>
      <c r="B89" s="9" t="s">
        <v>4</v>
      </c>
      <c r="C89" s="9" t="s">
        <v>5</v>
      </c>
      <c r="D89" s="9" t="s">
        <v>6</v>
      </c>
      <c r="E89" s="9" t="s">
        <v>7</v>
      </c>
      <c r="F89" s="9" t="s">
        <v>8</v>
      </c>
      <c r="G89" s="9" t="s">
        <v>9</v>
      </c>
      <c r="H89" s="9" t="s">
        <v>10</v>
      </c>
      <c r="I89" s="9" t="s">
        <v>361</v>
      </c>
      <c r="J89" s="9" t="s">
        <v>12</v>
      </c>
      <c r="K89" s="9" t="s">
        <v>13</v>
      </c>
    </row>
    <row r="90" spans="1:12" ht="12.75" customHeight="1" x14ac:dyDescent="0.2">
      <c r="A90" s="2"/>
      <c r="B90" s="7" t="s">
        <v>414</v>
      </c>
      <c r="C90" s="8" t="s">
        <v>275</v>
      </c>
      <c r="D90" s="8" t="s">
        <v>411</v>
      </c>
      <c r="E90" s="8" t="s">
        <v>412</v>
      </c>
      <c r="F90" s="8" t="s">
        <v>413</v>
      </c>
      <c r="G90" s="8" t="s">
        <v>239</v>
      </c>
      <c r="H90" s="8">
        <f>(3829.46*($H$3))</f>
        <v>20487.610999999997</v>
      </c>
      <c r="I90" s="8">
        <f>(4812.13*($H$3))</f>
        <v>25744.895499999999</v>
      </c>
      <c r="J90" s="8">
        <f>(4990.8*($H$3))</f>
        <v>26700.78</v>
      </c>
      <c r="K90" s="8">
        <f>(5243.91*($H$3))</f>
        <v>28054.918499999996</v>
      </c>
    </row>
    <row r="91" spans="1:12" ht="30" customHeight="1" x14ac:dyDescent="0.35">
      <c r="A91" s="2"/>
      <c r="B91" s="66" t="s">
        <v>415</v>
      </c>
      <c r="C91" s="67"/>
      <c r="D91" s="67"/>
      <c r="E91" s="67"/>
      <c r="F91" s="67"/>
      <c r="G91" s="67"/>
      <c r="H91" s="67"/>
      <c r="I91" s="67"/>
      <c r="J91" s="67"/>
      <c r="K91" s="68"/>
      <c r="L91" s="22"/>
    </row>
    <row r="92" spans="1:12" ht="12.75" customHeight="1" x14ac:dyDescent="0.2">
      <c r="A92" s="5" t="s">
        <v>3</v>
      </c>
      <c r="B92" s="9" t="s">
        <v>4</v>
      </c>
      <c r="C92" s="9" t="s">
        <v>5</v>
      </c>
      <c r="D92" s="9" t="s">
        <v>6</v>
      </c>
      <c r="E92" s="9" t="s">
        <v>7</v>
      </c>
      <c r="F92" s="9" t="s">
        <v>8</v>
      </c>
      <c r="G92" s="9" t="s">
        <v>9</v>
      </c>
      <c r="H92" s="9" t="s">
        <v>10</v>
      </c>
      <c r="I92" s="9" t="s">
        <v>361</v>
      </c>
      <c r="J92" s="9" t="s">
        <v>12</v>
      </c>
      <c r="K92" s="9" t="s">
        <v>13</v>
      </c>
    </row>
    <row r="93" spans="1:12" ht="12.75" customHeight="1" x14ac:dyDescent="0.2">
      <c r="A93" s="2"/>
      <c r="B93" s="7" t="s">
        <v>416</v>
      </c>
      <c r="C93" s="8" t="s">
        <v>270</v>
      </c>
      <c r="D93" s="8" t="s">
        <v>268</v>
      </c>
      <c r="E93" s="8" t="s">
        <v>235</v>
      </c>
      <c r="F93" s="8" t="s">
        <v>417</v>
      </c>
      <c r="G93" s="8" t="s">
        <v>418</v>
      </c>
      <c r="H93" s="8">
        <f>(3295.79*($H$3))</f>
        <v>17632.476499999997</v>
      </c>
      <c r="I93" s="8">
        <f>(4175.79*($H$3))</f>
        <v>22340.476499999997</v>
      </c>
      <c r="J93" s="8">
        <f>(4335.79*($H$3))</f>
        <v>23196.476499999997</v>
      </c>
      <c r="K93" s="8">
        <f>(4562.46*($H$3))</f>
        <v>24409.161</v>
      </c>
    </row>
    <row r="94" spans="1:12" ht="12.75" customHeight="1" x14ac:dyDescent="0.2">
      <c r="A94" s="2"/>
      <c r="B94" s="7" t="s">
        <v>419</v>
      </c>
      <c r="C94" s="8" t="s">
        <v>273</v>
      </c>
      <c r="D94" s="8" t="s">
        <v>268</v>
      </c>
      <c r="E94" s="8" t="s">
        <v>235</v>
      </c>
      <c r="F94" s="8" t="s">
        <v>417</v>
      </c>
      <c r="G94" s="8" t="s">
        <v>292</v>
      </c>
      <c r="H94" s="8">
        <f>(3394.32*($H$3))</f>
        <v>18159.612000000001</v>
      </c>
      <c r="I94" s="8">
        <f>(4347.65*($H$3))</f>
        <v>23259.927499999998</v>
      </c>
      <c r="J94" s="8">
        <f>(4520.99*($H$3))</f>
        <v>24187.296499999997</v>
      </c>
      <c r="K94" s="8">
        <f>(4766.54*($H$3))</f>
        <v>25500.988999999998</v>
      </c>
    </row>
    <row r="95" spans="1:12" ht="12.75" customHeight="1" x14ac:dyDescent="0.2">
      <c r="A95" s="2"/>
      <c r="B95" s="7" t="s">
        <v>420</v>
      </c>
      <c r="C95" s="8" t="s">
        <v>275</v>
      </c>
      <c r="D95" s="8" t="s">
        <v>268</v>
      </c>
      <c r="E95" s="8" t="s">
        <v>235</v>
      </c>
      <c r="F95" s="8" t="s">
        <v>417</v>
      </c>
      <c r="G95" s="8" t="s">
        <v>292</v>
      </c>
      <c r="H95" s="8">
        <f>(3457.03*($H$3))</f>
        <v>18495.110499999999</v>
      </c>
      <c r="I95" s="8">
        <f>(4410.36*($H$3))</f>
        <v>23595.425999999996</v>
      </c>
      <c r="J95" s="8">
        <f>(4583.7*($H$3))</f>
        <v>24522.794999999998</v>
      </c>
      <c r="K95" s="8">
        <f>(4829.25*($H$3))</f>
        <v>25836.487499999999</v>
      </c>
    </row>
    <row r="96" spans="1:12" ht="12.75" customHeight="1" x14ac:dyDescent="0.2">
      <c r="A96" s="2"/>
      <c r="B96" s="7" t="s">
        <v>421</v>
      </c>
      <c r="C96" s="8" t="s">
        <v>277</v>
      </c>
      <c r="D96" s="8" t="s">
        <v>268</v>
      </c>
      <c r="E96" s="8" t="s">
        <v>235</v>
      </c>
      <c r="F96" s="8" t="s">
        <v>417</v>
      </c>
      <c r="G96" s="8" t="s">
        <v>239</v>
      </c>
      <c r="H96" s="8">
        <f>(3547.74*($H$3))</f>
        <v>18980.408999999996</v>
      </c>
      <c r="I96" s="8">
        <f>(4574.41*($H$3))</f>
        <v>24473.093499999999</v>
      </c>
      <c r="J96" s="8">
        <f>(4761.08*($H$3))</f>
        <v>25471.777999999998</v>
      </c>
      <c r="K96" s="8">
        <f>(5025.52*($H$3))</f>
        <v>26886.531999999999</v>
      </c>
    </row>
    <row r="97" spans="1:12" ht="12.75" customHeight="1" x14ac:dyDescent="0.2">
      <c r="A97" s="2"/>
      <c r="B97" s="7" t="s">
        <v>422</v>
      </c>
      <c r="C97" s="8" t="s">
        <v>273</v>
      </c>
      <c r="D97" s="8" t="s">
        <v>423</v>
      </c>
      <c r="E97" s="8" t="s">
        <v>235</v>
      </c>
      <c r="F97" s="8" t="s">
        <v>417</v>
      </c>
      <c r="G97" s="8" t="s">
        <v>271</v>
      </c>
      <c r="H97" s="8">
        <f>(3666.45*($H$3))</f>
        <v>19615.507499999996</v>
      </c>
      <c r="I97" s="8">
        <f>(4839.79*($H$3))</f>
        <v>25892.876499999998</v>
      </c>
      <c r="J97" s="8">
        <f>(5053.12*($H$3))</f>
        <v>27034.191999999999</v>
      </c>
      <c r="K97" s="8">
        <f>(5355.34*($H$3))</f>
        <v>28651.069</v>
      </c>
    </row>
    <row r="98" spans="1:12" ht="12.75" customHeight="1" x14ac:dyDescent="0.2">
      <c r="A98" s="2"/>
      <c r="B98" s="7" t="s">
        <v>424</v>
      </c>
      <c r="C98" s="8" t="s">
        <v>275</v>
      </c>
      <c r="D98" s="8" t="s">
        <v>423</v>
      </c>
      <c r="E98" s="8" t="s">
        <v>235</v>
      </c>
      <c r="F98" s="8" t="s">
        <v>417</v>
      </c>
      <c r="G98" s="8" t="s">
        <v>91</v>
      </c>
      <c r="H98" s="8">
        <f>(3767.49*($H$3))</f>
        <v>20156.071499999998</v>
      </c>
      <c r="I98" s="8">
        <f>(5014.16*($H$3))</f>
        <v>26825.755999999998</v>
      </c>
      <c r="J98" s="8">
        <f>(5240.83*($H$3))</f>
        <v>28038.440499999997</v>
      </c>
      <c r="K98" s="8">
        <f>(5561.94*($H$3))</f>
        <v>29756.378999999997</v>
      </c>
    </row>
    <row r="99" spans="1:12" ht="12.75" customHeight="1" x14ac:dyDescent="0.2">
      <c r="A99" s="2"/>
      <c r="B99" s="7" t="s">
        <v>425</v>
      </c>
      <c r="C99" s="8" t="s">
        <v>277</v>
      </c>
      <c r="D99" s="8" t="s">
        <v>423</v>
      </c>
      <c r="E99" s="8" t="s">
        <v>235</v>
      </c>
      <c r="F99" s="8" t="s">
        <v>417</v>
      </c>
      <c r="G99" s="8" t="s">
        <v>96</v>
      </c>
      <c r="H99" s="8">
        <f>(3858.53*($H$3))</f>
        <v>20643.1355</v>
      </c>
      <c r="I99" s="8">
        <f>(5149.19*($H$3))</f>
        <v>27548.166499999996</v>
      </c>
      <c r="J99" s="8">
        <f>(5383.86*($H$3))</f>
        <v>28803.650999999998</v>
      </c>
      <c r="K99" s="8">
        <f>(5716.3*($H$3))</f>
        <v>30582.204999999998</v>
      </c>
    </row>
    <row r="100" spans="1:12" ht="12.75" customHeight="1" x14ac:dyDescent="0.2">
      <c r="A100" s="2"/>
      <c r="B100" s="7" t="s">
        <v>426</v>
      </c>
      <c r="C100" s="8" t="s">
        <v>267</v>
      </c>
      <c r="D100" s="8" t="s">
        <v>268</v>
      </c>
      <c r="E100" s="8" t="s">
        <v>235</v>
      </c>
      <c r="F100" s="8" t="s">
        <v>63</v>
      </c>
      <c r="G100" s="8" t="s">
        <v>82</v>
      </c>
      <c r="H100" s="8">
        <f>(2945.68*($H$3))</f>
        <v>15759.387999999997</v>
      </c>
      <c r="I100" s="8">
        <f>(3605.68*($H$3))</f>
        <v>19290.387999999999</v>
      </c>
      <c r="J100" s="8">
        <f>(3725.68*($H$3))</f>
        <v>19932.387999999999</v>
      </c>
      <c r="K100" s="8">
        <f>(3895.68*($H$3))</f>
        <v>20841.887999999999</v>
      </c>
    </row>
    <row r="101" spans="1:12" ht="12.75" customHeight="1" x14ac:dyDescent="0.2">
      <c r="A101" s="2"/>
      <c r="B101" s="7" t="s">
        <v>427</v>
      </c>
      <c r="C101" s="8" t="s">
        <v>151</v>
      </c>
      <c r="D101" s="8" t="s">
        <v>268</v>
      </c>
      <c r="E101" s="8" t="s">
        <v>235</v>
      </c>
      <c r="F101" s="8" t="s">
        <v>63</v>
      </c>
      <c r="G101" s="8" t="s">
        <v>428</v>
      </c>
      <c r="H101" s="8">
        <f>(2617.05*($H$3))</f>
        <v>14001.217500000001</v>
      </c>
      <c r="I101" s="8">
        <f>(3057.05*($H$3))</f>
        <v>16355.217500000001</v>
      </c>
      <c r="J101" s="8">
        <f>(3137.05*($H$3))</f>
        <v>16783.217499999999</v>
      </c>
      <c r="K101" s="8">
        <f>(3250.38*($H$3))</f>
        <v>17389.532999999999</v>
      </c>
    </row>
    <row r="102" spans="1:12" ht="12.75" customHeight="1" x14ac:dyDescent="0.2">
      <c r="A102" s="2"/>
      <c r="B102" s="7" t="s">
        <v>429</v>
      </c>
      <c r="C102" s="8" t="s">
        <v>170</v>
      </c>
      <c r="D102" s="8" t="s">
        <v>268</v>
      </c>
      <c r="E102" s="8" t="s">
        <v>235</v>
      </c>
      <c r="F102" s="8" t="s">
        <v>63</v>
      </c>
      <c r="G102" s="8" t="s">
        <v>125</v>
      </c>
      <c r="H102" s="8">
        <f>(2696.65*($H$3))</f>
        <v>14427.077499999999</v>
      </c>
      <c r="I102" s="8">
        <f>(3180.65*($H$3))</f>
        <v>17016.477500000001</v>
      </c>
      <c r="J102" s="8">
        <f>(3268.65*($H$3))</f>
        <v>17487.2775</v>
      </c>
      <c r="K102" s="8">
        <f>(3393.31*($H$3))</f>
        <v>18154.208499999997</v>
      </c>
    </row>
    <row r="103" spans="1:12" ht="12.75" customHeight="1" x14ac:dyDescent="0.2">
      <c r="A103" s="2"/>
      <c r="B103" s="7" t="s">
        <v>430</v>
      </c>
      <c r="C103" s="8" t="s">
        <v>167</v>
      </c>
      <c r="D103" s="8" t="s">
        <v>268</v>
      </c>
      <c r="E103" s="8" t="s">
        <v>235</v>
      </c>
      <c r="F103" s="8" t="s">
        <v>63</v>
      </c>
      <c r="G103" s="8" t="s">
        <v>125</v>
      </c>
      <c r="H103" s="8">
        <f>(2772.05*($H$3))</f>
        <v>14830.467500000001</v>
      </c>
      <c r="I103" s="8">
        <f>(3285.38*($H$3))</f>
        <v>17576.782999999999</v>
      </c>
      <c r="J103" s="8">
        <f>(3378.71*($H$3))</f>
        <v>18076.0985</v>
      </c>
      <c r="K103" s="8">
        <f>(3510.93*($H$3))</f>
        <v>18783.475499999997</v>
      </c>
    </row>
    <row r="104" spans="1:12" ht="12.75" customHeight="1" x14ac:dyDescent="0.2">
      <c r="A104" s="2"/>
      <c r="B104" s="7" t="s">
        <v>431</v>
      </c>
      <c r="C104" s="8" t="s">
        <v>173</v>
      </c>
      <c r="D104" s="8" t="s">
        <v>268</v>
      </c>
      <c r="E104" s="8" t="s">
        <v>235</v>
      </c>
      <c r="F104" s="8" t="s">
        <v>63</v>
      </c>
      <c r="G104" s="8" t="s">
        <v>64</v>
      </c>
      <c r="H104" s="8">
        <f>(2853.61*($H$3))</f>
        <v>15266.8135</v>
      </c>
      <c r="I104" s="8">
        <f>(3410.94*($H$3))</f>
        <v>18248.528999999999</v>
      </c>
      <c r="J104" s="8">
        <f>(3512.27*($H$3))</f>
        <v>18790.644499999999</v>
      </c>
      <c r="K104" s="8">
        <f>(3655.83*($H$3))</f>
        <v>19558.690499999997</v>
      </c>
    </row>
    <row r="105" spans="1:12" ht="30" customHeight="1" x14ac:dyDescent="0.35">
      <c r="A105" s="2"/>
      <c r="B105" s="66" t="s">
        <v>434</v>
      </c>
      <c r="C105" s="67"/>
      <c r="D105" s="67"/>
      <c r="E105" s="67"/>
      <c r="F105" s="67"/>
      <c r="G105" s="67"/>
      <c r="H105" s="67"/>
      <c r="I105" s="67"/>
      <c r="J105" s="67"/>
      <c r="K105" s="68"/>
      <c r="L105" s="22"/>
    </row>
    <row r="106" spans="1:12" ht="12.75" customHeight="1" x14ac:dyDescent="0.2">
      <c r="A106" s="5" t="s">
        <v>3</v>
      </c>
      <c r="B106" s="9" t="s">
        <v>4</v>
      </c>
      <c r="C106" s="9" t="s">
        <v>5</v>
      </c>
      <c r="D106" s="9" t="s">
        <v>6</v>
      </c>
      <c r="E106" s="9" t="s">
        <v>7</v>
      </c>
      <c r="F106" s="9" t="s">
        <v>8</v>
      </c>
      <c r="G106" s="9" t="s">
        <v>353</v>
      </c>
      <c r="H106" s="9" t="s">
        <v>10</v>
      </c>
      <c r="I106" s="9" t="s">
        <v>14</v>
      </c>
      <c r="J106" s="9" t="s">
        <v>15</v>
      </c>
      <c r="K106" s="9" t="s">
        <v>16</v>
      </c>
    </row>
    <row r="107" spans="1:12" ht="12.75" customHeight="1" x14ac:dyDescent="0.2">
      <c r="A107" s="2"/>
      <c r="B107" s="7" t="s">
        <v>435</v>
      </c>
      <c r="C107" s="8" t="s">
        <v>273</v>
      </c>
      <c r="D107" s="8" t="s">
        <v>436</v>
      </c>
      <c r="E107" s="8" t="s">
        <v>264</v>
      </c>
      <c r="F107" s="8" t="s">
        <v>63</v>
      </c>
      <c r="G107" s="8" t="s">
        <v>46</v>
      </c>
      <c r="H107" s="8">
        <f>(3958.15*($H$3))</f>
        <v>21176.102500000001</v>
      </c>
      <c r="I107" s="8">
        <f>(6244.82*($H$3))</f>
        <v>33409.786999999997</v>
      </c>
      <c r="J107" s="8">
        <f>(6244.82*($H$3))</f>
        <v>33409.786999999997</v>
      </c>
      <c r="K107" s="8">
        <f>(7682.15*($H$3))</f>
        <v>41099.502499999995</v>
      </c>
    </row>
    <row r="108" spans="1:12" ht="12.75" customHeight="1" x14ac:dyDescent="0.2">
      <c r="A108" s="2"/>
      <c r="B108" s="7" t="s">
        <v>437</v>
      </c>
      <c r="C108" s="8" t="s">
        <v>277</v>
      </c>
      <c r="D108" s="8" t="s">
        <v>436</v>
      </c>
      <c r="E108" s="8" t="s">
        <v>264</v>
      </c>
      <c r="F108" s="8" t="s">
        <v>63</v>
      </c>
      <c r="G108" s="8" t="s">
        <v>46</v>
      </c>
      <c r="H108" s="8">
        <f>(4131.37*($H$3))</f>
        <v>22102.829499999996</v>
      </c>
      <c r="I108" s="8">
        <f>(6464.7*($H$3))</f>
        <v>34586.144999999997</v>
      </c>
      <c r="J108" s="8">
        <f>(6464.7*($H$3))</f>
        <v>34586.144999999997</v>
      </c>
      <c r="K108" s="8">
        <f>(7931.37*($H$3))</f>
        <v>42432.8295</v>
      </c>
    </row>
    <row r="109" spans="1:12" ht="12.75" customHeight="1" x14ac:dyDescent="0.2">
      <c r="A109" s="2"/>
      <c r="B109" s="7" t="s">
        <v>438</v>
      </c>
      <c r="C109" s="8" t="s">
        <v>233</v>
      </c>
      <c r="D109" s="8" t="s">
        <v>436</v>
      </c>
      <c r="E109" s="8" t="s">
        <v>264</v>
      </c>
      <c r="F109" s="8" t="s">
        <v>63</v>
      </c>
      <c r="G109" s="8" t="s">
        <v>46</v>
      </c>
      <c r="H109" s="8">
        <f>(4333.42*($H$3))</f>
        <v>23183.796999999999</v>
      </c>
      <c r="I109" s="8">
        <f>(6900.09*($H$3))</f>
        <v>36915.481500000002</v>
      </c>
      <c r="J109" s="8">
        <f>(6900.09*($H$3))</f>
        <v>36915.481500000002</v>
      </c>
      <c r="K109" s="8">
        <f>(8513.42*($H$3))</f>
        <v>45546.796999999999</v>
      </c>
    </row>
    <row r="110" spans="1:12" ht="12.75" customHeight="1" x14ac:dyDescent="0.2">
      <c r="A110" s="2"/>
      <c r="B110" s="7" t="s">
        <v>439</v>
      </c>
      <c r="C110" s="8" t="s">
        <v>379</v>
      </c>
      <c r="D110" s="8" t="s">
        <v>436</v>
      </c>
      <c r="E110" s="15">
        <v>0.43</v>
      </c>
      <c r="F110" s="8" t="s">
        <v>63</v>
      </c>
      <c r="G110" s="8" t="s">
        <v>25</v>
      </c>
      <c r="H110" s="8">
        <f>(4497.82*($H$3))</f>
        <v>24063.336999999996</v>
      </c>
      <c r="I110" s="8">
        <f>(7297.82*($H$3))</f>
        <v>39043.336999999992</v>
      </c>
      <c r="J110" s="8">
        <f>(7297.82*($H$3))</f>
        <v>39043.336999999992</v>
      </c>
      <c r="K110" s="8">
        <f>(9057.82*($H$3))</f>
        <v>48459.336999999992</v>
      </c>
    </row>
    <row r="111" spans="1:12" ht="30" customHeight="1" x14ac:dyDescent="0.35">
      <c r="A111" s="2"/>
      <c r="B111" s="66" t="s">
        <v>440</v>
      </c>
      <c r="C111" s="67"/>
      <c r="D111" s="67"/>
      <c r="E111" s="67"/>
      <c r="F111" s="67"/>
      <c r="G111" s="67"/>
      <c r="H111" s="67"/>
      <c r="I111" s="67"/>
      <c r="J111" s="67"/>
      <c r="K111" s="68"/>
      <c r="L111" s="22"/>
    </row>
    <row r="112" spans="1:12" ht="12.75" customHeight="1" x14ac:dyDescent="0.2">
      <c r="A112" s="5" t="s">
        <v>3</v>
      </c>
      <c r="B112" s="9" t="s">
        <v>4</v>
      </c>
      <c r="C112" s="9" t="s">
        <v>5</v>
      </c>
      <c r="D112" s="9" t="s">
        <v>6</v>
      </c>
      <c r="E112" s="9" t="s">
        <v>7</v>
      </c>
      <c r="F112" s="9" t="s">
        <v>8</v>
      </c>
      <c r="G112" s="9" t="s">
        <v>9</v>
      </c>
      <c r="H112" s="9" t="s">
        <v>10</v>
      </c>
      <c r="I112" s="9" t="s">
        <v>361</v>
      </c>
      <c r="J112" s="9" t="s">
        <v>12</v>
      </c>
      <c r="K112" s="9" t="s">
        <v>13</v>
      </c>
    </row>
    <row r="113" spans="1:12" ht="12.75" customHeight="1" x14ac:dyDescent="0.2">
      <c r="A113" s="2"/>
      <c r="B113" s="7" t="s">
        <v>441</v>
      </c>
      <c r="C113" s="8" t="s">
        <v>273</v>
      </c>
      <c r="D113" s="8" t="s">
        <v>436</v>
      </c>
      <c r="E113" s="8" t="s">
        <v>264</v>
      </c>
      <c r="F113" s="8" t="s">
        <v>63</v>
      </c>
      <c r="G113" s="8" t="s">
        <v>428</v>
      </c>
      <c r="H113" s="8">
        <f>(3608.15*($H$3))</f>
        <v>19303.602500000001</v>
      </c>
      <c r="I113" s="8">
        <f>(4121.49*($H$3))</f>
        <v>22049.971499999996</v>
      </c>
      <c r="J113" s="8">
        <f>(4214.82*($H$3))</f>
        <v>22549.286999999997</v>
      </c>
      <c r="K113" s="8">
        <f>(4347.04*($H$3))</f>
        <v>23256.663999999997</v>
      </c>
    </row>
    <row r="114" spans="1:12" ht="12.75" customHeight="1" x14ac:dyDescent="0.2">
      <c r="A114" s="2"/>
      <c r="B114" s="7" t="s">
        <v>442</v>
      </c>
      <c r="C114" s="8" t="s">
        <v>277</v>
      </c>
      <c r="D114" s="8" t="s">
        <v>436</v>
      </c>
      <c r="E114" s="8" t="s">
        <v>264</v>
      </c>
      <c r="F114" s="8" t="s">
        <v>63</v>
      </c>
      <c r="G114" s="8" t="s">
        <v>428</v>
      </c>
      <c r="H114" s="8">
        <f>(3781.37*($H$3))</f>
        <v>20230.3295</v>
      </c>
      <c r="I114" s="8">
        <f>(4324.04*($H$3))</f>
        <v>23133.613999999998</v>
      </c>
      <c r="J114" s="8">
        <f>(4422.7*($H$3))</f>
        <v>23661.444999999996</v>
      </c>
      <c r="K114" s="8">
        <f>(4562.48*($H$3))</f>
        <v>24409.267999999996</v>
      </c>
    </row>
    <row r="115" spans="1:12" ht="12.75" customHeight="1" x14ac:dyDescent="0.2">
      <c r="A115" s="2"/>
      <c r="B115" s="7" t="s">
        <v>443</v>
      </c>
      <c r="C115" s="8" t="s">
        <v>233</v>
      </c>
      <c r="D115" s="8" t="s">
        <v>436</v>
      </c>
      <c r="E115" s="8" t="s">
        <v>264</v>
      </c>
      <c r="F115" s="8" t="s">
        <v>63</v>
      </c>
      <c r="G115" s="8" t="s">
        <v>125</v>
      </c>
      <c r="H115" s="8">
        <f>(3944.53*($H$3))</f>
        <v>21103.235499999999</v>
      </c>
      <c r="I115" s="8">
        <f>(4531.2*($H$3))</f>
        <v>24241.919999999998</v>
      </c>
      <c r="J115" s="8">
        <f>(4637.87*($H$3))</f>
        <v>24812.604499999998</v>
      </c>
      <c r="K115" s="8">
        <f>(4788.98*($H$3))</f>
        <v>25621.042999999994</v>
      </c>
    </row>
    <row r="116" spans="1:12" ht="12.75" customHeight="1" x14ac:dyDescent="0.2">
      <c r="A116" s="2"/>
      <c r="B116" s="7" t="s">
        <v>444</v>
      </c>
      <c r="C116" s="8" t="s">
        <v>379</v>
      </c>
      <c r="D116" s="8" t="s">
        <v>436</v>
      </c>
      <c r="E116" s="15">
        <v>0.43</v>
      </c>
      <c r="F116" s="8" t="s">
        <v>63</v>
      </c>
      <c r="G116" s="8" t="s">
        <v>82</v>
      </c>
      <c r="H116" s="8">
        <f>(4081.16*($H$3))</f>
        <v>21834.205999999998</v>
      </c>
      <c r="I116" s="8">
        <f>(4741.16*($H$3))</f>
        <v>25365.205999999998</v>
      </c>
      <c r="J116" s="8">
        <f>(4861.16*($H$3))</f>
        <v>26007.205999999998</v>
      </c>
      <c r="K116" s="8">
        <f>(5031.16*($H$3))</f>
        <v>26916.705999999998</v>
      </c>
    </row>
    <row r="117" spans="1:12" ht="31.5" customHeight="1" x14ac:dyDescent="0.35">
      <c r="A117" s="2"/>
      <c r="B117" s="66" t="s">
        <v>445</v>
      </c>
      <c r="C117" s="67"/>
      <c r="D117" s="67"/>
      <c r="E117" s="67"/>
      <c r="F117" s="67"/>
      <c r="G117" s="67"/>
      <c r="H117" s="67"/>
      <c r="I117" s="67"/>
      <c r="J117" s="67"/>
      <c r="K117" s="68"/>
      <c r="L117" s="22"/>
    </row>
    <row r="118" spans="1:12" ht="12.75" customHeight="1" x14ac:dyDescent="0.2">
      <c r="A118" s="5" t="s">
        <v>3</v>
      </c>
      <c r="B118" s="9" t="s">
        <v>4</v>
      </c>
      <c r="C118" s="9" t="s">
        <v>5</v>
      </c>
      <c r="D118" s="9" t="s">
        <v>6</v>
      </c>
      <c r="E118" s="9" t="s">
        <v>7</v>
      </c>
      <c r="F118" s="9" t="s">
        <v>8</v>
      </c>
      <c r="G118" s="9" t="s">
        <v>353</v>
      </c>
      <c r="H118" s="9" t="s">
        <v>10</v>
      </c>
      <c r="I118" s="9" t="s">
        <v>14</v>
      </c>
      <c r="J118" s="9" t="s">
        <v>15</v>
      </c>
      <c r="K118" s="9" t="s">
        <v>16</v>
      </c>
    </row>
    <row r="119" spans="1:12" ht="12.75" customHeight="1" x14ac:dyDescent="0.2">
      <c r="A119" s="2"/>
      <c r="B119" s="7" t="s">
        <v>446</v>
      </c>
      <c r="C119" s="8" t="s">
        <v>409</v>
      </c>
      <c r="D119" s="8" t="s">
        <v>447</v>
      </c>
      <c r="E119" s="8" t="s">
        <v>89</v>
      </c>
      <c r="F119" s="8" t="s">
        <v>448</v>
      </c>
      <c r="G119" s="8" t="s">
        <v>365</v>
      </c>
      <c r="H119" s="8">
        <f>(7116.58*($H$3))</f>
        <v>38073.702999999994</v>
      </c>
      <c r="I119" s="8">
        <f>(10733.25*($H$3))</f>
        <v>57422.887499999997</v>
      </c>
      <c r="J119" s="8">
        <f>(10733.25*($H$3))</f>
        <v>57422.887499999997</v>
      </c>
      <c r="K119" s="8">
        <f>(13006.58*($H$3))</f>
        <v>69585.202999999994</v>
      </c>
    </row>
    <row r="120" spans="1:12" ht="12.75" customHeight="1" x14ac:dyDescent="0.2">
      <c r="A120" s="2"/>
      <c r="B120" s="7" t="s">
        <v>449</v>
      </c>
      <c r="C120" s="8" t="s">
        <v>67</v>
      </c>
      <c r="D120" s="8" t="s">
        <v>447</v>
      </c>
      <c r="E120" s="8" t="s">
        <v>89</v>
      </c>
      <c r="F120" s="8" t="s">
        <v>448</v>
      </c>
      <c r="G120" s="8" t="s">
        <v>90</v>
      </c>
      <c r="H120" s="8">
        <f>(8026.32*($H$3))</f>
        <v>42940.811999999998</v>
      </c>
      <c r="I120" s="8">
        <f>(12109.65*($H$3))</f>
        <v>64786.627499999995</v>
      </c>
      <c r="J120" s="8">
        <f>(12109.65*($H$3))</f>
        <v>64786.627499999995</v>
      </c>
      <c r="K120" s="8">
        <f>(14676.32*($H$3))</f>
        <v>78518.311999999991</v>
      </c>
    </row>
    <row r="121" spans="1:12" ht="12.75" customHeight="1" x14ac:dyDescent="0.2">
      <c r="A121" s="2"/>
      <c r="B121" s="7" t="s">
        <v>450</v>
      </c>
      <c r="C121" s="8" t="s">
        <v>451</v>
      </c>
      <c r="D121" s="8" t="s">
        <v>452</v>
      </c>
      <c r="E121" s="8" t="s">
        <v>89</v>
      </c>
      <c r="F121" s="8" t="s">
        <v>448</v>
      </c>
      <c r="G121" s="8" t="s">
        <v>98</v>
      </c>
      <c r="H121" s="8">
        <f>(8502.16*($H$3))</f>
        <v>45486.555999999997</v>
      </c>
      <c r="I121" s="8">
        <f>(12818.83*($H$3))</f>
        <v>68580.7405</v>
      </c>
      <c r="J121" s="8">
        <f>(12818.83*($H$3))</f>
        <v>68580.7405</v>
      </c>
      <c r="K121" s="8">
        <f>(15532.16*($H$3))</f>
        <v>83097.055999999997</v>
      </c>
    </row>
    <row r="122" spans="1:12" ht="12.75" customHeight="1" x14ac:dyDescent="0.2">
      <c r="A122" s="2"/>
      <c r="B122" s="7" t="s">
        <v>453</v>
      </c>
      <c r="C122" s="8" t="s">
        <v>42</v>
      </c>
      <c r="D122" s="8" t="s">
        <v>452</v>
      </c>
      <c r="E122" s="8" t="s">
        <v>89</v>
      </c>
      <c r="F122" s="8" t="s">
        <v>448</v>
      </c>
      <c r="G122" s="8" t="s">
        <v>98</v>
      </c>
      <c r="H122" s="8">
        <f>(8854.12*($H$3))</f>
        <v>47369.542000000001</v>
      </c>
      <c r="I122" s="8">
        <f>(13287.45*($H$3))</f>
        <v>71087.857499999998</v>
      </c>
      <c r="J122" s="8">
        <f>(13287.45*($H$3))</f>
        <v>71087.857499999998</v>
      </c>
      <c r="K122" s="8">
        <f>(16074.12*($H$3))</f>
        <v>85996.542000000001</v>
      </c>
    </row>
    <row r="123" spans="1:12" ht="12.75" customHeight="1" x14ac:dyDescent="0.2">
      <c r="A123" s="2"/>
      <c r="B123" s="7" t="s">
        <v>454</v>
      </c>
      <c r="C123" s="8" t="s">
        <v>455</v>
      </c>
      <c r="D123" s="8" t="s">
        <v>456</v>
      </c>
      <c r="E123" s="8" t="s">
        <v>89</v>
      </c>
      <c r="F123" s="8" t="s">
        <v>448</v>
      </c>
      <c r="G123" s="8" t="s">
        <v>113</v>
      </c>
      <c r="H123" s="8">
        <f>(9215.23*($H$3))</f>
        <v>49301.480499999998</v>
      </c>
      <c r="I123" s="8">
        <f>(13881.89*($H$3))</f>
        <v>74268.111499999999</v>
      </c>
      <c r="J123" s="8">
        <f>(13881.89*($H$3))</f>
        <v>74268.111499999999</v>
      </c>
      <c r="K123" s="8">
        <f>(16815.23*($H$3))</f>
        <v>89961.480499999991</v>
      </c>
    </row>
    <row r="124" spans="1:12" ht="30" customHeight="1" x14ac:dyDescent="0.35">
      <c r="A124" s="2"/>
      <c r="B124" s="66" t="s">
        <v>457</v>
      </c>
      <c r="C124" s="67"/>
      <c r="D124" s="67"/>
      <c r="E124" s="67"/>
      <c r="F124" s="67"/>
      <c r="G124" s="67"/>
      <c r="H124" s="67"/>
      <c r="I124" s="67"/>
      <c r="J124" s="67"/>
      <c r="K124" s="68"/>
      <c r="L124" s="22"/>
    </row>
    <row r="125" spans="1:12" ht="12.75" customHeight="1" x14ac:dyDescent="0.2">
      <c r="A125" s="5" t="s">
        <v>3</v>
      </c>
      <c r="B125" s="9" t="s">
        <v>4</v>
      </c>
      <c r="C125" s="9" t="s">
        <v>5</v>
      </c>
      <c r="D125" s="9" t="s">
        <v>6</v>
      </c>
      <c r="E125" s="9" t="s">
        <v>7</v>
      </c>
      <c r="F125" s="9" t="s">
        <v>8</v>
      </c>
      <c r="G125" s="9" t="s">
        <v>353</v>
      </c>
      <c r="H125" s="9" t="s">
        <v>10</v>
      </c>
      <c r="I125" s="9" t="s">
        <v>14</v>
      </c>
      <c r="J125" s="9" t="s">
        <v>15</v>
      </c>
      <c r="K125" s="9" t="s">
        <v>16</v>
      </c>
    </row>
    <row r="126" spans="1:12" ht="12.75" customHeight="1" x14ac:dyDescent="0.2">
      <c r="A126" s="2"/>
      <c r="B126" s="7" t="s">
        <v>458</v>
      </c>
      <c r="C126" s="8" t="s">
        <v>270</v>
      </c>
      <c r="D126" s="8" t="s">
        <v>447</v>
      </c>
      <c r="E126" s="8" t="s">
        <v>89</v>
      </c>
      <c r="F126" s="8" t="s">
        <v>63</v>
      </c>
      <c r="G126" s="8" t="s">
        <v>31</v>
      </c>
      <c r="H126" s="8">
        <f>(6795.54*($H$3))</f>
        <v>36356.138999999996</v>
      </c>
      <c r="I126" s="8">
        <f>(10178.87*($H$3))</f>
        <v>54456.9545</v>
      </c>
      <c r="J126" s="8">
        <f>(10178.87*($H$3))</f>
        <v>54456.9545</v>
      </c>
      <c r="K126" s="8">
        <f>(12305.54*($H$3))</f>
        <v>65834.638999999996</v>
      </c>
    </row>
    <row r="127" spans="1:12" ht="12.75" customHeight="1" x14ac:dyDescent="0.2">
      <c r="A127" s="2"/>
      <c r="B127" s="7" t="s">
        <v>459</v>
      </c>
      <c r="C127" s="8" t="s">
        <v>233</v>
      </c>
      <c r="D127" s="8" t="s">
        <v>447</v>
      </c>
      <c r="E127" s="8" t="s">
        <v>89</v>
      </c>
      <c r="F127" s="8" t="s">
        <v>63</v>
      </c>
      <c r="G127" s="8" t="s">
        <v>31</v>
      </c>
      <c r="H127" s="8">
        <f>(7597.09*($H$3))</f>
        <v>40644.431499999999</v>
      </c>
      <c r="I127" s="8">
        <f>(10980.43*($H$3))</f>
        <v>58745.300499999998</v>
      </c>
      <c r="J127" s="8">
        <f>(10980.43*($H$3))</f>
        <v>58745.300499999998</v>
      </c>
      <c r="K127" s="8">
        <f>(13107.09*($H$3))</f>
        <v>70122.931499999992</v>
      </c>
    </row>
    <row r="128" spans="1:12" ht="12.75" customHeight="1" x14ac:dyDescent="0.2">
      <c r="A128" s="2"/>
      <c r="B128" s="7" t="s">
        <v>460</v>
      </c>
      <c r="C128" s="8" t="s">
        <v>238</v>
      </c>
      <c r="D128" s="8" t="s">
        <v>452</v>
      </c>
      <c r="E128" s="8" t="s">
        <v>89</v>
      </c>
      <c r="F128" s="15">
        <v>0</v>
      </c>
      <c r="G128" s="8" t="s">
        <v>90</v>
      </c>
      <c r="H128" s="8">
        <f>(8193.58*($H$3))</f>
        <v>43835.652999999998</v>
      </c>
      <c r="I128" s="8">
        <f>(12276.92*($H$3))</f>
        <v>65681.521999999997</v>
      </c>
      <c r="J128" s="8">
        <f>(12276.92*($H$3))</f>
        <v>65681.521999999997</v>
      </c>
      <c r="K128" s="8">
        <f>(14843.58*($H$3))</f>
        <v>79413.152999999991</v>
      </c>
    </row>
    <row r="129" spans="1:12" ht="12.75" customHeight="1" x14ac:dyDescent="0.2">
      <c r="A129" s="2"/>
      <c r="B129" s="7" t="s">
        <v>461</v>
      </c>
      <c r="C129" s="8" t="s">
        <v>241</v>
      </c>
      <c r="D129" s="8" t="s">
        <v>452</v>
      </c>
      <c r="E129" s="8" t="s">
        <v>89</v>
      </c>
      <c r="F129" s="15">
        <v>0</v>
      </c>
      <c r="G129" s="8" t="s">
        <v>90</v>
      </c>
      <c r="H129" s="8">
        <f>(8547.45*($H$3))</f>
        <v>45728.857499999998</v>
      </c>
      <c r="I129" s="8">
        <f>(12747.45*($H$3))</f>
        <v>68198.857499999998</v>
      </c>
      <c r="J129" s="8">
        <f>(12747.45*($H$3))</f>
        <v>68198.857499999998</v>
      </c>
      <c r="K129" s="8">
        <f>(15387.45*($H$3))</f>
        <v>82322.857499999998</v>
      </c>
    </row>
    <row r="130" spans="1:12" ht="12.75" customHeight="1" x14ac:dyDescent="0.2">
      <c r="A130" s="2"/>
      <c r="B130" s="7" t="s">
        <v>462</v>
      </c>
      <c r="C130" s="8" t="s">
        <v>451</v>
      </c>
      <c r="D130" s="8" t="s">
        <v>456</v>
      </c>
      <c r="E130" s="8" t="s">
        <v>89</v>
      </c>
      <c r="F130" s="15">
        <v>0</v>
      </c>
      <c r="G130" s="8" t="s">
        <v>98</v>
      </c>
      <c r="H130" s="8">
        <f>(8904.65*($H$3))</f>
        <v>47639.877499999995</v>
      </c>
      <c r="I130" s="8">
        <f>(13337.98*($H$3))</f>
        <v>71358.192999999999</v>
      </c>
      <c r="J130" s="8">
        <f>(13337.98*($H$3))</f>
        <v>71358.192999999999</v>
      </c>
      <c r="K130" s="8">
        <f>(16124.65*($H$3))</f>
        <v>86266.877499999988</v>
      </c>
    </row>
    <row r="131" spans="1:12" ht="30" customHeight="1" x14ac:dyDescent="0.35">
      <c r="A131" s="2"/>
      <c r="B131" s="66" t="s">
        <v>463</v>
      </c>
      <c r="C131" s="67"/>
      <c r="D131" s="67"/>
      <c r="E131" s="67"/>
      <c r="F131" s="67"/>
      <c r="G131" s="67"/>
      <c r="H131" s="67"/>
      <c r="I131" s="67"/>
      <c r="J131" s="67"/>
      <c r="K131" s="68"/>
      <c r="L131" s="22"/>
    </row>
    <row r="132" spans="1:12" ht="12.75" customHeight="1" x14ac:dyDescent="0.2">
      <c r="A132" s="2"/>
      <c r="B132" s="7" t="s">
        <v>464</v>
      </c>
      <c r="C132" s="8" t="s">
        <v>409</v>
      </c>
      <c r="D132" s="8" t="s">
        <v>447</v>
      </c>
      <c r="E132" s="8" t="s">
        <v>89</v>
      </c>
      <c r="F132" s="8" t="s">
        <v>448</v>
      </c>
      <c r="G132" s="8" t="s">
        <v>148</v>
      </c>
      <c r="H132" s="8">
        <f>(6561.03*($H$3))</f>
        <v>35101.510499999997</v>
      </c>
      <c r="I132" s="8">
        <f>(7367.69*($H$3))</f>
        <v>39417.141499999998</v>
      </c>
      <c r="J132" s="8">
        <f>(7514.36*($H$3))</f>
        <v>40201.825999999994</v>
      </c>
      <c r="K132" s="8">
        <f>(7722.14*($H$3))</f>
        <v>41313.449000000001</v>
      </c>
    </row>
    <row r="133" spans="1:12" ht="12.75" customHeight="1" x14ac:dyDescent="0.2">
      <c r="A133" s="2"/>
      <c r="B133" s="7" t="s">
        <v>465</v>
      </c>
      <c r="C133" s="8" t="s">
        <v>67</v>
      </c>
      <c r="D133" s="8" t="s">
        <v>447</v>
      </c>
      <c r="E133" s="8" t="s">
        <v>89</v>
      </c>
      <c r="F133" s="8" t="s">
        <v>448</v>
      </c>
      <c r="G133" s="8" t="s">
        <v>292</v>
      </c>
      <c r="H133" s="8">
        <f>(7415.2*($H$3))</f>
        <v>39671.32</v>
      </c>
      <c r="I133" s="8">
        <f>(8368.54*($H$3))</f>
        <v>44771.688999999998</v>
      </c>
      <c r="J133" s="8">
        <f>(8541.87*($H$3))</f>
        <v>45699.004500000003</v>
      </c>
      <c r="K133" s="8">
        <f>(8787.43*($H$3))</f>
        <v>47012.750500000002</v>
      </c>
    </row>
    <row r="134" spans="1:12" ht="12.75" customHeight="1" x14ac:dyDescent="0.2">
      <c r="A134" s="2"/>
      <c r="B134" s="7" t="s">
        <v>466</v>
      </c>
      <c r="C134" s="8" t="s">
        <v>451</v>
      </c>
      <c r="D134" s="8" t="s">
        <v>452</v>
      </c>
      <c r="E134" s="8" t="s">
        <v>89</v>
      </c>
      <c r="F134" s="8" t="s">
        <v>448</v>
      </c>
      <c r="G134" s="8" t="s">
        <v>292</v>
      </c>
      <c r="H134" s="8">
        <f>(7835.49*($H$3))</f>
        <v>41919.871499999994</v>
      </c>
      <c r="I134" s="8">
        <f>(8788.83*($H$3))</f>
        <v>47020.2405</v>
      </c>
      <c r="J134" s="8">
        <f>(8962.16*($H$3))</f>
        <v>47947.555999999997</v>
      </c>
      <c r="K134" s="8">
        <f>(9207.72*($H$3))</f>
        <v>49261.301999999996</v>
      </c>
    </row>
    <row r="135" spans="1:12" ht="12.75" customHeight="1" x14ac:dyDescent="0.2">
      <c r="A135" s="2"/>
      <c r="B135" s="7" t="s">
        <v>467</v>
      </c>
      <c r="C135" s="8" t="s">
        <v>42</v>
      </c>
      <c r="D135" s="8" t="s">
        <v>452</v>
      </c>
      <c r="E135" s="8" t="s">
        <v>89</v>
      </c>
      <c r="F135" s="8" t="s">
        <v>448</v>
      </c>
      <c r="G135" s="8" t="s">
        <v>153</v>
      </c>
      <c r="H135" s="8">
        <f>(8187.45*($H$3))</f>
        <v>43802.857499999998</v>
      </c>
      <c r="I135" s="8">
        <f>(9214.12*($H$3))</f>
        <v>49295.542000000001</v>
      </c>
      <c r="J135" s="8">
        <f>(9400.78*($H$3))</f>
        <v>50294.173000000003</v>
      </c>
      <c r="K135" s="8">
        <f>(9665.23*($H$3))</f>
        <v>51708.980499999998</v>
      </c>
    </row>
    <row r="136" spans="1:12" ht="12.75" customHeight="1" x14ac:dyDescent="0.2">
      <c r="A136" s="2"/>
      <c r="B136" s="7" t="s">
        <v>468</v>
      </c>
      <c r="C136" s="8" t="s">
        <v>455</v>
      </c>
      <c r="D136" s="8" t="s">
        <v>456</v>
      </c>
      <c r="E136" s="8" t="s">
        <v>89</v>
      </c>
      <c r="F136" s="8" t="s">
        <v>448</v>
      </c>
      <c r="G136" s="8" t="s">
        <v>153</v>
      </c>
      <c r="H136" s="8">
        <f>(8520.78*($H$3))</f>
        <v>45586.173000000003</v>
      </c>
      <c r="I136" s="8">
        <f>(9620.78*($H$3))</f>
        <v>51471.173000000003</v>
      </c>
      <c r="J136" s="8">
        <f>(9820.78*($H$3))</f>
        <v>52541.173000000003</v>
      </c>
      <c r="K136" s="8">
        <f>(10104.12*($H$3))</f>
        <v>54057.042000000001</v>
      </c>
    </row>
    <row r="137" spans="1:12" ht="30" customHeight="1" x14ac:dyDescent="0.35">
      <c r="A137" s="2"/>
      <c r="B137" s="66" t="s">
        <v>469</v>
      </c>
      <c r="C137" s="67"/>
      <c r="D137" s="67"/>
      <c r="E137" s="67"/>
      <c r="F137" s="67"/>
      <c r="G137" s="67"/>
      <c r="H137" s="67"/>
      <c r="I137" s="67"/>
      <c r="J137" s="67"/>
      <c r="K137" s="68"/>
      <c r="L137" s="22"/>
    </row>
    <row r="138" spans="1:12" ht="12.75" customHeight="1" x14ac:dyDescent="0.2">
      <c r="A138" s="5" t="s">
        <v>3</v>
      </c>
      <c r="B138" s="9" t="s">
        <v>4</v>
      </c>
      <c r="C138" s="9" t="s">
        <v>5</v>
      </c>
      <c r="D138" s="9" t="s">
        <v>6</v>
      </c>
      <c r="E138" s="9" t="s">
        <v>7</v>
      </c>
      <c r="F138" s="9" t="s">
        <v>8</v>
      </c>
      <c r="G138" s="9" t="s">
        <v>9</v>
      </c>
      <c r="H138" s="9" t="s">
        <v>10</v>
      </c>
      <c r="I138" s="9" t="s">
        <v>361</v>
      </c>
      <c r="J138" s="9" t="s">
        <v>12</v>
      </c>
      <c r="K138" s="9" t="s">
        <v>13</v>
      </c>
    </row>
    <row r="139" spans="1:12" ht="12.75" customHeight="1" x14ac:dyDescent="0.2">
      <c r="A139" s="2"/>
      <c r="B139" s="7" t="s">
        <v>470</v>
      </c>
      <c r="C139" s="8" t="s">
        <v>270</v>
      </c>
      <c r="D139" s="8" t="s">
        <v>447</v>
      </c>
      <c r="E139" s="8" t="s">
        <v>89</v>
      </c>
      <c r="F139" s="8" t="s">
        <v>63</v>
      </c>
      <c r="G139" s="8" t="s">
        <v>148</v>
      </c>
      <c r="H139" s="8">
        <f>(6295.54*($H$3))</f>
        <v>33681.138999999996</v>
      </c>
      <c r="I139" s="8">
        <f>(7102.2*($H$3))</f>
        <v>37996.769999999997</v>
      </c>
      <c r="J139" s="8">
        <f>(7248.87*($H$3))</f>
        <v>38781.4545</v>
      </c>
      <c r="K139" s="8">
        <f>(7456.65*($H$3))</f>
        <v>39893.077499999992</v>
      </c>
    </row>
    <row r="140" spans="1:12" ht="12.75" customHeight="1" x14ac:dyDescent="0.2">
      <c r="A140" s="2"/>
      <c r="B140" s="7" t="s">
        <v>471</v>
      </c>
      <c r="C140" s="8" t="s">
        <v>233</v>
      </c>
      <c r="D140" s="8" t="s">
        <v>447</v>
      </c>
      <c r="E140" s="8" t="s">
        <v>89</v>
      </c>
      <c r="F140" s="8" t="s">
        <v>63</v>
      </c>
      <c r="G140" s="8" t="s">
        <v>292</v>
      </c>
      <c r="H140" s="8">
        <f>(7124.87*($H$3))</f>
        <v>38118.054499999998</v>
      </c>
      <c r="I140" s="8">
        <f>(8004.87*($H$3))</f>
        <v>42826.054499999998</v>
      </c>
      <c r="J140" s="8">
        <f>(8164.87*($H$3))</f>
        <v>43682.054499999998</v>
      </c>
      <c r="K140" s="8">
        <f>(8391.54*($H$3))</f>
        <v>44894.739000000001</v>
      </c>
    </row>
    <row r="141" spans="1:12" ht="12.75" customHeight="1" x14ac:dyDescent="0.2">
      <c r="A141" s="2"/>
      <c r="B141" s="7" t="s">
        <v>472</v>
      </c>
      <c r="C141" s="8" t="s">
        <v>238</v>
      </c>
      <c r="D141" s="8" t="s">
        <v>452</v>
      </c>
      <c r="E141" s="8" t="s">
        <v>89</v>
      </c>
      <c r="F141" s="8" t="s">
        <v>63</v>
      </c>
      <c r="G141" s="8" t="s">
        <v>292</v>
      </c>
      <c r="H141" s="8">
        <f>(7582.47*($H$3))</f>
        <v>40566.214500000002</v>
      </c>
      <c r="I141" s="8">
        <f>(8535.8*($H$3))</f>
        <v>45666.529999999992</v>
      </c>
      <c r="J141" s="8">
        <f>(8709.14*($H$3))</f>
        <v>46593.89899999999</v>
      </c>
      <c r="K141" s="8">
        <f>(8954.69*($H$3))</f>
        <v>47907.591500000002</v>
      </c>
    </row>
    <row r="142" spans="1:12" ht="12.75" customHeight="1" x14ac:dyDescent="0.2">
      <c r="A142" s="2"/>
      <c r="B142" s="7" t="s">
        <v>473</v>
      </c>
      <c r="C142" s="8" t="s">
        <v>241</v>
      </c>
      <c r="D142" s="8" t="s">
        <v>452</v>
      </c>
      <c r="E142" s="8" t="s">
        <v>89</v>
      </c>
      <c r="F142" s="15">
        <v>0</v>
      </c>
      <c r="G142" s="8" t="s">
        <v>153</v>
      </c>
      <c r="H142" s="8">
        <f>(7936.34*($H$3))</f>
        <v>42459.418999999994</v>
      </c>
      <c r="I142" s="8">
        <f>(8963*($H$3))</f>
        <v>47952.049999999996</v>
      </c>
      <c r="J142" s="8">
        <f>(9149.67*($H$3))</f>
        <v>48950.734499999999</v>
      </c>
      <c r="K142" s="8">
        <f>(9414.12*($H$3))</f>
        <v>50365.542000000001</v>
      </c>
    </row>
    <row r="143" spans="1:12" ht="12.75" customHeight="1" x14ac:dyDescent="0.2">
      <c r="A143" s="2"/>
      <c r="B143" s="7" t="s">
        <v>474</v>
      </c>
      <c r="C143" s="8" t="s">
        <v>451</v>
      </c>
      <c r="D143" s="8" t="s">
        <v>456</v>
      </c>
      <c r="E143" s="8" t="s">
        <v>89</v>
      </c>
      <c r="F143" s="15">
        <v>0</v>
      </c>
      <c r="G143" s="8" t="s">
        <v>153</v>
      </c>
      <c r="H143" s="8">
        <f>(8237.98*($H$3))</f>
        <v>44073.192999999992</v>
      </c>
      <c r="I143" s="8">
        <f>(9264.65*($H$3))</f>
        <v>49565.877499999995</v>
      </c>
      <c r="J143" s="8">
        <f>(9451.32*($H$3))</f>
        <v>50564.561999999998</v>
      </c>
      <c r="K143" s="8">
        <f>(9715.76*($H$3))</f>
        <v>51979.315999999999</v>
      </c>
    </row>
    <row r="144" spans="1:12" ht="30" customHeight="1" x14ac:dyDescent="0.35">
      <c r="A144" s="2"/>
      <c r="B144" s="66" t="s">
        <v>475</v>
      </c>
      <c r="C144" s="67"/>
      <c r="D144" s="67"/>
      <c r="E144" s="67"/>
      <c r="F144" s="67"/>
      <c r="G144" s="67"/>
      <c r="H144" s="67"/>
      <c r="I144" s="67"/>
      <c r="J144" s="67"/>
      <c r="K144" s="68"/>
      <c r="L144" s="22"/>
    </row>
    <row r="145" spans="1:12" ht="12.75" customHeight="1" x14ac:dyDescent="0.2">
      <c r="A145" s="5" t="s">
        <v>3</v>
      </c>
      <c r="B145" s="9" t="s">
        <v>4</v>
      </c>
      <c r="C145" s="9" t="s">
        <v>5</v>
      </c>
      <c r="D145" s="9" t="s">
        <v>6</v>
      </c>
      <c r="E145" s="9" t="s">
        <v>7</v>
      </c>
      <c r="F145" s="9" t="s">
        <v>8</v>
      </c>
      <c r="G145" s="9" t="s">
        <v>353</v>
      </c>
      <c r="H145" s="9" t="s">
        <v>10</v>
      </c>
      <c r="I145" s="9" t="s">
        <v>14</v>
      </c>
      <c r="J145" s="9" t="s">
        <v>15</v>
      </c>
      <c r="K145" s="9" t="s">
        <v>16</v>
      </c>
    </row>
    <row r="146" spans="1:12" ht="12.75" customHeight="1" x14ac:dyDescent="0.2">
      <c r="A146" s="2"/>
      <c r="B146" s="7" t="s">
        <v>476</v>
      </c>
      <c r="C146" s="8" t="s">
        <v>477</v>
      </c>
      <c r="D146" s="8" t="s">
        <v>19</v>
      </c>
      <c r="E146" s="8" t="s">
        <v>89</v>
      </c>
      <c r="F146" s="8" t="s">
        <v>478</v>
      </c>
      <c r="G146" s="8" t="s">
        <v>28</v>
      </c>
      <c r="H146" s="8">
        <f>(5504.59*($H$3))</f>
        <v>29449.556499999999</v>
      </c>
      <c r="I146" s="8">
        <f>(8537.92*($H$3))</f>
        <v>45677.871999999996</v>
      </c>
      <c r="J146" s="8">
        <f>(8537.92*($H$3))</f>
        <v>45677.871999999996</v>
      </c>
      <c r="K146" s="8">
        <f>(10444.59*($H$3))</f>
        <v>55878.556499999999</v>
      </c>
    </row>
    <row r="147" spans="1:12" ht="30" customHeight="1" x14ac:dyDescent="0.35">
      <c r="A147" s="2"/>
      <c r="B147" s="66" t="s">
        <v>479</v>
      </c>
      <c r="C147" s="67"/>
      <c r="D147" s="67"/>
      <c r="E147" s="67"/>
      <c r="F147" s="67"/>
      <c r="G147" s="67"/>
      <c r="H147" s="67"/>
      <c r="I147" s="67"/>
      <c r="J147" s="67"/>
      <c r="K147" s="68"/>
      <c r="L147" s="22"/>
    </row>
    <row r="148" spans="1:12" ht="12.75" customHeight="1" x14ac:dyDescent="0.2">
      <c r="A148" s="5" t="s">
        <v>3</v>
      </c>
      <c r="B148" s="9" t="s">
        <v>4</v>
      </c>
      <c r="C148" s="9" t="s">
        <v>5</v>
      </c>
      <c r="D148" s="9" t="s">
        <v>6</v>
      </c>
      <c r="E148" s="9" t="s">
        <v>7</v>
      </c>
      <c r="F148" s="9" t="s">
        <v>8</v>
      </c>
      <c r="G148" s="9" t="s">
        <v>353</v>
      </c>
      <c r="H148" s="9" t="s">
        <v>10</v>
      </c>
      <c r="I148" s="9" t="s">
        <v>14</v>
      </c>
      <c r="J148" s="9" t="s">
        <v>15</v>
      </c>
      <c r="K148" s="9" t="s">
        <v>16</v>
      </c>
    </row>
    <row r="149" spans="1:12" ht="12.75" customHeight="1" x14ac:dyDescent="0.2">
      <c r="A149" s="2"/>
      <c r="B149" s="7" t="s">
        <v>480</v>
      </c>
      <c r="C149" s="8" t="s">
        <v>481</v>
      </c>
      <c r="D149" s="8" t="s">
        <v>19</v>
      </c>
      <c r="E149" s="8" t="s">
        <v>89</v>
      </c>
      <c r="F149" s="8" t="s">
        <v>63</v>
      </c>
      <c r="G149" s="8" t="s">
        <v>22</v>
      </c>
      <c r="H149" s="8">
        <f>(4862*($H$3))</f>
        <v>26011.699999999997</v>
      </c>
      <c r="I149" s="8">
        <f>(7429*($H$3))</f>
        <v>39745.149999999994</v>
      </c>
      <c r="J149" s="8">
        <f>(7429*($H$3))</f>
        <v>39745.149999999994</v>
      </c>
      <c r="K149" s="8">
        <f>(9042*($H$3))</f>
        <v>48374.7</v>
      </c>
    </row>
    <row r="150" spans="1:12" ht="30" customHeight="1" x14ac:dyDescent="0.35">
      <c r="A150" s="2"/>
      <c r="B150" s="66" t="s">
        <v>482</v>
      </c>
      <c r="C150" s="67"/>
      <c r="D150" s="67"/>
      <c r="E150" s="67"/>
      <c r="F150" s="67"/>
      <c r="G150" s="67"/>
      <c r="H150" s="67"/>
      <c r="I150" s="67"/>
      <c r="J150" s="67"/>
      <c r="K150" s="68"/>
      <c r="L150" s="22"/>
    </row>
    <row r="151" spans="1:12" ht="12.75" customHeight="1" x14ac:dyDescent="0.2">
      <c r="A151" s="5" t="s">
        <v>3</v>
      </c>
      <c r="B151" s="9" t="s">
        <v>4</v>
      </c>
      <c r="C151" s="9" t="s">
        <v>5</v>
      </c>
      <c r="D151" s="9" t="s">
        <v>6</v>
      </c>
      <c r="E151" s="9" t="s">
        <v>7</v>
      </c>
      <c r="F151" s="9" t="s">
        <v>8</v>
      </c>
      <c r="G151" s="9" t="s">
        <v>9</v>
      </c>
      <c r="H151" s="9" t="s">
        <v>10</v>
      </c>
      <c r="I151" s="9" t="s">
        <v>361</v>
      </c>
      <c r="J151" s="9" t="s">
        <v>12</v>
      </c>
      <c r="K151" s="9" t="s">
        <v>13</v>
      </c>
    </row>
    <row r="152" spans="1:12" ht="12.75" customHeight="1" x14ac:dyDescent="0.2">
      <c r="A152" s="2"/>
      <c r="B152" s="7" t="s">
        <v>483</v>
      </c>
      <c r="C152" s="8" t="s">
        <v>477</v>
      </c>
      <c r="D152" s="8" t="s">
        <v>19</v>
      </c>
      <c r="E152" s="8" t="s">
        <v>89</v>
      </c>
      <c r="F152" s="8" t="s">
        <v>478</v>
      </c>
      <c r="G152" s="8" t="s">
        <v>163</v>
      </c>
      <c r="H152" s="8">
        <f>(5054.59*($H$3))</f>
        <v>27042.056499999999</v>
      </c>
      <c r="I152" s="8">
        <f>(5773.25*($H$3))</f>
        <v>30886.887499999997</v>
      </c>
      <c r="J152" s="8">
        <f>(5903.92*($H$3))</f>
        <v>31585.971999999998</v>
      </c>
      <c r="K152" s="8">
        <f>(6089.03*($H$3))</f>
        <v>32576.310499999996</v>
      </c>
    </row>
    <row r="153" spans="1:12" ht="30" customHeight="1" x14ac:dyDescent="0.35">
      <c r="A153" s="2"/>
      <c r="B153" s="66" t="s">
        <v>484</v>
      </c>
      <c r="C153" s="67"/>
      <c r="D153" s="67"/>
      <c r="E153" s="67"/>
      <c r="F153" s="67"/>
      <c r="G153" s="67"/>
      <c r="H153" s="67"/>
      <c r="I153" s="67"/>
      <c r="J153" s="67"/>
      <c r="K153" s="68"/>
      <c r="L153" s="22"/>
    </row>
    <row r="154" spans="1:12" ht="12.75" customHeight="1" x14ac:dyDescent="0.2">
      <c r="A154" s="5" t="s">
        <v>3</v>
      </c>
      <c r="B154" s="9" t="s">
        <v>4</v>
      </c>
      <c r="C154" s="9" t="s">
        <v>5</v>
      </c>
      <c r="D154" s="9" t="s">
        <v>6</v>
      </c>
      <c r="E154" s="9" t="s">
        <v>7</v>
      </c>
      <c r="F154" s="9" t="s">
        <v>8</v>
      </c>
      <c r="G154" s="9" t="s">
        <v>9</v>
      </c>
      <c r="H154" s="9" t="s">
        <v>10</v>
      </c>
      <c r="I154" s="9" t="s">
        <v>361</v>
      </c>
      <c r="J154" s="9" t="s">
        <v>12</v>
      </c>
      <c r="K154" s="9" t="s">
        <v>13</v>
      </c>
    </row>
    <row r="155" spans="1:12" ht="12.75" customHeight="1" x14ac:dyDescent="0.2">
      <c r="A155" s="2"/>
      <c r="B155" s="7" t="s">
        <v>485</v>
      </c>
      <c r="C155" s="8" t="s">
        <v>481</v>
      </c>
      <c r="D155" s="8" t="s">
        <v>19</v>
      </c>
      <c r="E155" s="8" t="s">
        <v>89</v>
      </c>
      <c r="F155" s="8" t="s">
        <v>63</v>
      </c>
      <c r="G155" s="8" t="s">
        <v>82</v>
      </c>
      <c r="H155" s="8">
        <f>(4501*($H$3))</f>
        <v>24080.35</v>
      </c>
      <c r="I155" s="8">
        <f>(5161*($H$3))</f>
        <v>27611.35</v>
      </c>
      <c r="J155" s="8">
        <f>(5281*($H$3))</f>
        <v>28253.35</v>
      </c>
      <c r="K155" s="8">
        <f>(5451*($H$3))</f>
        <v>29162.85</v>
      </c>
    </row>
    <row r="156" spans="1:12" ht="30" customHeight="1" x14ac:dyDescent="0.35">
      <c r="A156" s="2"/>
      <c r="B156" s="66" t="s">
        <v>486</v>
      </c>
      <c r="C156" s="67"/>
      <c r="D156" s="67"/>
      <c r="E156" s="67"/>
      <c r="F156" s="67"/>
      <c r="G156" s="67"/>
      <c r="H156" s="67"/>
      <c r="I156" s="67"/>
      <c r="J156" s="67"/>
      <c r="K156" s="68"/>
    </row>
    <row r="157" spans="1:12" s="16" customFormat="1" ht="12.75" customHeight="1" x14ac:dyDescent="0.2">
      <c r="A157" s="5" t="s">
        <v>3</v>
      </c>
      <c r="B157" s="9" t="s">
        <v>4</v>
      </c>
      <c r="C157" s="9" t="s">
        <v>5</v>
      </c>
      <c r="D157" s="9" t="s">
        <v>6</v>
      </c>
      <c r="E157" s="9" t="s">
        <v>7</v>
      </c>
      <c r="F157" s="9" t="s">
        <v>8</v>
      </c>
      <c r="G157" s="9" t="s">
        <v>9</v>
      </c>
      <c r="H157" s="5" t="s">
        <v>345</v>
      </c>
      <c r="I157" s="9" t="s">
        <v>11</v>
      </c>
      <c r="J157" s="9" t="s">
        <v>12</v>
      </c>
      <c r="K157" s="9" t="s">
        <v>13</v>
      </c>
    </row>
    <row r="158" spans="1:12" ht="12.75" customHeight="1" x14ac:dyDescent="0.2">
      <c r="A158" s="2"/>
      <c r="B158" s="7" t="s">
        <v>87</v>
      </c>
      <c r="C158" s="8" t="s">
        <v>88</v>
      </c>
      <c r="D158" s="8" t="s">
        <v>19</v>
      </c>
      <c r="E158" s="8" t="s">
        <v>89</v>
      </c>
      <c r="F158" s="8">
        <v>20</v>
      </c>
      <c r="G158" s="8" t="s">
        <v>91</v>
      </c>
      <c r="H158" s="8">
        <f>(7825.78*($H$3))</f>
        <v>41867.922999999995</v>
      </c>
      <c r="I158" s="8">
        <f>(8759.11*($H$3))</f>
        <v>46861.238499999999</v>
      </c>
      <c r="J158" s="8">
        <f>(8959.11*($H$3))</f>
        <v>47931.238499999999</v>
      </c>
      <c r="K158" s="8">
        <f>(9242.45*($H$3))</f>
        <v>49447.107499999998</v>
      </c>
    </row>
    <row r="159" spans="1:12" ht="12.75" customHeight="1" x14ac:dyDescent="0.2">
      <c r="A159" s="2"/>
      <c r="B159" s="7" t="s">
        <v>92</v>
      </c>
      <c r="C159" s="8" t="s">
        <v>93</v>
      </c>
      <c r="D159" s="8" t="s">
        <v>19</v>
      </c>
      <c r="E159" s="8" t="s">
        <v>89</v>
      </c>
      <c r="F159" s="8">
        <v>20</v>
      </c>
      <c r="G159" s="8" t="s">
        <v>91</v>
      </c>
      <c r="H159" s="8">
        <f>(8457.68*($H$3))</f>
        <v>45248.587999999996</v>
      </c>
      <c r="I159" s="8">
        <f>(9453.24*($H$3))</f>
        <v>50574.833999999995</v>
      </c>
      <c r="J159" s="8">
        <f>(9666.57*($H$3))</f>
        <v>51716.149499999992</v>
      </c>
      <c r="K159" s="8">
        <f>(9968.79*($H$3))</f>
        <v>53333.0265</v>
      </c>
    </row>
    <row r="160" spans="1:12" ht="12.75" customHeight="1" x14ac:dyDescent="0.2">
      <c r="A160" s="2"/>
      <c r="B160" s="7" t="s">
        <v>94</v>
      </c>
      <c r="C160" s="8" t="s">
        <v>93</v>
      </c>
      <c r="D160" s="8" t="s">
        <v>19</v>
      </c>
      <c r="E160" s="8" t="s">
        <v>89</v>
      </c>
      <c r="F160" s="19" t="s">
        <v>351</v>
      </c>
      <c r="G160" s="8" t="s">
        <v>91</v>
      </c>
      <c r="H160" s="8">
        <f>(8518.34*($H$3))</f>
        <v>45573.118999999999</v>
      </c>
      <c r="I160" s="8">
        <f>(9513.89*($H$3))</f>
        <v>50899.311499999996</v>
      </c>
      <c r="J160" s="8">
        <f>(9727.22*($H$3))</f>
        <v>52040.626999999993</v>
      </c>
      <c r="K160" s="8">
        <f>(10029.45*($H$3))</f>
        <v>53657.557500000003</v>
      </c>
    </row>
    <row r="161" spans="1:11" ht="12.75" customHeight="1" x14ac:dyDescent="0.2">
      <c r="A161" s="2"/>
      <c r="B161" s="7" t="s">
        <v>95</v>
      </c>
      <c r="C161" s="8" t="s">
        <v>18</v>
      </c>
      <c r="D161" s="8" t="s">
        <v>19</v>
      </c>
      <c r="E161" s="8" t="s">
        <v>89</v>
      </c>
      <c r="F161" s="8">
        <v>20</v>
      </c>
      <c r="G161" s="8" t="s">
        <v>96</v>
      </c>
      <c r="H161" s="8">
        <f>(8735.57*($H$3))</f>
        <v>46735.299499999994</v>
      </c>
      <c r="I161" s="8">
        <f>(9793.35*($H$3))</f>
        <v>52394.422500000001</v>
      </c>
      <c r="J161" s="8">
        <f>(10020.01*($H$3))</f>
        <v>53607.053499999995</v>
      </c>
      <c r="K161" s="8">
        <f>(10341.12*($H$3))</f>
        <v>55324.991999999998</v>
      </c>
    </row>
    <row r="162" spans="1:11" ht="12.75" customHeight="1" x14ac:dyDescent="0.2">
      <c r="A162" s="2"/>
      <c r="B162" s="7" t="s">
        <v>97</v>
      </c>
      <c r="C162" s="8" t="s">
        <v>18</v>
      </c>
      <c r="D162" s="8" t="s">
        <v>19</v>
      </c>
      <c r="E162" s="8" t="s">
        <v>89</v>
      </c>
      <c r="F162" s="19" t="s">
        <v>351</v>
      </c>
      <c r="G162" s="15">
        <v>11</v>
      </c>
      <c r="H162" s="8">
        <f>(8818.01*($H$3))</f>
        <v>47176.353499999997</v>
      </c>
      <c r="I162" s="8">
        <f>(9813.57*($H$3))</f>
        <v>52502.599499999997</v>
      </c>
      <c r="J162" s="8">
        <f>(10026.9*($H$3))</f>
        <v>53643.914999999994</v>
      </c>
      <c r="K162" s="8">
        <f>(10329.12*($H$3))</f>
        <v>55260.792000000001</v>
      </c>
    </row>
    <row r="163" spans="1:11" ht="12.75" customHeight="1" x14ac:dyDescent="0.2">
      <c r="A163" s="2"/>
      <c r="B163" s="7" t="s">
        <v>99</v>
      </c>
      <c r="C163" s="8" t="s">
        <v>24</v>
      </c>
      <c r="D163" s="8" t="s">
        <v>19</v>
      </c>
      <c r="E163" s="8" t="s">
        <v>89</v>
      </c>
      <c r="F163" s="8">
        <v>20</v>
      </c>
      <c r="G163" s="8" t="s">
        <v>100</v>
      </c>
      <c r="H163" s="8">
        <f>(9043.15*($H$3))</f>
        <v>48380.852499999994</v>
      </c>
      <c r="I163" s="8">
        <f>(10163.15*($H$3))</f>
        <v>54372.852499999994</v>
      </c>
      <c r="J163" s="8">
        <f>(10403.15*($H$3))</f>
        <v>55656.852499999994</v>
      </c>
      <c r="K163" s="8">
        <f>(10743.15*($H$3))</f>
        <v>57475.852499999994</v>
      </c>
    </row>
    <row r="164" spans="1:11" ht="12.75" customHeight="1" x14ac:dyDescent="0.2">
      <c r="A164" s="2"/>
      <c r="B164" s="7" t="s">
        <v>101</v>
      </c>
      <c r="C164" s="8" t="s">
        <v>24</v>
      </c>
      <c r="D164" s="8" t="s">
        <v>19</v>
      </c>
      <c r="E164" s="8" t="s">
        <v>89</v>
      </c>
      <c r="F164" s="19" t="s">
        <v>351</v>
      </c>
      <c r="G164" s="8" t="s">
        <v>100</v>
      </c>
      <c r="H164" s="8">
        <f>(9276.49*($H$3))</f>
        <v>49629.221499999992</v>
      </c>
      <c r="I164" s="8">
        <f>(10396.49*($H$3))</f>
        <v>55621.221499999992</v>
      </c>
      <c r="J164" s="8">
        <f>(10636.49*($H$3))</f>
        <v>56905.221499999992</v>
      </c>
      <c r="K164" s="8">
        <f>(10976.49*($H$3))</f>
        <v>58724.221499999992</v>
      </c>
    </row>
    <row r="165" spans="1:11" ht="12.75" customHeight="1" x14ac:dyDescent="0.2">
      <c r="A165" s="2"/>
      <c r="B165" s="7" t="s">
        <v>102</v>
      </c>
      <c r="C165" s="8" t="s">
        <v>67</v>
      </c>
      <c r="D165" s="8" t="s">
        <v>19</v>
      </c>
      <c r="E165" s="8" t="s">
        <v>89</v>
      </c>
      <c r="F165" s="8">
        <v>20</v>
      </c>
      <c r="G165" s="8" t="s">
        <v>103</v>
      </c>
      <c r="H165" s="8">
        <f>(9249.63*($H$3))</f>
        <v>49485.520499999991</v>
      </c>
      <c r="I165" s="8">
        <f>(10431.85*($H$3))</f>
        <v>55810.397499999999</v>
      </c>
      <c r="J165" s="8">
        <f>(10685.18*($H$3))</f>
        <v>57165.712999999996</v>
      </c>
      <c r="K165" s="8">
        <f>(11044.07*($H$3))</f>
        <v>59085.774499999992</v>
      </c>
    </row>
    <row r="166" spans="1:11" ht="12.75" customHeight="1" x14ac:dyDescent="0.2">
      <c r="A166" s="2"/>
      <c r="B166" s="7" t="s">
        <v>104</v>
      </c>
      <c r="C166" s="8" t="s">
        <v>27</v>
      </c>
      <c r="D166" s="8" t="s">
        <v>19</v>
      </c>
      <c r="E166" s="8" t="s">
        <v>89</v>
      </c>
      <c r="F166" s="19" t="s">
        <v>351</v>
      </c>
      <c r="G166" s="8" t="s">
        <v>100</v>
      </c>
      <c r="H166" s="8">
        <f>(9227.42*($H$3))</f>
        <v>49366.697</v>
      </c>
      <c r="I166" s="8">
        <f>(10347.42*($H$3))</f>
        <v>55358.697</v>
      </c>
      <c r="J166" s="8">
        <f>(10587.42*($H$3))</f>
        <v>56642.697</v>
      </c>
      <c r="K166" s="8">
        <f>(10927.42*($H$3))</f>
        <v>58461.697</v>
      </c>
    </row>
    <row r="167" spans="1:11" ht="12.75" customHeight="1" x14ac:dyDescent="0.2">
      <c r="A167" s="2"/>
      <c r="B167" s="7" t="s">
        <v>105</v>
      </c>
      <c r="C167" s="8" t="s">
        <v>30</v>
      </c>
      <c r="D167" s="8" t="s">
        <v>19</v>
      </c>
      <c r="E167" s="8" t="s">
        <v>89</v>
      </c>
      <c r="F167" s="8">
        <v>20</v>
      </c>
      <c r="G167" s="8" t="s">
        <v>46</v>
      </c>
      <c r="H167" s="8">
        <f>(9588.93*($H$3))</f>
        <v>51300.775499999996</v>
      </c>
      <c r="I167" s="8">
        <f>(10833.38*($H$3))</f>
        <v>57958.582999999991</v>
      </c>
      <c r="J167" s="8">
        <f>(11100.04*($H$3))</f>
        <v>59385.214</v>
      </c>
      <c r="K167" s="8">
        <f>(11477.82*($H$3))</f>
        <v>61406.336999999992</v>
      </c>
    </row>
    <row r="168" spans="1:11" ht="12.75" customHeight="1" x14ac:dyDescent="0.2">
      <c r="A168" s="2"/>
      <c r="B168" s="7" t="s">
        <v>106</v>
      </c>
      <c r="C168" s="8" t="s">
        <v>30</v>
      </c>
      <c r="D168" s="8" t="s">
        <v>19</v>
      </c>
      <c r="E168" s="8" t="s">
        <v>89</v>
      </c>
      <c r="F168" s="19" t="s">
        <v>351</v>
      </c>
      <c r="G168" s="8" t="s">
        <v>103</v>
      </c>
      <c r="H168" s="8">
        <f>(9564.72*($H$3))</f>
        <v>51171.251999999993</v>
      </c>
      <c r="I168" s="8">
        <f>(10746.94*($H$3))</f>
        <v>57496.129000000001</v>
      </c>
      <c r="J168" s="8">
        <f>(11000.27*($H$3))</f>
        <v>58851.444499999998</v>
      </c>
      <c r="K168" s="8">
        <f>(11359.16*($H$3))</f>
        <v>60771.505999999994</v>
      </c>
    </row>
    <row r="169" spans="1:11" ht="12.75" customHeight="1" x14ac:dyDescent="0.2">
      <c r="A169" s="2"/>
      <c r="B169" s="7" t="s">
        <v>107</v>
      </c>
      <c r="C169" s="8" t="s">
        <v>108</v>
      </c>
      <c r="D169" s="8" t="s">
        <v>19</v>
      </c>
      <c r="E169" s="8" t="s">
        <v>89</v>
      </c>
      <c r="F169" s="19" t="s">
        <v>351</v>
      </c>
      <c r="G169" s="8" t="s">
        <v>46</v>
      </c>
      <c r="H169" s="8">
        <f>(9973.2*($H$3))</f>
        <v>53356.62</v>
      </c>
      <c r="I169" s="8">
        <f>(11217.64*($H$3))</f>
        <v>60014.373999999996</v>
      </c>
      <c r="J169" s="8">
        <f>(11484.31*($H$3))</f>
        <v>61441.058499999992</v>
      </c>
      <c r="K169" s="8">
        <f>(11862.09*($H$3))</f>
        <v>63462.181499999999</v>
      </c>
    </row>
    <row r="170" spans="1:11" ht="30" customHeight="1" x14ac:dyDescent="0.35">
      <c r="A170" s="2"/>
      <c r="B170" s="66" t="s">
        <v>432</v>
      </c>
      <c r="C170" s="67"/>
      <c r="D170" s="67"/>
      <c r="E170" s="67"/>
      <c r="F170" s="67"/>
      <c r="G170" s="67"/>
      <c r="H170" s="67"/>
      <c r="I170" s="67"/>
      <c r="J170" s="67"/>
      <c r="K170" s="68"/>
    </row>
    <row r="171" spans="1:11" s="16" customFormat="1" ht="12.75" customHeight="1" x14ac:dyDescent="0.2">
      <c r="A171" s="5" t="s">
        <v>3</v>
      </c>
      <c r="B171" s="9" t="s">
        <v>4</v>
      </c>
      <c r="C171" s="9" t="s">
        <v>5</v>
      </c>
      <c r="D171" s="9" t="s">
        <v>6</v>
      </c>
      <c r="E171" s="9" t="s">
        <v>7</v>
      </c>
      <c r="F171" s="9" t="s">
        <v>8</v>
      </c>
      <c r="G171" s="9" t="s">
        <v>9</v>
      </c>
      <c r="H171" s="9" t="s">
        <v>346</v>
      </c>
      <c r="I171" s="9" t="s">
        <v>14</v>
      </c>
      <c r="J171" s="9" t="s">
        <v>15</v>
      </c>
      <c r="K171" s="9" t="s">
        <v>16</v>
      </c>
    </row>
    <row r="172" spans="1:11" ht="12.75" customHeight="1" x14ac:dyDescent="0.2">
      <c r="A172" s="2"/>
      <c r="B172" s="7" t="s">
        <v>109</v>
      </c>
      <c r="C172" s="8" t="s">
        <v>88</v>
      </c>
      <c r="D172" s="8" t="s">
        <v>19</v>
      </c>
      <c r="E172" s="8" t="s">
        <v>89</v>
      </c>
      <c r="F172" s="8">
        <v>20</v>
      </c>
      <c r="G172" s="8" t="s">
        <v>90</v>
      </c>
      <c r="H172" s="8">
        <f>(8810.27*($H$3))</f>
        <v>47134.944499999998</v>
      </c>
      <c r="I172" s="8">
        <f>(13032.49*($H$3))</f>
        <v>69723.821499999991</v>
      </c>
      <c r="J172" s="8">
        <f>(13032.49*($H$3))</f>
        <v>69723.821499999991</v>
      </c>
      <c r="K172" s="8">
        <f>(15965.82*($H$3))</f>
        <v>85417.136999999988</v>
      </c>
    </row>
    <row r="173" spans="1:11" ht="12.75" customHeight="1" x14ac:dyDescent="0.2">
      <c r="A173" s="2"/>
      <c r="B173" s="7" t="s">
        <v>110</v>
      </c>
      <c r="C173" s="8" t="s">
        <v>93</v>
      </c>
      <c r="D173" s="8" t="s">
        <v>19</v>
      </c>
      <c r="E173" s="8" t="s">
        <v>89</v>
      </c>
      <c r="F173" s="8">
        <v>20</v>
      </c>
      <c r="G173" s="8" t="s">
        <v>98</v>
      </c>
      <c r="H173" s="8">
        <f>(9452.88*($H$3))</f>
        <v>50572.907999999996</v>
      </c>
      <c r="I173" s="8">
        <f>(13886.21*($H$3))</f>
        <v>74291.223499999993</v>
      </c>
      <c r="J173" s="8">
        <f>(13886.21*($H$3))</f>
        <v>74291.223499999993</v>
      </c>
      <c r="K173" s="8">
        <f>(16966.21*($H$3))</f>
        <v>90769.223499999993</v>
      </c>
    </row>
    <row r="174" spans="1:11" ht="12.75" customHeight="1" x14ac:dyDescent="0.2">
      <c r="A174" s="2"/>
      <c r="B174" s="7" t="s">
        <v>111</v>
      </c>
      <c r="C174" s="8" t="s">
        <v>93</v>
      </c>
      <c r="D174" s="8" t="s">
        <v>19</v>
      </c>
      <c r="E174" s="8" t="s">
        <v>89</v>
      </c>
      <c r="F174" s="19" t="s">
        <v>351</v>
      </c>
      <c r="G174" s="8" t="s">
        <v>90</v>
      </c>
      <c r="H174" s="8">
        <f>(9502.82*($H$3))</f>
        <v>50840.086999999992</v>
      </c>
      <c r="I174" s="8">
        <f>(13725.05*($H$3))</f>
        <v>73429.017499999987</v>
      </c>
      <c r="J174" s="8">
        <f>(13725.05*($H$3))</f>
        <v>73429.017499999987</v>
      </c>
      <c r="K174" s="8">
        <f>(16658.38*($H$3))</f>
        <v>89122.332999999999</v>
      </c>
    </row>
    <row r="175" spans="1:11" ht="12.75" customHeight="1" x14ac:dyDescent="0.2">
      <c r="A175" s="2"/>
      <c r="B175" s="7" t="s">
        <v>112</v>
      </c>
      <c r="C175" s="8" t="s">
        <v>18</v>
      </c>
      <c r="D175" s="8" t="s">
        <v>19</v>
      </c>
      <c r="E175" s="8" t="s">
        <v>89</v>
      </c>
      <c r="F175" s="8">
        <v>20</v>
      </c>
      <c r="G175" s="8" t="s">
        <v>113</v>
      </c>
      <c r="H175" s="8">
        <f>(9796.5*($H$3))</f>
        <v>52411.274999999994</v>
      </c>
      <c r="I175" s="8">
        <f>(14440.95*($H$3))</f>
        <v>77259.082500000004</v>
      </c>
      <c r="J175" s="8">
        <f>(14440.95*($H$3))</f>
        <v>77259.082500000004</v>
      </c>
      <c r="K175" s="8">
        <f>(17667.61*($H$3))</f>
        <v>94521.713499999998</v>
      </c>
    </row>
    <row r="176" spans="1:11" ht="12.75" customHeight="1" x14ac:dyDescent="0.2">
      <c r="A176" s="2"/>
      <c r="B176" s="7" t="s">
        <v>114</v>
      </c>
      <c r="C176" s="8" t="s">
        <v>18</v>
      </c>
      <c r="D176" s="8" t="s">
        <v>19</v>
      </c>
      <c r="E176" s="8" t="s">
        <v>89</v>
      </c>
      <c r="F176" s="19" t="s">
        <v>351</v>
      </c>
      <c r="G176" s="15">
        <v>22</v>
      </c>
      <c r="H176" s="8">
        <f>(9906.9*($H$3))</f>
        <v>53001.914999999994</v>
      </c>
      <c r="I176" s="8">
        <f>(14551.35*($H$3))</f>
        <v>77849.722500000003</v>
      </c>
      <c r="J176" s="8">
        <f>(14551.35*($H$3))</f>
        <v>77849.722500000003</v>
      </c>
      <c r="K176" s="8">
        <f>(17778.01*($H$3))</f>
        <v>95112.353499999983</v>
      </c>
    </row>
    <row r="177" spans="1:11" ht="12.75" customHeight="1" x14ac:dyDescent="0.2">
      <c r="A177" s="2"/>
      <c r="B177" s="7" t="s">
        <v>115</v>
      </c>
      <c r="C177" s="8" t="s">
        <v>24</v>
      </c>
      <c r="D177" s="8" t="s">
        <v>19</v>
      </c>
      <c r="E177" s="8" t="s">
        <v>89</v>
      </c>
      <c r="F177" s="8">
        <v>20</v>
      </c>
      <c r="G177" s="15">
        <v>22</v>
      </c>
      <c r="H177" s="8">
        <f>(10153.09*($H$3))</f>
        <v>54319.031499999997</v>
      </c>
      <c r="I177" s="8">
        <f>(15008.64*($H$3))</f>
        <v>80296.223999999987</v>
      </c>
      <c r="J177" s="8">
        <f>(15008.64*($H$3))</f>
        <v>80296.223999999987</v>
      </c>
      <c r="K177" s="8">
        <f>(18381.97*($H$3))</f>
        <v>98343.539499999999</v>
      </c>
    </row>
    <row r="178" spans="1:11" ht="12.75" customHeight="1" x14ac:dyDescent="0.2">
      <c r="A178" s="2"/>
      <c r="B178" s="7" t="s">
        <v>116</v>
      </c>
      <c r="C178" s="8" t="s">
        <v>24</v>
      </c>
      <c r="D178" s="8" t="s">
        <v>19</v>
      </c>
      <c r="E178" s="8" t="s">
        <v>89</v>
      </c>
      <c r="F178" s="19" t="s">
        <v>351</v>
      </c>
      <c r="G178" s="15">
        <v>23</v>
      </c>
      <c r="H178" s="8">
        <f>(10386.42*($H$3))</f>
        <v>55567.346999999994</v>
      </c>
      <c r="I178" s="8">
        <f>(15241.97*($H$3))</f>
        <v>81544.539499999984</v>
      </c>
      <c r="J178" s="8">
        <f>(15241.97*($H$3))</f>
        <v>81544.539499999984</v>
      </c>
      <c r="K178" s="8">
        <f>(18615.31*($H$3))</f>
        <v>99591.908500000005</v>
      </c>
    </row>
    <row r="179" spans="1:11" ht="12.75" customHeight="1" x14ac:dyDescent="0.2">
      <c r="A179" s="2"/>
      <c r="B179" s="7" t="s">
        <v>117</v>
      </c>
      <c r="C179" s="8" t="s">
        <v>67</v>
      </c>
      <c r="D179" s="8" t="s">
        <v>19</v>
      </c>
      <c r="E179" s="8" t="s">
        <v>89</v>
      </c>
      <c r="F179" s="8">
        <v>20</v>
      </c>
      <c r="G179" s="8" t="s">
        <v>118</v>
      </c>
      <c r="H179" s="8">
        <f>(10403.36*($H$3))</f>
        <v>55657.976000000002</v>
      </c>
      <c r="I179" s="8">
        <f>(15470.03*($H$3))</f>
        <v>82764.660499999998</v>
      </c>
      <c r="J179" s="8">
        <f>(15470.03*($H$3))</f>
        <v>82764.660499999998</v>
      </c>
      <c r="K179" s="8">
        <f>(18990.03*($H$3))</f>
        <v>101596.66049999998</v>
      </c>
    </row>
    <row r="180" spans="1:11" ht="12.75" customHeight="1" x14ac:dyDescent="0.2">
      <c r="A180" s="2"/>
      <c r="B180" s="7" t="s">
        <v>119</v>
      </c>
      <c r="C180" s="8" t="s">
        <v>27</v>
      </c>
      <c r="D180" s="8" t="s">
        <v>19</v>
      </c>
      <c r="E180" s="8" t="s">
        <v>89</v>
      </c>
      <c r="F180" s="19" t="s">
        <v>351</v>
      </c>
      <c r="G180" s="8" t="s">
        <v>120</v>
      </c>
      <c r="H180" s="8">
        <f>(10340*($H$3))</f>
        <v>55318.999999999993</v>
      </c>
      <c r="I180" s="8">
        <f>(15195.55*($H$3))</f>
        <v>81296.19249999999</v>
      </c>
      <c r="J180" s="8">
        <f>(15195.55*($H$3))</f>
        <v>81296.19249999999</v>
      </c>
      <c r="K180" s="8">
        <f>(18568.89*($H$3))</f>
        <v>99343.561499999996</v>
      </c>
    </row>
    <row r="181" spans="1:11" ht="12.75" customHeight="1" x14ac:dyDescent="0.2">
      <c r="A181" s="2"/>
      <c r="B181" s="7" t="s">
        <v>121</v>
      </c>
      <c r="C181" s="8" t="s">
        <v>30</v>
      </c>
      <c r="D181" s="8" t="s">
        <v>19</v>
      </c>
      <c r="E181" s="8" t="s">
        <v>89</v>
      </c>
      <c r="F181" s="8">
        <v>20</v>
      </c>
      <c r="G181" s="8" t="s">
        <v>45</v>
      </c>
      <c r="H181" s="8">
        <f>(10682.89*($H$3))</f>
        <v>57153.46149999999</v>
      </c>
      <c r="I181" s="8">
        <f>(15960.67*($H$3))</f>
        <v>85389.584499999997</v>
      </c>
      <c r="J181" s="8">
        <f>(15960.67*($H$3))</f>
        <v>85389.584499999997</v>
      </c>
      <c r="K181" s="8">
        <f>(19627.33*($H$3))</f>
        <v>105006.21550000001</v>
      </c>
    </row>
    <row r="182" spans="1:11" ht="12.75" customHeight="1" x14ac:dyDescent="0.2">
      <c r="A182" s="2"/>
      <c r="B182" s="7" t="s">
        <v>122</v>
      </c>
      <c r="C182" s="8" t="s">
        <v>30</v>
      </c>
      <c r="D182" s="8" t="s">
        <v>19</v>
      </c>
      <c r="E182" s="8" t="s">
        <v>89</v>
      </c>
      <c r="F182" s="19" t="s">
        <v>351</v>
      </c>
      <c r="G182" s="8" t="s">
        <v>118</v>
      </c>
      <c r="H182" s="8">
        <f>(10718.83*($H$3))</f>
        <v>57345.740499999993</v>
      </c>
      <c r="I182" s="8">
        <f>(15785.49*($H$3))</f>
        <v>84452.371499999994</v>
      </c>
      <c r="J182" s="8">
        <f>(15785.49*($H$3))</f>
        <v>84452.371499999994</v>
      </c>
      <c r="K182" s="8">
        <f>(19305.49*($H$3))</f>
        <v>103284.37150000001</v>
      </c>
    </row>
    <row r="183" spans="1:11" ht="12.75" customHeight="1" x14ac:dyDescent="0.2">
      <c r="A183" s="2"/>
      <c r="B183" s="7" t="s">
        <v>123</v>
      </c>
      <c r="C183" s="8" t="s">
        <v>108</v>
      </c>
      <c r="D183" s="8" t="s">
        <v>19</v>
      </c>
      <c r="E183" s="8" t="s">
        <v>89</v>
      </c>
      <c r="F183" s="19" t="s">
        <v>351</v>
      </c>
      <c r="G183" s="8" t="s">
        <v>45</v>
      </c>
      <c r="H183" s="8">
        <f>(11168.84*($H$3))</f>
        <v>59753.293999999994</v>
      </c>
      <c r="I183" s="8">
        <f>(16446.62*($H$3))</f>
        <v>87989.416999999987</v>
      </c>
      <c r="J183" s="8">
        <f>(16446.62*($H$3))</f>
        <v>87989.416999999987</v>
      </c>
      <c r="K183" s="8">
        <f>(20113.29*($H$3))</f>
        <v>107606.1015</v>
      </c>
    </row>
    <row r="184" spans="1:11" ht="30" customHeight="1" x14ac:dyDescent="0.35">
      <c r="A184" s="2"/>
      <c r="B184" s="69" t="s">
        <v>433</v>
      </c>
      <c r="C184" s="69"/>
      <c r="D184" s="69"/>
      <c r="E184" s="69"/>
      <c r="F184" s="69"/>
      <c r="G184" s="69"/>
      <c r="H184" s="69"/>
      <c r="I184" s="69"/>
      <c r="J184" s="69"/>
      <c r="K184" s="69"/>
    </row>
    <row r="185" spans="1:11" s="16" customFormat="1" ht="12.75" customHeight="1" x14ac:dyDescent="0.2">
      <c r="A185" s="5" t="s">
        <v>3</v>
      </c>
      <c r="B185" s="9" t="s">
        <v>4</v>
      </c>
      <c r="C185" s="9" t="s">
        <v>5</v>
      </c>
      <c r="D185" s="9" t="s">
        <v>6</v>
      </c>
      <c r="E185" s="9" t="s">
        <v>7</v>
      </c>
      <c r="F185" s="9" t="s">
        <v>8</v>
      </c>
      <c r="G185" s="11" t="s">
        <v>310</v>
      </c>
      <c r="H185" s="9" t="s">
        <v>10</v>
      </c>
      <c r="I185" s="9" t="s">
        <v>11</v>
      </c>
      <c r="J185" s="9" t="s">
        <v>12</v>
      </c>
      <c r="K185" s="9" t="s">
        <v>13</v>
      </c>
    </row>
    <row r="186" spans="1:11" ht="12.75" customHeight="1" x14ac:dyDescent="0.2">
      <c r="A186" s="2"/>
      <c r="B186" s="7" t="s">
        <v>124</v>
      </c>
      <c r="C186" s="8" t="s">
        <v>88</v>
      </c>
      <c r="D186" s="8" t="s">
        <v>19</v>
      </c>
      <c r="E186" s="8" t="s">
        <v>89</v>
      </c>
      <c r="F186" s="12">
        <v>20</v>
      </c>
      <c r="G186" s="10" t="s">
        <v>313</v>
      </c>
      <c r="H186" s="10">
        <f>8323*($H$3)</f>
        <v>44528.049999999996</v>
      </c>
      <c r="I186" s="8">
        <f>(10672.2*($H$3))</f>
        <v>57096.27</v>
      </c>
      <c r="J186" s="8">
        <f>(10778.87*($H$3))</f>
        <v>57666.9545</v>
      </c>
      <c r="K186" s="8">
        <f>(10929.98*($H$3))</f>
        <v>58475.392999999996</v>
      </c>
    </row>
    <row r="187" spans="1:11" ht="12.75" customHeight="1" x14ac:dyDescent="0.2">
      <c r="A187" s="2"/>
      <c r="B187" s="7" t="s">
        <v>126</v>
      </c>
      <c r="C187" s="8" t="s">
        <v>88</v>
      </c>
      <c r="D187" s="8" t="s">
        <v>19</v>
      </c>
      <c r="E187" s="8" t="s">
        <v>89</v>
      </c>
      <c r="F187" s="12">
        <v>20</v>
      </c>
      <c r="G187" s="10" t="s">
        <v>314</v>
      </c>
      <c r="H187" s="10">
        <f>8323*($H$3)</f>
        <v>44528.049999999996</v>
      </c>
      <c r="I187" s="8">
        <f>(12327.09*($H$3))</f>
        <v>65949.931499999992</v>
      </c>
      <c r="J187" s="8">
        <f>(12433.76*($H$3))</f>
        <v>66520.615999999995</v>
      </c>
      <c r="K187" s="8">
        <f>(12584.87*($H$3))</f>
        <v>67329.054499999998</v>
      </c>
    </row>
    <row r="188" spans="1:11" ht="12.75" customHeight="1" x14ac:dyDescent="0.2">
      <c r="A188" s="2"/>
      <c r="B188" s="7" t="s">
        <v>127</v>
      </c>
      <c r="C188" s="8" t="s">
        <v>93</v>
      </c>
      <c r="D188" s="8" t="s">
        <v>19</v>
      </c>
      <c r="E188" s="8" t="s">
        <v>89</v>
      </c>
      <c r="F188" s="12">
        <v>20</v>
      </c>
      <c r="G188" s="10" t="s">
        <v>315</v>
      </c>
      <c r="H188" s="10">
        <f>8950*($H$3)</f>
        <v>47882.5</v>
      </c>
      <c r="I188" s="8">
        <f>(11412.17*($H$3))</f>
        <v>61055.109499999999</v>
      </c>
      <c r="J188" s="8">
        <f>(11518.84*($H$3))</f>
        <v>61625.793999999994</v>
      </c>
      <c r="K188" s="8">
        <f>(11669.95*($H$3))</f>
        <v>62434.232499999998</v>
      </c>
    </row>
    <row r="189" spans="1:11" ht="12.75" customHeight="1" x14ac:dyDescent="0.2">
      <c r="A189" s="2"/>
      <c r="B189" s="7" t="s">
        <v>128</v>
      </c>
      <c r="C189" s="8" t="s">
        <v>93</v>
      </c>
      <c r="D189" s="8" t="s">
        <v>19</v>
      </c>
      <c r="E189" s="8" t="s">
        <v>89</v>
      </c>
      <c r="F189" s="12">
        <v>20</v>
      </c>
      <c r="G189" s="10" t="s">
        <v>315</v>
      </c>
      <c r="H189" s="10">
        <f>8950*($H$3)</f>
        <v>47882.5</v>
      </c>
      <c r="I189" s="8">
        <f>(12135.46*($H$3))</f>
        <v>64924.710999999988</v>
      </c>
      <c r="J189" s="8">
        <f>(12242.12*($H$3))</f>
        <v>65495.341999999997</v>
      </c>
      <c r="K189" s="8">
        <f>(12393.24*($H$3))</f>
        <v>66303.833999999988</v>
      </c>
    </row>
    <row r="190" spans="1:11" ht="12.75" customHeight="1" x14ac:dyDescent="0.2">
      <c r="A190" s="2"/>
      <c r="B190" s="7" t="s">
        <v>129</v>
      </c>
      <c r="C190" s="8" t="s">
        <v>93</v>
      </c>
      <c r="D190" s="8" t="s">
        <v>19</v>
      </c>
      <c r="E190" s="8" t="s">
        <v>89</v>
      </c>
      <c r="F190" s="12" t="s">
        <v>351</v>
      </c>
      <c r="G190" s="10" t="s">
        <v>315</v>
      </c>
      <c r="H190" s="10">
        <f>9030*($H$3)</f>
        <v>48310.5</v>
      </c>
      <c r="I190" s="8">
        <f>(11491.62*($H$3))</f>
        <v>61480.167000000001</v>
      </c>
      <c r="J190" s="8">
        <f>(11598.29*($H$3))</f>
        <v>62050.851499999997</v>
      </c>
      <c r="K190" s="8">
        <f>(11749.4*($H$3))</f>
        <v>62859.289999999994</v>
      </c>
    </row>
    <row r="191" spans="1:11" ht="12.75" customHeight="1" x14ac:dyDescent="0.2">
      <c r="A191" s="2"/>
      <c r="B191" s="7" t="s">
        <v>130</v>
      </c>
      <c r="C191" s="8" t="s">
        <v>93</v>
      </c>
      <c r="D191" s="8" t="s">
        <v>19</v>
      </c>
      <c r="E191" s="8" t="s">
        <v>89</v>
      </c>
      <c r="F191" s="12" t="s">
        <v>351</v>
      </c>
      <c r="G191" s="10" t="s">
        <v>315</v>
      </c>
      <c r="H191" s="10">
        <f>9030*($H$3)</f>
        <v>48310.5</v>
      </c>
      <c r="I191" s="8">
        <f>(13248.42*($H$3))</f>
        <v>70879.046999999991</v>
      </c>
      <c r="J191" s="8">
        <f>(13355.09*($H$3))</f>
        <v>71449.731499999994</v>
      </c>
      <c r="K191" s="8">
        <f>(13506.2*($H$3))</f>
        <v>72258.17</v>
      </c>
    </row>
    <row r="192" spans="1:11" ht="12.75" customHeight="1" x14ac:dyDescent="0.2">
      <c r="A192" s="2"/>
      <c r="B192" s="7" t="s">
        <v>131</v>
      </c>
      <c r="C192" s="8" t="s">
        <v>18</v>
      </c>
      <c r="D192" s="8" t="s">
        <v>19</v>
      </c>
      <c r="E192" s="8" t="s">
        <v>89</v>
      </c>
      <c r="F192" s="12">
        <v>20</v>
      </c>
      <c r="G192" s="10" t="s">
        <v>316</v>
      </c>
      <c r="H192" s="10">
        <f>9296*($H$3)</f>
        <v>49733.599999999999</v>
      </c>
      <c r="I192" s="8">
        <f>(11934.08*($H$3))</f>
        <v>63847.327999999994</v>
      </c>
      <c r="J192" s="8">
        <f>(12054.08*($H$3))</f>
        <v>64489.327999999994</v>
      </c>
      <c r="K192" s="8">
        <f>(12224.08*($H$3))</f>
        <v>65398.827999999994</v>
      </c>
    </row>
    <row r="193" spans="1:11" ht="12.75" customHeight="1" x14ac:dyDescent="0.2">
      <c r="A193" s="2"/>
      <c r="B193" s="7" t="s">
        <v>132</v>
      </c>
      <c r="C193" s="8" t="s">
        <v>18</v>
      </c>
      <c r="D193" s="8" t="s">
        <v>19</v>
      </c>
      <c r="E193" s="8" t="s">
        <v>89</v>
      </c>
      <c r="F193" s="12">
        <v>20</v>
      </c>
      <c r="G193" s="10" t="s">
        <v>316</v>
      </c>
      <c r="H193" s="10">
        <f>9296*($H$3)</f>
        <v>49733.599999999999</v>
      </c>
      <c r="I193" s="8">
        <f>(13791.86*($H$3))</f>
        <v>73786.451000000001</v>
      </c>
      <c r="J193" s="8">
        <f>(13911.86*($H$3))</f>
        <v>74428.451000000001</v>
      </c>
      <c r="K193" s="8">
        <f>(14081.86*($H$3))</f>
        <v>75337.951000000001</v>
      </c>
    </row>
    <row r="194" spans="1:11" ht="12.75" customHeight="1" x14ac:dyDescent="0.2">
      <c r="A194" s="2"/>
      <c r="B194" s="7" t="s">
        <v>133</v>
      </c>
      <c r="C194" s="8" t="s">
        <v>18</v>
      </c>
      <c r="D194" s="8" t="s">
        <v>19</v>
      </c>
      <c r="E194" s="8" t="s">
        <v>89</v>
      </c>
      <c r="F194" s="12" t="s">
        <v>351</v>
      </c>
      <c r="G194" s="10" t="s">
        <v>316</v>
      </c>
      <c r="H194" s="10">
        <f>9370*($H$3)</f>
        <v>50129.5</v>
      </c>
      <c r="I194" s="8">
        <f>(12008.35*($H$3))</f>
        <v>64244.672500000001</v>
      </c>
      <c r="J194" s="8">
        <f>(12128.35*($H$3))</f>
        <v>64886.672500000001</v>
      </c>
      <c r="K194" s="8">
        <f>(12298.35*($H$3))</f>
        <v>65796.172500000001</v>
      </c>
    </row>
    <row r="195" spans="1:11" ht="12.75" customHeight="1" x14ac:dyDescent="0.2">
      <c r="A195" s="2"/>
      <c r="B195" s="7" t="s">
        <v>134</v>
      </c>
      <c r="C195" s="8" t="s">
        <v>18</v>
      </c>
      <c r="D195" s="8" t="s">
        <v>19</v>
      </c>
      <c r="E195" s="8" t="s">
        <v>89</v>
      </c>
      <c r="F195" s="12" t="s">
        <v>351</v>
      </c>
      <c r="G195" s="10" t="s">
        <v>316</v>
      </c>
      <c r="H195" s="10">
        <f>9370*($H$3)</f>
        <v>50129.5</v>
      </c>
      <c r="I195" s="8">
        <f>(13866.12*($H$3))</f>
        <v>74183.741999999998</v>
      </c>
      <c r="J195" s="8">
        <f>(13986.12*($H$3))</f>
        <v>74825.741999999998</v>
      </c>
      <c r="K195" s="8">
        <f>(14156.12*($H$3))</f>
        <v>75735.241999999998</v>
      </c>
    </row>
    <row r="196" spans="1:11" ht="12.75" customHeight="1" x14ac:dyDescent="0.2">
      <c r="A196" s="2"/>
      <c r="B196" s="7" t="s">
        <v>135</v>
      </c>
      <c r="C196" s="8" t="s">
        <v>24</v>
      </c>
      <c r="D196" s="8" t="s">
        <v>19</v>
      </c>
      <c r="E196" s="8" t="s">
        <v>89</v>
      </c>
      <c r="F196" s="12">
        <v>20</v>
      </c>
      <c r="G196" s="10" t="s">
        <v>317</v>
      </c>
      <c r="H196" s="10">
        <f>9455*($H$3)</f>
        <v>50584.25</v>
      </c>
      <c r="I196" s="8">
        <f>(12186.55*($H$3))</f>
        <v>65198.042499999989</v>
      </c>
      <c r="J196" s="8">
        <f>(12306.55*($H$3))</f>
        <v>65840.042499999996</v>
      </c>
      <c r="K196" s="8">
        <f>(12476.55*($H$3))</f>
        <v>66749.542499999996</v>
      </c>
    </row>
    <row r="197" spans="1:11" ht="12.75" customHeight="1" x14ac:dyDescent="0.2">
      <c r="A197" s="2"/>
      <c r="B197" s="7" t="s">
        <v>136</v>
      </c>
      <c r="C197" s="8" t="s">
        <v>24</v>
      </c>
      <c r="D197" s="8" t="s">
        <v>19</v>
      </c>
      <c r="E197" s="8" t="s">
        <v>89</v>
      </c>
      <c r="F197" s="12">
        <v>20</v>
      </c>
      <c r="G197" s="10" t="s">
        <v>317</v>
      </c>
      <c r="H197" s="10">
        <f>9455*($H$3)</f>
        <v>50584.25</v>
      </c>
      <c r="I197" s="8">
        <f>(14128.77*($H$3))</f>
        <v>75588.919500000004</v>
      </c>
      <c r="J197" s="8">
        <f>(14248.77*($H$3))</f>
        <v>76230.919500000004</v>
      </c>
      <c r="K197" s="8">
        <f>(14418.77*($H$3))</f>
        <v>77140.419500000004</v>
      </c>
    </row>
    <row r="198" spans="1:11" ht="12.75" customHeight="1" x14ac:dyDescent="0.2">
      <c r="A198" s="2"/>
      <c r="B198" s="7" t="s">
        <v>138</v>
      </c>
      <c r="C198" s="8" t="s">
        <v>24</v>
      </c>
      <c r="D198" s="8" t="s">
        <v>19</v>
      </c>
      <c r="E198" s="8" t="s">
        <v>89</v>
      </c>
      <c r="F198" s="12" t="s">
        <v>351</v>
      </c>
      <c r="G198" s="10" t="s">
        <v>317</v>
      </c>
      <c r="H198" s="10">
        <f>9490*($H$3)</f>
        <v>50771.5</v>
      </c>
      <c r="I198" s="8">
        <f>(12203.15*($H$3))</f>
        <v>65286.852499999994</v>
      </c>
      <c r="J198" s="8">
        <f>(12323*($H$3))</f>
        <v>65928.049999999988</v>
      </c>
      <c r="K198" s="8">
        <f>(12493*($H$3))</f>
        <v>66837.549999999988</v>
      </c>
    </row>
    <row r="199" spans="1:11" ht="12.75" customHeight="1" x14ac:dyDescent="0.2">
      <c r="A199" s="2"/>
      <c r="B199" s="7" t="s">
        <v>137</v>
      </c>
      <c r="C199" s="8" t="s">
        <v>24</v>
      </c>
      <c r="D199" s="8" t="s">
        <v>19</v>
      </c>
      <c r="E199" s="8" t="s">
        <v>89</v>
      </c>
      <c r="F199" s="12" t="s">
        <v>351</v>
      </c>
      <c r="G199" s="10" t="s">
        <v>317</v>
      </c>
      <c r="H199" s="10">
        <f>9490*($H$3)</f>
        <v>50771.5</v>
      </c>
      <c r="I199" s="8">
        <f>(14145*($H$3))</f>
        <v>75675.75</v>
      </c>
      <c r="J199" s="8">
        <f>(14265*($H$3))</f>
        <v>76317.75</v>
      </c>
      <c r="K199" s="8">
        <f>(14435*($H$3))</f>
        <v>77227.25</v>
      </c>
    </row>
    <row r="200" spans="1:11" ht="12.75" customHeight="1" x14ac:dyDescent="0.2">
      <c r="A200" s="2"/>
      <c r="B200" s="7" t="s">
        <v>139</v>
      </c>
      <c r="C200" s="8" t="s">
        <v>67</v>
      </c>
      <c r="D200" s="8" t="s">
        <v>19</v>
      </c>
      <c r="E200" s="8" t="s">
        <v>89</v>
      </c>
      <c r="F200" s="12">
        <v>20</v>
      </c>
      <c r="G200" s="10" t="s">
        <v>318</v>
      </c>
      <c r="H200" s="10">
        <f>9885*($H$3)</f>
        <v>52884.75</v>
      </c>
      <c r="I200" s="8">
        <f>(12866.36*($H$3))</f>
        <v>68835.025999999998</v>
      </c>
      <c r="J200" s="8">
        <f>(12999.69*($H$3))</f>
        <v>69548.341499999995</v>
      </c>
      <c r="K200" s="8">
        <f>(13188.58*($H$3))</f>
        <v>70558.902999999991</v>
      </c>
    </row>
    <row r="201" spans="1:11" ht="12.75" customHeight="1" x14ac:dyDescent="0.2">
      <c r="A201" s="2"/>
      <c r="B201" s="7" t="s">
        <v>140</v>
      </c>
      <c r="C201" s="8" t="s">
        <v>67</v>
      </c>
      <c r="D201" s="8" t="s">
        <v>19</v>
      </c>
      <c r="E201" s="8" t="s">
        <v>89</v>
      </c>
      <c r="F201" s="12">
        <v>20</v>
      </c>
      <c r="G201" s="10" t="s">
        <v>318</v>
      </c>
      <c r="H201" s="10">
        <f>9885*($H$3)</f>
        <v>52884.75</v>
      </c>
      <c r="I201" s="8">
        <f>(14977.47*($H$3))</f>
        <v>80129.464499999987</v>
      </c>
      <c r="J201" s="8">
        <f>(15110.8*($H$3))</f>
        <v>80842.779999999984</v>
      </c>
      <c r="K201" s="8">
        <f>(15299.69*($H$3))</f>
        <v>81853.341499999995</v>
      </c>
    </row>
    <row r="202" spans="1:11" ht="12.75" customHeight="1" x14ac:dyDescent="0.2">
      <c r="A202" s="2"/>
      <c r="B202" s="7" t="s">
        <v>141</v>
      </c>
      <c r="C202" s="8" t="s">
        <v>27</v>
      </c>
      <c r="D202" s="8" t="s">
        <v>19</v>
      </c>
      <c r="E202" s="8" t="s">
        <v>89</v>
      </c>
      <c r="F202" s="12" t="s">
        <v>351</v>
      </c>
      <c r="G202" s="10" t="s">
        <v>318</v>
      </c>
      <c r="H202" s="10">
        <f>9900*($H$3)</f>
        <v>52965</v>
      </c>
      <c r="I202" s="8">
        <f>(12880.82*($H$3))</f>
        <v>68912.386999999988</v>
      </c>
      <c r="J202" s="8">
        <f>(13014.15*($H$3))</f>
        <v>69625.702499999999</v>
      </c>
      <c r="K202" s="8">
        <f>(13203.04*($H$3))</f>
        <v>70636.263999999996</v>
      </c>
    </row>
    <row r="203" spans="1:11" ht="12.75" customHeight="1" x14ac:dyDescent="0.2">
      <c r="A203" s="2"/>
      <c r="B203" s="7" t="s">
        <v>142</v>
      </c>
      <c r="C203" s="8" t="s">
        <v>27</v>
      </c>
      <c r="D203" s="8" t="s">
        <v>19</v>
      </c>
      <c r="E203" s="8" t="s">
        <v>89</v>
      </c>
      <c r="F203" s="12" t="s">
        <v>351</v>
      </c>
      <c r="G203" s="10" t="s">
        <v>318</v>
      </c>
      <c r="H203" s="10">
        <f>9900*($H$3)</f>
        <v>52965</v>
      </c>
      <c r="I203" s="8">
        <f>(14991.93*($H$3))</f>
        <v>80206.825499999992</v>
      </c>
      <c r="J203" s="8">
        <f>(15125.26*($H$3))</f>
        <v>80920.140999999989</v>
      </c>
      <c r="K203" s="8">
        <f>(15314.15*($H$3))</f>
        <v>81930.702499999999</v>
      </c>
    </row>
    <row r="204" spans="1:11" ht="12.75" customHeight="1" x14ac:dyDescent="0.2">
      <c r="A204" s="2"/>
      <c r="B204" s="7" t="s">
        <v>143</v>
      </c>
      <c r="C204" s="8" t="s">
        <v>30</v>
      </c>
      <c r="D204" s="8" t="s">
        <v>19</v>
      </c>
      <c r="E204" s="8" t="s">
        <v>89</v>
      </c>
      <c r="F204" s="12">
        <v>20</v>
      </c>
      <c r="G204" s="10" t="s">
        <v>319</v>
      </c>
      <c r="H204" s="10">
        <f>10225*($H$3)</f>
        <v>54703.75</v>
      </c>
      <c r="I204" s="8">
        <f>(13300.53*($H$3))</f>
        <v>71157.835500000001</v>
      </c>
      <c r="J204" s="8">
        <f>(13433.87*($H$3))</f>
        <v>71871.204499999993</v>
      </c>
      <c r="K204" s="8">
        <f>(13622.76*($H$3))</f>
        <v>72881.766000000003</v>
      </c>
    </row>
    <row r="205" spans="1:11" ht="12.75" customHeight="1" x14ac:dyDescent="0.2">
      <c r="A205" s="2"/>
      <c r="B205" s="7" t="s">
        <v>144</v>
      </c>
      <c r="C205" s="8" t="s">
        <v>30</v>
      </c>
      <c r="D205" s="8" t="s">
        <v>19</v>
      </c>
      <c r="E205" s="8" t="s">
        <v>89</v>
      </c>
      <c r="F205" s="12">
        <v>20</v>
      </c>
      <c r="G205" s="10" t="s">
        <v>319</v>
      </c>
      <c r="H205" s="10">
        <f>10225*($H$3)</f>
        <v>54703.75</v>
      </c>
      <c r="I205" s="8">
        <f>(15496.09*($H$3))</f>
        <v>82904.0815</v>
      </c>
      <c r="J205" s="8">
        <f>(15629.42*($H$3))</f>
        <v>83617.396999999997</v>
      </c>
      <c r="K205" s="8">
        <f>(15818.31*($H$3))</f>
        <v>84627.958499999993</v>
      </c>
    </row>
    <row r="206" spans="1:11" ht="12.75" customHeight="1" x14ac:dyDescent="0.2">
      <c r="A206" s="2"/>
      <c r="B206" s="7" t="s">
        <v>145</v>
      </c>
      <c r="C206" s="8" t="s">
        <v>30</v>
      </c>
      <c r="D206" s="8" t="s">
        <v>19</v>
      </c>
      <c r="E206" s="8" t="s">
        <v>89</v>
      </c>
      <c r="F206" s="12" t="s">
        <v>351</v>
      </c>
      <c r="G206" s="10" t="s">
        <v>319</v>
      </c>
      <c r="H206" s="10">
        <f>10240*($H$3)</f>
        <v>54784</v>
      </c>
      <c r="I206" s="8">
        <f>(13315.2*($H$3))</f>
        <v>71236.319999999992</v>
      </c>
      <c r="J206" s="8">
        <f>(13448.54*($H$3))</f>
        <v>71949.688999999998</v>
      </c>
      <c r="K206" s="8">
        <f>(13637.43*($H$3))</f>
        <v>72960.250499999995</v>
      </c>
    </row>
    <row r="207" spans="1:11" ht="12.75" customHeight="1" x14ac:dyDescent="0.2">
      <c r="A207" s="2"/>
      <c r="B207" s="7" t="s">
        <v>146</v>
      </c>
      <c r="C207" s="8" t="s">
        <v>30</v>
      </c>
      <c r="D207" s="8" t="s">
        <v>19</v>
      </c>
      <c r="E207" s="8" t="s">
        <v>89</v>
      </c>
      <c r="F207" s="12" t="s">
        <v>351</v>
      </c>
      <c r="G207" s="10" t="s">
        <v>319</v>
      </c>
      <c r="H207" s="10">
        <f>10240*($H$3)</f>
        <v>54784</v>
      </c>
      <c r="I207" s="8">
        <f>(15510.76*($H$3))</f>
        <v>82982.565999999992</v>
      </c>
      <c r="J207" s="8">
        <f>(15644.09*($H$3))</f>
        <v>83695.881499999989</v>
      </c>
      <c r="K207" s="8">
        <f>(15832.98*($H$3))</f>
        <v>84706.442999999999</v>
      </c>
    </row>
    <row r="208" spans="1:11" ht="12.75" customHeight="1" x14ac:dyDescent="0.2">
      <c r="A208" s="2"/>
      <c r="B208" s="7" t="s">
        <v>147</v>
      </c>
      <c r="C208" s="8" t="s">
        <v>108</v>
      </c>
      <c r="D208" s="8" t="s">
        <v>19</v>
      </c>
      <c r="E208" s="8" t="s">
        <v>89</v>
      </c>
      <c r="F208" s="12" t="s">
        <v>351</v>
      </c>
      <c r="G208" s="10" t="s">
        <v>320</v>
      </c>
      <c r="H208" s="10">
        <f>10750*($H$3)</f>
        <v>57512.499999999993</v>
      </c>
      <c r="I208" s="8">
        <f>(14021.33*($H$3))</f>
        <v>75014.1155</v>
      </c>
      <c r="J208" s="8">
        <f>(14181.33*($H$3))</f>
        <v>75870.1155</v>
      </c>
      <c r="K208" s="8">
        <f>(14408*($H$3))</f>
        <v>77082.799999999988</v>
      </c>
    </row>
    <row r="209" spans="1:16" ht="12.75" customHeight="1" x14ac:dyDescent="0.2">
      <c r="A209" s="2"/>
      <c r="B209" s="7" t="s">
        <v>149</v>
      </c>
      <c r="C209" s="8" t="s">
        <v>108</v>
      </c>
      <c r="D209" s="8" t="s">
        <v>19</v>
      </c>
      <c r="E209" s="8" t="s">
        <v>89</v>
      </c>
      <c r="F209" s="12" t="s">
        <v>351</v>
      </c>
      <c r="G209" s="10" t="s">
        <v>320</v>
      </c>
      <c r="H209" s="10">
        <f>10750*($H$3)</f>
        <v>57512.499999999993</v>
      </c>
      <c r="I209" s="8">
        <f>(16289.11*($H$3))</f>
        <v>87146.738499999992</v>
      </c>
      <c r="J209" s="8">
        <f>(16449.11*($H$3))</f>
        <v>88002.738499999992</v>
      </c>
      <c r="K209" s="8">
        <f>(16675.78*($H$3))</f>
        <v>89215.422999999981</v>
      </c>
    </row>
    <row r="210" spans="1:16" ht="30" customHeight="1" x14ac:dyDescent="0.2">
      <c r="A210" s="2"/>
      <c r="B210" s="79" t="s">
        <v>651</v>
      </c>
      <c r="C210" s="80"/>
      <c r="D210" s="80"/>
      <c r="E210" s="80"/>
      <c r="F210" s="80"/>
      <c r="G210" s="80"/>
      <c r="H210" s="80"/>
      <c r="I210" s="80"/>
      <c r="J210" s="80"/>
      <c r="K210" s="80"/>
      <c r="L210" s="22"/>
    </row>
    <row r="211" spans="1:16" ht="12.75" customHeight="1" x14ac:dyDescent="0.2">
      <c r="A211" s="5" t="s">
        <v>3</v>
      </c>
      <c r="B211" s="34" t="s">
        <v>640</v>
      </c>
      <c r="C211" s="35" t="s">
        <v>641</v>
      </c>
      <c r="D211" s="35" t="s">
        <v>642</v>
      </c>
      <c r="E211" s="35" t="s">
        <v>643</v>
      </c>
      <c r="F211" s="35" t="s">
        <v>644</v>
      </c>
      <c r="G211" s="35" t="s">
        <v>645</v>
      </c>
      <c r="H211" s="51" t="s">
        <v>10</v>
      </c>
      <c r="I211" s="51" t="s">
        <v>646</v>
      </c>
      <c r="J211" s="51" t="s">
        <v>647</v>
      </c>
      <c r="K211" s="51" t="s">
        <v>648</v>
      </c>
    </row>
    <row r="212" spans="1:16" ht="12.75" customHeight="1" x14ac:dyDescent="0.2">
      <c r="A212" s="2"/>
      <c r="B212" s="52" t="s">
        <v>653</v>
      </c>
      <c r="C212" s="53">
        <v>2</v>
      </c>
      <c r="D212" s="53">
        <v>1.07</v>
      </c>
      <c r="E212" s="53">
        <v>0.85</v>
      </c>
      <c r="F212" s="53">
        <v>0.22</v>
      </c>
      <c r="G212" s="54">
        <v>9.5</v>
      </c>
      <c r="H212" s="50">
        <f>(4731.73*($H$3))</f>
        <v>25314.755499999996</v>
      </c>
      <c r="I212" s="50">
        <f>(5829.69*($H$3))</f>
        <v>31188.841499999995</v>
      </c>
      <c r="J212" s="50">
        <f>(6029.32*($H$3))</f>
        <v>32256.861999999997</v>
      </c>
      <c r="K212" s="50">
        <f>(6312.13*($H$3))</f>
        <v>33769.895499999999</v>
      </c>
    </row>
    <row r="213" spans="1:16" ht="12.75" customHeight="1" x14ac:dyDescent="0.2">
      <c r="A213" s="2"/>
      <c r="B213" s="52" t="s">
        <v>661</v>
      </c>
      <c r="C213" s="55">
        <v>2.35</v>
      </c>
      <c r="D213" s="55">
        <v>1.07</v>
      </c>
      <c r="E213" s="55">
        <v>0.85</v>
      </c>
      <c r="F213" s="55">
        <v>0.22</v>
      </c>
      <c r="G213" s="56">
        <v>11</v>
      </c>
      <c r="H213" s="49">
        <f>(5068.08*($H$3))</f>
        <v>27114.227999999999</v>
      </c>
      <c r="I213" s="49">
        <f>(6273.49*($H$3))</f>
        <v>33563.171499999997</v>
      </c>
      <c r="J213" s="49">
        <f>(6492.65*($H$3))</f>
        <v>34735.677499999998</v>
      </c>
      <c r="K213" s="49">
        <f>(6803.13*($H$3))</f>
        <v>36396.745499999997</v>
      </c>
    </row>
    <row r="214" spans="1:16" ht="12.75" customHeight="1" x14ac:dyDescent="0.2">
      <c r="A214" s="2"/>
      <c r="B214" s="52" t="s">
        <v>662</v>
      </c>
      <c r="C214" s="53">
        <v>2.6</v>
      </c>
      <c r="D214" s="53">
        <v>1.07</v>
      </c>
      <c r="E214" s="53">
        <v>0.85</v>
      </c>
      <c r="F214" s="53">
        <v>0.22</v>
      </c>
      <c r="G214" s="54">
        <v>12</v>
      </c>
      <c r="H214" s="50">
        <f>(5243.8*($H$3))</f>
        <v>28054.329999999998</v>
      </c>
      <c r="I214" s="50">
        <f>(6589.02*($H$3))</f>
        <v>35251.256999999998</v>
      </c>
      <c r="J214" s="50">
        <f>(6833.61*($H$3))</f>
        <v>36559.813499999997</v>
      </c>
      <c r="K214" s="50">
        <f>(7180.11*($H$3))</f>
        <v>38413.588499999998</v>
      </c>
    </row>
    <row r="215" spans="1:16" ht="12.75" customHeight="1" thickBot="1" x14ac:dyDescent="0.25">
      <c r="A215" s="2"/>
      <c r="B215" s="52" t="s">
        <v>663</v>
      </c>
      <c r="C215" s="55">
        <v>2.95</v>
      </c>
      <c r="D215" s="55">
        <v>1.07</v>
      </c>
      <c r="E215" s="55">
        <v>0.85</v>
      </c>
      <c r="F215" s="55">
        <v>0.22</v>
      </c>
      <c r="G215" s="56">
        <v>12.95</v>
      </c>
      <c r="H215" s="49">
        <f>(5640.18*($H$3))</f>
        <v>30174.963</v>
      </c>
      <c r="I215" s="49">
        <f>(7082.55*($H$3))</f>
        <v>37891.642500000002</v>
      </c>
      <c r="J215" s="49">
        <f>(7344.79*($H$3))</f>
        <v>39294.626499999998</v>
      </c>
      <c r="K215" s="49">
        <f>(7716.31*($H$3))</f>
        <v>41282.258499999996</v>
      </c>
    </row>
    <row r="216" spans="1:16" ht="12.75" customHeight="1" x14ac:dyDescent="0.2">
      <c r="A216" s="33" t="s">
        <v>487</v>
      </c>
      <c r="B216" s="52" t="s">
        <v>664</v>
      </c>
      <c r="C216" s="53">
        <v>2.3199999999999998</v>
      </c>
      <c r="D216" s="53">
        <v>1.8</v>
      </c>
      <c r="E216" s="53">
        <v>0.85</v>
      </c>
      <c r="F216" s="53">
        <v>0</v>
      </c>
      <c r="G216" s="54">
        <v>14</v>
      </c>
      <c r="H216" s="50">
        <f>(6326.93*($H$3))</f>
        <v>33849.075499999999</v>
      </c>
      <c r="I216" s="50">
        <f>(7994.48*($H$3))</f>
        <v>42770.467999999993</v>
      </c>
      <c r="J216" s="50">
        <f>(8297.67*($H$3))</f>
        <v>44392.534499999994</v>
      </c>
      <c r="K216" s="50">
        <f>(8727.19*($H$3))</f>
        <v>46690.466500000002</v>
      </c>
      <c r="L216" s="38"/>
      <c r="M216" s="38"/>
      <c r="N216" s="38"/>
      <c r="O216" s="38"/>
      <c r="P216" s="38"/>
    </row>
    <row r="217" spans="1:16" ht="13.5" customHeight="1" x14ac:dyDescent="0.2">
      <c r="A217" s="25"/>
      <c r="B217" s="52" t="s">
        <v>665</v>
      </c>
      <c r="C217" s="55">
        <v>2.35</v>
      </c>
      <c r="D217" s="55">
        <v>1.93</v>
      </c>
      <c r="E217" s="55">
        <v>0.85</v>
      </c>
      <c r="F217" s="55">
        <v>0</v>
      </c>
      <c r="G217" s="56">
        <v>14.5</v>
      </c>
      <c r="H217" s="49">
        <f>(6426.17*($H$3))</f>
        <v>34380.0095</v>
      </c>
      <c r="I217" s="49">
        <f>(8133.46*($H$3))</f>
        <v>43514.010999999999</v>
      </c>
      <c r="J217" s="49">
        <f>(8443.87*($H$3))</f>
        <v>45174.7045</v>
      </c>
      <c r="K217" s="49">
        <f>(8883.63*($H$3))</f>
        <v>47527.420499999993</v>
      </c>
    </row>
    <row r="218" spans="1:16" x14ac:dyDescent="0.2">
      <c r="A218" s="26"/>
      <c r="B218" s="52" t="s">
        <v>649</v>
      </c>
      <c r="C218" s="57">
        <v>1.51</v>
      </c>
      <c r="D218" s="57">
        <v>0.91</v>
      </c>
      <c r="E218" s="57">
        <v>0.44</v>
      </c>
      <c r="F218" s="57">
        <v>0</v>
      </c>
      <c r="G218" s="58">
        <v>4.51</v>
      </c>
      <c r="H218" s="59">
        <f>(2815.05*($H$3))</f>
        <v>15060.5175</v>
      </c>
      <c r="I218" s="59">
        <f>(3235.99*($H$3))</f>
        <v>17312.546499999997</v>
      </c>
      <c r="J218" s="59">
        <f>(3312.52*($H$3))</f>
        <v>17721.982</v>
      </c>
      <c r="K218" s="59">
        <f>(3420.94*($H$3))</f>
        <v>18302.028999999999</v>
      </c>
      <c r="L218" s="39"/>
    </row>
    <row r="219" spans="1:16" x14ac:dyDescent="0.2">
      <c r="A219" s="27"/>
      <c r="B219" s="52" t="s">
        <v>650</v>
      </c>
      <c r="C219" s="57">
        <v>1.51</v>
      </c>
      <c r="D219" s="57">
        <v>0.91</v>
      </c>
      <c r="E219" s="57">
        <v>0.44</v>
      </c>
      <c r="F219" s="57">
        <v>0</v>
      </c>
      <c r="G219" s="58">
        <v>4.51</v>
      </c>
      <c r="H219" s="59">
        <f>(2815.05*($H$3))</f>
        <v>15060.5175</v>
      </c>
      <c r="I219" s="59">
        <f>(3235.99*($H$3))</f>
        <v>17312.546499999997</v>
      </c>
      <c r="J219" s="59">
        <f>(3312.52*($H$3))</f>
        <v>17721.982</v>
      </c>
      <c r="K219" s="59">
        <f>(3420.94*($H$3))</f>
        <v>18302.028999999999</v>
      </c>
    </row>
    <row r="220" spans="1:16" x14ac:dyDescent="0.2">
      <c r="A220" s="26"/>
      <c r="B220" s="52" t="s">
        <v>654</v>
      </c>
      <c r="C220" s="53">
        <v>1.55</v>
      </c>
      <c r="D220" s="53">
        <v>1.68</v>
      </c>
      <c r="E220" s="53">
        <v>0.85</v>
      </c>
      <c r="F220" s="53">
        <v>0.22</v>
      </c>
      <c r="G220" s="54">
        <v>9</v>
      </c>
      <c r="H220" s="50">
        <f>(4576.47*($H$3))</f>
        <v>24484.1145</v>
      </c>
      <c r="I220" s="50">
        <f>(5614.09*($H$3))</f>
        <v>30035.3815</v>
      </c>
      <c r="J220" s="50">
        <f>(5802.74*($H$3))</f>
        <v>31044.658999999996</v>
      </c>
      <c r="K220" s="50">
        <f>(6070.01*($H$3))</f>
        <v>32474.553499999998</v>
      </c>
    </row>
    <row r="221" spans="1:16" x14ac:dyDescent="0.2">
      <c r="A221" s="27"/>
      <c r="B221" s="52" t="s">
        <v>655</v>
      </c>
      <c r="C221" s="55">
        <v>1.7</v>
      </c>
      <c r="D221" s="55">
        <v>1.97</v>
      </c>
      <c r="E221" s="55">
        <v>0.85</v>
      </c>
      <c r="F221" s="55">
        <v>0.22</v>
      </c>
      <c r="G221" s="56">
        <v>10</v>
      </c>
      <c r="H221" s="49">
        <f>(4979.48*($H$3))</f>
        <v>26640.217999999997</v>
      </c>
      <c r="I221" s="49">
        <f>(6096.57*($H$3))</f>
        <v>32616.649499999996</v>
      </c>
      <c r="J221" s="49">
        <f>(6299.68*($H$3))</f>
        <v>33703.288</v>
      </c>
      <c r="K221" s="49">
        <f>(6587.42*($H$3))</f>
        <v>35242.697</v>
      </c>
    </row>
    <row r="222" spans="1:16" x14ac:dyDescent="0.2">
      <c r="A222" s="26"/>
      <c r="B222" s="52" t="s">
        <v>656</v>
      </c>
      <c r="C222" s="55">
        <v>2.1</v>
      </c>
      <c r="D222" s="55">
        <v>2</v>
      </c>
      <c r="E222" s="55">
        <v>0.85</v>
      </c>
      <c r="F222" s="55">
        <v>0.22</v>
      </c>
      <c r="G222" s="56">
        <v>11</v>
      </c>
      <c r="H222" s="49">
        <f>(5155.94*($H$3))</f>
        <v>27584.278999999995</v>
      </c>
      <c r="I222" s="49">
        <f>(6421.69*($H$3))</f>
        <v>34356.041499999992</v>
      </c>
      <c r="J222" s="49">
        <f>(6651.82*($H$3))</f>
        <v>35587.236999999994</v>
      </c>
      <c r="K222" s="49">
        <f>(6977.85*($H$3))</f>
        <v>37331.497499999998</v>
      </c>
    </row>
    <row r="223" spans="1:16" s="16" customFormat="1" x14ac:dyDescent="0.2">
      <c r="A223" s="27"/>
      <c r="B223" s="52" t="s">
        <v>657</v>
      </c>
      <c r="C223" s="53">
        <v>2.25</v>
      </c>
      <c r="D223" s="53">
        <v>2.2999999999999998</v>
      </c>
      <c r="E223" s="53">
        <v>0.85</v>
      </c>
      <c r="F223" s="53">
        <v>0.22</v>
      </c>
      <c r="G223" s="54">
        <v>12</v>
      </c>
      <c r="H223" s="50">
        <f>(5639.73*($H$3))</f>
        <v>30172.555499999995</v>
      </c>
      <c r="I223" s="50">
        <f>(7023.22*($H$3))</f>
        <v>37574.226999999999</v>
      </c>
      <c r="J223" s="50">
        <f>(7274.76*($H$3))</f>
        <v>38919.966</v>
      </c>
      <c r="K223" s="50">
        <f>(7631.12*($H$3))</f>
        <v>40826.491999999998</v>
      </c>
    </row>
    <row r="224" spans="1:16" x14ac:dyDescent="0.2">
      <c r="A224" s="28"/>
      <c r="B224" s="52" t="s">
        <v>658</v>
      </c>
      <c r="C224" s="53">
        <v>1.95</v>
      </c>
      <c r="D224" s="53">
        <v>2.15</v>
      </c>
      <c r="E224" s="53">
        <v>0.85</v>
      </c>
      <c r="F224" s="53">
        <v>0</v>
      </c>
      <c r="G224" s="54">
        <v>13.45</v>
      </c>
      <c r="H224" s="50">
        <f>(6238.07*($H$3))</f>
        <v>33373.674499999994</v>
      </c>
      <c r="I224" s="50">
        <f>(7877.66*($H$3))</f>
        <v>42145.481</v>
      </c>
      <c r="J224" s="50">
        <f>(8175.76*($H$3))</f>
        <v>43740.315999999999</v>
      </c>
      <c r="K224" s="50">
        <f>(8598.08*($H$3))</f>
        <v>45999.727999999996</v>
      </c>
    </row>
    <row r="225" spans="1:12" x14ac:dyDescent="0.2">
      <c r="A225" s="28"/>
      <c r="B225" s="52" t="s">
        <v>659</v>
      </c>
      <c r="C225" s="55">
        <v>1.95</v>
      </c>
      <c r="D225" s="55">
        <v>2.37</v>
      </c>
      <c r="E225" s="55">
        <v>0.85</v>
      </c>
      <c r="F225" s="55">
        <v>0</v>
      </c>
      <c r="G225" s="56">
        <v>13.45</v>
      </c>
      <c r="H225" s="49">
        <f>(6381.44*($H$3))</f>
        <v>34140.703999999998</v>
      </c>
      <c r="I225" s="49">
        <f>(8063.71*($H$3))</f>
        <v>43140.8485</v>
      </c>
      <c r="J225" s="49">
        <f>(8369.57*($H$3))</f>
        <v>44777.199499999995</v>
      </c>
      <c r="K225" s="49">
        <f>(8802.88*($H$3))</f>
        <v>47095.407999999996</v>
      </c>
    </row>
    <row r="226" spans="1:12" s="16" customFormat="1" ht="13.5" thickBot="1" x14ac:dyDescent="0.25">
      <c r="A226" s="29"/>
      <c r="B226" s="60" t="s">
        <v>660</v>
      </c>
      <c r="C226" s="61">
        <v>1</v>
      </c>
      <c r="D226" s="61">
        <v>1.2</v>
      </c>
      <c r="E226" s="61">
        <v>0.85</v>
      </c>
      <c r="F226" s="61">
        <v>0</v>
      </c>
      <c r="G226" s="62">
        <v>6</v>
      </c>
      <c r="H226" s="63">
        <f>(3174.22*($H$3))</f>
        <v>16982.076999999997</v>
      </c>
      <c r="I226" s="63">
        <f>(3882.16*($H$3))</f>
        <v>20769.555999999997</v>
      </c>
      <c r="J226" s="63">
        <f>(4010.88*($H$3))</f>
        <v>21458.207999999999</v>
      </c>
      <c r="K226" s="63">
        <f>(4193.22*($H$3))</f>
        <v>22433.726999999999</v>
      </c>
    </row>
    <row r="227" spans="1:12" ht="20.25" x14ac:dyDescent="0.2">
      <c r="A227" s="30"/>
      <c r="B227" s="81" t="s">
        <v>652</v>
      </c>
      <c r="C227" s="81"/>
      <c r="D227" s="81"/>
      <c r="E227" s="81"/>
      <c r="F227" s="81"/>
      <c r="G227" s="81"/>
      <c r="H227" s="81"/>
      <c r="I227" s="81"/>
      <c r="J227" s="81"/>
      <c r="K227" s="81"/>
    </row>
    <row r="228" spans="1:12" x14ac:dyDescent="0.2">
      <c r="A228" s="31"/>
      <c r="B228" s="34" t="s">
        <v>640</v>
      </c>
      <c r="C228" s="35" t="s">
        <v>641</v>
      </c>
      <c r="D228" s="35" t="s">
        <v>642</v>
      </c>
      <c r="E228" s="35" t="s">
        <v>643</v>
      </c>
      <c r="F228" s="35" t="s">
        <v>644</v>
      </c>
      <c r="G228" s="9" t="s">
        <v>353</v>
      </c>
      <c r="H228" s="9" t="s">
        <v>10</v>
      </c>
      <c r="I228" s="9" t="s">
        <v>14</v>
      </c>
      <c r="J228" s="9" t="s">
        <v>15</v>
      </c>
      <c r="K228" s="9" t="s">
        <v>16</v>
      </c>
    </row>
    <row r="229" spans="1:12" x14ac:dyDescent="0.2">
      <c r="A229" s="29"/>
      <c r="B229" s="52" t="s">
        <v>653</v>
      </c>
      <c r="C229" s="53">
        <v>2</v>
      </c>
      <c r="D229" s="53">
        <v>1.07</v>
      </c>
      <c r="E229" s="53">
        <v>0.85</v>
      </c>
      <c r="F229" s="53">
        <v>0.22</v>
      </c>
      <c r="G229" s="64">
        <v>21</v>
      </c>
      <c r="H229" s="50">
        <f>(6532.45*($H$3))</f>
        <v>34948.607499999998</v>
      </c>
      <c r="I229" s="50">
        <f>(10079.04*($H$3))</f>
        <v>53922.864000000001</v>
      </c>
      <c r="J229" s="50">
        <f>(10079.04*($H$3))</f>
        <v>53922.864000000001</v>
      </c>
      <c r="K229" s="50">
        <f>(13004.98*($H$3))</f>
        <v>69576.642999999996</v>
      </c>
    </row>
    <row r="230" spans="1:12" x14ac:dyDescent="0.2">
      <c r="A230" s="29"/>
      <c r="B230" s="52" t="s">
        <v>661</v>
      </c>
      <c r="C230" s="55">
        <v>2.35</v>
      </c>
      <c r="D230" s="55">
        <v>1.07</v>
      </c>
      <c r="E230" s="55">
        <v>0.85</v>
      </c>
      <c r="F230" s="55">
        <v>0.22</v>
      </c>
      <c r="G230" s="64">
        <v>24</v>
      </c>
      <c r="H230" s="49">
        <f>(7046.65*($H$3))</f>
        <v>37699.577499999992</v>
      </c>
      <c r="I230" s="49">
        <f>(10942.9*($H$3))</f>
        <v>58544.514999999992</v>
      </c>
      <c r="J230" s="49">
        <f>(10942.9*($H$3))</f>
        <v>58544.514999999992</v>
      </c>
      <c r="K230" s="49">
        <f>(14157.32*($H$3))</f>
        <v>75741.661999999997</v>
      </c>
    </row>
    <row r="231" spans="1:12" x14ac:dyDescent="0.2">
      <c r="A231" s="30"/>
      <c r="B231" s="52" t="s">
        <v>662</v>
      </c>
      <c r="C231" s="53">
        <v>2.6</v>
      </c>
      <c r="D231" s="53">
        <v>1.07</v>
      </c>
      <c r="E231" s="53">
        <v>0.85</v>
      </c>
      <c r="F231" s="53">
        <v>0.22</v>
      </c>
      <c r="G231" s="64">
        <v>27</v>
      </c>
      <c r="H231" s="50">
        <f>(7450.38*($H$3))</f>
        <v>39859.532999999996</v>
      </c>
      <c r="I231" s="50">
        <f>(11796.21*($H$3))</f>
        <v>63109.723499999993</v>
      </c>
      <c r="J231" s="50">
        <f>(11796.21*($H$3))</f>
        <v>63109.723499999993</v>
      </c>
      <c r="K231" s="50">
        <f>(15381.51*($H$3))</f>
        <v>82291.078499999989</v>
      </c>
    </row>
    <row r="232" spans="1:12" ht="12" customHeight="1" thickBot="1" x14ac:dyDescent="0.25">
      <c r="A232" s="32"/>
      <c r="B232" s="52" t="s">
        <v>663</v>
      </c>
      <c r="C232" s="55">
        <v>2.95</v>
      </c>
      <c r="D232" s="55">
        <v>1.07</v>
      </c>
      <c r="E232" s="55">
        <v>0.85</v>
      </c>
      <c r="F232" s="55">
        <v>0.22</v>
      </c>
      <c r="G232" s="64">
        <v>28</v>
      </c>
      <c r="H232" s="49">
        <f>(8006.21*($H$3))</f>
        <v>42833.2235</v>
      </c>
      <c r="I232" s="49">
        <f>(12666.02*($H$3))</f>
        <v>67763.206999999995</v>
      </c>
      <c r="J232" s="49">
        <f>(12666.02*($H$3))</f>
        <v>67763.206999999995</v>
      </c>
      <c r="K232" s="49">
        <f>(16510.36*($H$3))</f>
        <v>88330.425999999992</v>
      </c>
    </row>
    <row r="233" spans="1:12" ht="12" customHeight="1" x14ac:dyDescent="0.2">
      <c r="A233" s="33" t="s">
        <v>487</v>
      </c>
      <c r="B233" s="52" t="s">
        <v>664</v>
      </c>
      <c r="C233" s="53">
        <v>2.3199999999999998</v>
      </c>
      <c r="D233" s="53">
        <v>1.8</v>
      </c>
      <c r="E233" s="53">
        <v>0.85</v>
      </c>
      <c r="F233" s="53">
        <v>0</v>
      </c>
      <c r="G233" s="64">
        <v>32</v>
      </c>
      <c r="H233" s="50">
        <f>(9063.69*($H$3))</f>
        <v>48490.741499999996</v>
      </c>
      <c r="I233" s="50">
        <f>(14453.16*($H$3))</f>
        <v>77324.405999999988</v>
      </c>
      <c r="J233" s="50">
        <f>(14453.16*($H$3))</f>
        <v>77324.405999999988</v>
      </c>
      <c r="K233" s="50">
        <f>(18899.47*($H$3))</f>
        <v>101112.1645</v>
      </c>
      <c r="L233" s="38"/>
    </row>
    <row r="234" spans="1:12" ht="12" customHeight="1" x14ac:dyDescent="0.2">
      <c r="A234" s="25"/>
      <c r="B234" s="52" t="s">
        <v>665</v>
      </c>
      <c r="C234" s="55">
        <v>2.35</v>
      </c>
      <c r="D234" s="55">
        <v>1.93</v>
      </c>
      <c r="E234" s="55">
        <v>0.85</v>
      </c>
      <c r="F234" s="55">
        <v>0</v>
      </c>
      <c r="G234" s="64">
        <v>34</v>
      </c>
      <c r="H234" s="49">
        <f>(9229.28*($H$3))</f>
        <v>49376.648000000001</v>
      </c>
      <c r="I234" s="49">
        <f>(14748.97*($H$3))</f>
        <v>78906.989499999996</v>
      </c>
      <c r="J234" s="49">
        <f>(14748.97*($H$3))</f>
        <v>78906.989499999996</v>
      </c>
      <c r="K234" s="49">
        <f>(19302.72*($H$3))</f>
        <v>103269.552</v>
      </c>
    </row>
    <row r="235" spans="1:12" ht="12" customHeight="1" x14ac:dyDescent="0.2">
      <c r="A235" s="26"/>
      <c r="B235" s="52" t="s">
        <v>649</v>
      </c>
      <c r="C235" s="57">
        <v>1.51</v>
      </c>
      <c r="D235" s="57">
        <v>0.91</v>
      </c>
      <c r="E235" s="57">
        <v>0.44</v>
      </c>
      <c r="F235" s="57">
        <v>0</v>
      </c>
      <c r="G235" s="64">
        <v>8.5</v>
      </c>
      <c r="H235" s="59">
        <f>(3505.24*($H$3))</f>
        <v>18753.033999999996</v>
      </c>
      <c r="I235" s="59">
        <f>(4864.64*($H$3))</f>
        <v>26025.824000000001</v>
      </c>
      <c r="J235" s="59">
        <f>(4864.64*($H$3))</f>
        <v>26025.824000000001</v>
      </c>
      <c r="K235" s="59">
        <f>(5986.16*($H$3))</f>
        <v>32025.955999999998</v>
      </c>
    </row>
    <row r="236" spans="1:12" x14ac:dyDescent="0.2">
      <c r="A236" s="27"/>
      <c r="B236" s="52" t="s">
        <v>650</v>
      </c>
      <c r="C236" s="57">
        <v>1.51</v>
      </c>
      <c r="D236" s="57">
        <v>0.91</v>
      </c>
      <c r="E236" s="57">
        <v>0.44</v>
      </c>
      <c r="F236" s="57">
        <v>0</v>
      </c>
      <c r="G236" s="64">
        <v>8.5</v>
      </c>
      <c r="H236" s="59">
        <f>(3505.24*($H$3))</f>
        <v>18753.033999999996</v>
      </c>
      <c r="I236" s="59">
        <f>(4864.64*($H$3))</f>
        <v>26025.824000000001</v>
      </c>
      <c r="J236" s="59">
        <f>(4864.64*($H$3))</f>
        <v>26025.824000000001</v>
      </c>
      <c r="K236" s="59">
        <f>(5986.16*($H$3))</f>
        <v>32025.955999999998</v>
      </c>
    </row>
    <row r="237" spans="1:12" x14ac:dyDescent="0.2">
      <c r="A237" s="26"/>
      <c r="B237" s="52" t="s">
        <v>654</v>
      </c>
      <c r="C237" s="53">
        <v>1.55</v>
      </c>
      <c r="D237" s="53">
        <v>1.68</v>
      </c>
      <c r="E237" s="53">
        <v>0.85</v>
      </c>
      <c r="F237" s="53">
        <v>0.22</v>
      </c>
      <c r="G237" s="64">
        <v>21</v>
      </c>
      <c r="H237" s="50">
        <f>(6278.52*($H$3))</f>
        <v>33590.082000000002</v>
      </c>
      <c r="I237" s="50">
        <f>(9630.65*($H$3))</f>
        <v>51523.977499999994</v>
      </c>
      <c r="J237" s="50">
        <f>(9630.65*($H$3))</f>
        <v>51523.977499999994</v>
      </c>
      <c r="K237" s="50">
        <f>(12396.16*($H$3))</f>
        <v>66319.455999999991</v>
      </c>
    </row>
    <row r="238" spans="1:12" x14ac:dyDescent="0.2">
      <c r="A238" s="27"/>
      <c r="B238" s="52" t="s">
        <v>655</v>
      </c>
      <c r="C238" s="55">
        <v>1.7</v>
      </c>
      <c r="D238" s="55">
        <v>1.97</v>
      </c>
      <c r="E238" s="55">
        <v>0.85</v>
      </c>
      <c r="F238" s="55">
        <v>0.22</v>
      </c>
      <c r="G238" s="64">
        <v>22.5</v>
      </c>
      <c r="H238" s="49">
        <f>(6813.09*($H$3))</f>
        <v>36450.031499999997</v>
      </c>
      <c r="I238" s="49">
        <f>(10423.91*($H$3))</f>
        <v>55767.918499999992</v>
      </c>
      <c r="J238" s="49">
        <f>(10423.91*($H$3))</f>
        <v>55767.918499999992</v>
      </c>
      <c r="K238" s="49">
        <f>(13402.83*($H$3))</f>
        <v>71705.140499999994</v>
      </c>
    </row>
    <row r="239" spans="1:12" x14ac:dyDescent="0.2">
      <c r="A239" s="26"/>
      <c r="B239" s="52" t="s">
        <v>656</v>
      </c>
      <c r="C239" s="55">
        <v>2.1</v>
      </c>
      <c r="D239" s="55">
        <v>2</v>
      </c>
      <c r="E239" s="55">
        <v>0.85</v>
      </c>
      <c r="F239" s="55">
        <v>0.22</v>
      </c>
      <c r="G239" s="64">
        <v>25</v>
      </c>
      <c r="H239" s="49">
        <f>(7233.18*($H$3))</f>
        <v>38697.512999999999</v>
      </c>
      <c r="I239" s="49">
        <f>(11323.9*($H$3))</f>
        <v>60582.864999999991</v>
      </c>
      <c r="J239" s="49">
        <f>(11323.9*($H$3))</f>
        <v>60582.864999999991</v>
      </c>
      <c r="K239" s="49">
        <f>(14698.73*($H$3))</f>
        <v>78638.205499999996</v>
      </c>
    </row>
    <row r="240" spans="1:12" s="16" customFormat="1" x14ac:dyDescent="0.2">
      <c r="A240" s="27"/>
      <c r="B240" s="52" t="s">
        <v>657</v>
      </c>
      <c r="C240" s="53">
        <v>2.25</v>
      </c>
      <c r="D240" s="53">
        <v>2.2999999999999998</v>
      </c>
      <c r="E240" s="53">
        <v>0.85</v>
      </c>
      <c r="F240" s="53">
        <v>0.22</v>
      </c>
      <c r="G240" s="64">
        <v>27</v>
      </c>
      <c r="H240" s="50">
        <f>(7909.87*($H$3))</f>
        <v>42317.804499999998</v>
      </c>
      <c r="I240" s="50">
        <f>(12380.57*($H$3))</f>
        <v>66236.049499999994</v>
      </c>
      <c r="J240" s="50">
        <f>(12380.57*($H$3))</f>
        <v>66236.049499999994</v>
      </c>
      <c r="K240" s="50">
        <f>(16068.9*($H$3))</f>
        <v>85968.614999999991</v>
      </c>
    </row>
    <row r="241" spans="1:13" x14ac:dyDescent="0.2">
      <c r="A241" s="28"/>
      <c r="B241" s="52" t="s">
        <v>658</v>
      </c>
      <c r="C241" s="53">
        <v>1.95</v>
      </c>
      <c r="D241" s="53">
        <v>2.15</v>
      </c>
      <c r="E241" s="53">
        <v>0.85</v>
      </c>
      <c r="F241" s="53">
        <v>0</v>
      </c>
      <c r="G241" s="64">
        <v>32</v>
      </c>
      <c r="H241" s="50">
        <f>(8929.68*($H$3))</f>
        <v>47773.788</v>
      </c>
      <c r="I241" s="50">
        <f>(14229.94*($H$3))</f>
        <v>76130.179000000004</v>
      </c>
      <c r="J241" s="50">
        <f>(14229.94*($H$3))</f>
        <v>76130.179000000004</v>
      </c>
      <c r="K241" s="50">
        <f>(18602.66*($H$3))</f>
        <v>99524.231</v>
      </c>
    </row>
    <row r="242" spans="1:13" x14ac:dyDescent="0.2">
      <c r="A242" s="28"/>
      <c r="B242" s="52" t="s">
        <v>659</v>
      </c>
      <c r="C242" s="55">
        <v>1.95</v>
      </c>
      <c r="D242" s="55">
        <v>2.37</v>
      </c>
      <c r="E242" s="55">
        <v>0.85</v>
      </c>
      <c r="F242" s="55">
        <v>0</v>
      </c>
      <c r="G242" s="64">
        <v>32</v>
      </c>
      <c r="H242" s="49">
        <f>(9143.85*($H$3))</f>
        <v>48919.597499999996</v>
      </c>
      <c r="I242" s="49">
        <f>(14583.27*($H$3))</f>
        <v>78020.494500000001</v>
      </c>
      <c r="J242" s="49">
        <f>(14583.27*($H$3))</f>
        <v>78020.494500000001</v>
      </c>
      <c r="K242" s="49">
        <f>(19070.79*($H$3))</f>
        <v>102028.7265</v>
      </c>
    </row>
    <row r="243" spans="1:13" s="16" customFormat="1" ht="13.5" thickBot="1" x14ac:dyDescent="0.25">
      <c r="A243" s="29"/>
      <c r="B243" s="60" t="s">
        <v>660</v>
      </c>
      <c r="C243" s="65">
        <v>1</v>
      </c>
      <c r="D243" s="65">
        <v>1.2</v>
      </c>
      <c r="E243" s="65">
        <v>0.85</v>
      </c>
      <c r="F243" s="65">
        <v>0</v>
      </c>
      <c r="G243" s="64">
        <v>14</v>
      </c>
      <c r="H243" s="50">
        <f>(4335.5*($H$3))</f>
        <v>23194.924999999999</v>
      </c>
      <c r="I243" s="50">
        <f>(6622.58*($H$3))</f>
        <v>35430.803</v>
      </c>
      <c r="J243" s="50">
        <f>(6622.58*($H$3))</f>
        <v>35430.803</v>
      </c>
      <c r="K243" s="50">
        <f>(8509.43*($H$3))</f>
        <v>45525.450499999999</v>
      </c>
    </row>
    <row r="244" spans="1:13" ht="23.25" x14ac:dyDescent="0.35">
      <c r="A244" s="30"/>
      <c r="B244" s="66" t="s">
        <v>489</v>
      </c>
      <c r="C244" s="67"/>
      <c r="D244" s="67"/>
      <c r="E244" s="67"/>
      <c r="F244" s="67"/>
      <c r="G244" s="67"/>
      <c r="H244" s="67"/>
      <c r="I244" s="67"/>
      <c r="J244" s="67"/>
      <c r="K244" s="68"/>
    </row>
    <row r="245" spans="1:13" x14ac:dyDescent="0.2">
      <c r="A245" s="31"/>
      <c r="B245" s="9" t="s">
        <v>4</v>
      </c>
      <c r="C245" s="9" t="s">
        <v>5</v>
      </c>
      <c r="D245" s="9" t="s">
        <v>6</v>
      </c>
      <c r="E245" s="9" t="s">
        <v>7</v>
      </c>
      <c r="F245" s="9" t="s">
        <v>8</v>
      </c>
      <c r="G245" s="9" t="s">
        <v>353</v>
      </c>
      <c r="H245" s="9" t="s">
        <v>10</v>
      </c>
      <c r="I245" s="9" t="s">
        <v>14</v>
      </c>
      <c r="J245" s="9" t="s">
        <v>15</v>
      </c>
      <c r="K245" s="9" t="s">
        <v>16</v>
      </c>
    </row>
    <row r="246" spans="1:13" x14ac:dyDescent="0.2">
      <c r="A246" s="29"/>
      <c r="B246" s="7" t="s">
        <v>490</v>
      </c>
      <c r="C246" s="8" t="s">
        <v>295</v>
      </c>
      <c r="D246" s="8" t="s">
        <v>491</v>
      </c>
      <c r="E246" s="8" t="s">
        <v>492</v>
      </c>
      <c r="F246" s="8" t="s">
        <v>63</v>
      </c>
      <c r="G246" s="8" t="s">
        <v>28</v>
      </c>
      <c r="H246" s="8">
        <f>(3398.22*($H$3))</f>
        <v>18180.476999999999</v>
      </c>
      <c r="I246" s="8">
        <f>(6431.56*($H$3))</f>
        <v>34408.845999999998</v>
      </c>
      <c r="J246" s="8">
        <f>(6431.56*($H$3))</f>
        <v>34408.845999999998</v>
      </c>
      <c r="K246" s="8">
        <f>(8338.22*($H$3))</f>
        <v>44609.476999999992</v>
      </c>
    </row>
    <row r="247" spans="1:13" ht="23.25" x14ac:dyDescent="0.35">
      <c r="A247" s="29"/>
      <c r="B247" s="66" t="s">
        <v>493</v>
      </c>
      <c r="C247" s="67"/>
      <c r="D247" s="67"/>
      <c r="E247" s="67"/>
      <c r="F247" s="67"/>
      <c r="G247" s="67"/>
      <c r="H247" s="67"/>
      <c r="I247" s="67"/>
      <c r="J247" s="67"/>
      <c r="K247" s="68"/>
    </row>
    <row r="248" spans="1:13" x14ac:dyDescent="0.2">
      <c r="A248" s="30"/>
      <c r="B248" s="9" t="s">
        <v>4</v>
      </c>
      <c r="C248" s="9" t="s">
        <v>5</v>
      </c>
      <c r="D248" s="9" t="s">
        <v>6</v>
      </c>
      <c r="E248" s="9" t="s">
        <v>7</v>
      </c>
      <c r="F248" s="9" t="s">
        <v>8</v>
      </c>
      <c r="G248" s="9" t="s">
        <v>9</v>
      </c>
      <c r="H248" s="9" t="s">
        <v>10</v>
      </c>
      <c r="I248" s="9" t="s">
        <v>361</v>
      </c>
      <c r="J248" s="9" t="s">
        <v>12</v>
      </c>
      <c r="K248" s="9" t="s">
        <v>13</v>
      </c>
    </row>
    <row r="249" spans="1:13" ht="13.5" thickBot="1" x14ac:dyDescent="0.25">
      <c r="A249" s="32"/>
      <c r="B249" s="7" t="s">
        <v>494</v>
      </c>
      <c r="C249" s="8" t="s">
        <v>295</v>
      </c>
      <c r="D249" s="8" t="s">
        <v>491</v>
      </c>
      <c r="E249" s="8" t="s">
        <v>492</v>
      </c>
      <c r="F249" s="8" t="s">
        <v>63</v>
      </c>
      <c r="G249" s="8" t="s">
        <v>163</v>
      </c>
      <c r="H249" s="8">
        <f>(2946.73*($H$3))</f>
        <v>15765.005499999999</v>
      </c>
      <c r="I249" s="8">
        <f>(3665.4*($H$3))</f>
        <v>19609.89</v>
      </c>
      <c r="J249" s="8">
        <f>(3796.07*($H$3))</f>
        <v>20308.9745</v>
      </c>
      <c r="K249" s="8">
        <f>(3981.18*($H$3))</f>
        <v>21299.312999999998</v>
      </c>
    </row>
    <row r="250" spans="1:13" ht="23.25" x14ac:dyDescent="0.35">
      <c r="A250" s="2"/>
      <c r="B250" s="66" t="s">
        <v>302</v>
      </c>
      <c r="C250" s="67"/>
      <c r="D250" s="67"/>
      <c r="E250" s="67"/>
      <c r="F250" s="67"/>
      <c r="G250" s="67"/>
      <c r="H250" s="67"/>
      <c r="I250" s="67"/>
      <c r="J250" s="67"/>
      <c r="K250" s="68"/>
      <c r="L250" s="36"/>
      <c r="M250" s="37"/>
    </row>
    <row r="251" spans="1:13" x14ac:dyDescent="0.2">
      <c r="A251" s="5" t="s">
        <v>3</v>
      </c>
      <c r="B251" s="9" t="s">
        <v>4</v>
      </c>
      <c r="C251" s="9" t="s">
        <v>5</v>
      </c>
      <c r="D251" s="9" t="s">
        <v>6</v>
      </c>
      <c r="E251" s="9" t="s">
        <v>7</v>
      </c>
      <c r="F251" s="9" t="s">
        <v>8</v>
      </c>
      <c r="G251" s="9" t="s">
        <v>9</v>
      </c>
      <c r="H251" s="5" t="s">
        <v>345</v>
      </c>
      <c r="I251" s="9" t="s">
        <v>11</v>
      </c>
      <c r="J251" s="9" t="s">
        <v>12</v>
      </c>
      <c r="K251" s="9" t="s">
        <v>13</v>
      </c>
    </row>
    <row r="252" spans="1:13" x14ac:dyDescent="0.2">
      <c r="A252" s="2"/>
      <c r="B252" s="7" t="s">
        <v>150</v>
      </c>
      <c r="C252" s="8" t="s">
        <v>151</v>
      </c>
      <c r="D252" s="8" t="s">
        <v>152</v>
      </c>
      <c r="E252" s="8" t="s">
        <v>89</v>
      </c>
      <c r="F252" s="8" t="s">
        <v>63</v>
      </c>
      <c r="G252" s="8" t="s">
        <v>153</v>
      </c>
      <c r="H252" s="8">
        <f>(3547.55*($H$3))</f>
        <v>18979.392499999998</v>
      </c>
      <c r="I252" s="8">
        <f>(4294.22*($H$3))</f>
        <v>22974.077000000001</v>
      </c>
      <c r="J252" s="8">
        <f>(4454.22*($H$3))</f>
        <v>23830.077000000001</v>
      </c>
      <c r="K252" s="8">
        <f>(4680.88*($H$3))</f>
        <v>25042.707999999999</v>
      </c>
    </row>
    <row r="253" spans="1:13" ht="23.25" x14ac:dyDescent="0.35">
      <c r="A253" s="2"/>
      <c r="B253" s="88" t="s">
        <v>303</v>
      </c>
      <c r="C253" s="89"/>
      <c r="D253" s="89"/>
      <c r="E253" s="89"/>
      <c r="F253" s="89"/>
      <c r="G253" s="89"/>
      <c r="H253" s="89"/>
      <c r="I253" s="89"/>
      <c r="J253" s="89"/>
      <c r="K253" s="90"/>
      <c r="L253" s="22"/>
    </row>
    <row r="254" spans="1:13" x14ac:dyDescent="0.2">
      <c r="A254" s="5" t="s">
        <v>3</v>
      </c>
      <c r="B254" s="9" t="s">
        <v>4</v>
      </c>
      <c r="C254" s="9" t="s">
        <v>5</v>
      </c>
      <c r="D254" s="9" t="s">
        <v>6</v>
      </c>
      <c r="E254" s="9" t="s">
        <v>7</v>
      </c>
      <c r="F254" s="9" t="s">
        <v>8</v>
      </c>
      <c r="G254" s="9" t="s">
        <v>9</v>
      </c>
      <c r="H254" s="5" t="s">
        <v>347</v>
      </c>
      <c r="I254" s="9" t="s">
        <v>11</v>
      </c>
      <c r="J254" s="9" t="s">
        <v>12</v>
      </c>
      <c r="K254" s="9" t="s">
        <v>13</v>
      </c>
    </row>
    <row r="255" spans="1:13" x14ac:dyDescent="0.2">
      <c r="A255" s="2"/>
      <c r="B255" s="7" t="s">
        <v>154</v>
      </c>
      <c r="C255" s="8" t="s">
        <v>151</v>
      </c>
      <c r="D255" s="8" t="s">
        <v>152</v>
      </c>
      <c r="E255" s="8" t="s">
        <v>89</v>
      </c>
      <c r="F255" s="8" t="s">
        <v>63</v>
      </c>
      <c r="G255" s="10" t="s">
        <v>321</v>
      </c>
      <c r="H255" s="10">
        <f>3790*($H$3)</f>
        <v>20276.5</v>
      </c>
      <c r="I255" s="8">
        <f>(5287.56*($H$3))</f>
        <v>28288.446</v>
      </c>
      <c r="J255" s="8">
        <f>(5367.56*($H$3))</f>
        <v>28716.446</v>
      </c>
      <c r="K255" s="8">
        <f>(5480.89*($H$3))</f>
        <v>29322.761500000001</v>
      </c>
    </row>
    <row r="256" spans="1:13" x14ac:dyDescent="0.2">
      <c r="A256" s="2"/>
      <c r="B256" s="7" t="s">
        <v>155</v>
      </c>
      <c r="C256" s="8" t="s">
        <v>151</v>
      </c>
      <c r="D256" s="8" t="s">
        <v>152</v>
      </c>
      <c r="E256" s="8" t="s">
        <v>89</v>
      </c>
      <c r="F256" s="8" t="s">
        <v>63</v>
      </c>
      <c r="G256" s="10" t="s">
        <v>321</v>
      </c>
      <c r="H256" s="10">
        <f>3790*($H$3)</f>
        <v>20276.5</v>
      </c>
      <c r="I256" s="8">
        <f>(6300.89*($H$3))</f>
        <v>33709.761500000001</v>
      </c>
      <c r="J256" s="8">
        <f>(6380.89*($H$3))</f>
        <v>34137.761500000001</v>
      </c>
      <c r="K256" s="8">
        <f>(6494.22*($H$3))</f>
        <v>34744.076999999997</v>
      </c>
    </row>
    <row r="257" spans="1:12" ht="23.25" x14ac:dyDescent="0.35">
      <c r="A257" s="5" t="s">
        <v>3</v>
      </c>
      <c r="B257" s="66" t="s">
        <v>495</v>
      </c>
      <c r="C257" s="67"/>
      <c r="D257" s="67"/>
      <c r="E257" s="67"/>
      <c r="F257" s="67"/>
      <c r="G257" s="67"/>
      <c r="H257" s="67"/>
      <c r="I257" s="67"/>
      <c r="J257" s="67"/>
      <c r="K257" s="68"/>
      <c r="L257" s="16"/>
    </row>
    <row r="258" spans="1:12" x14ac:dyDescent="0.2">
      <c r="A258" s="2"/>
      <c r="B258" s="9" t="s">
        <v>4</v>
      </c>
      <c r="C258" s="9" t="s">
        <v>5</v>
      </c>
      <c r="D258" s="9" t="s">
        <v>6</v>
      </c>
      <c r="E258" s="9" t="s">
        <v>7</v>
      </c>
      <c r="F258" s="9" t="s">
        <v>8</v>
      </c>
      <c r="G258" s="9" t="s">
        <v>353</v>
      </c>
      <c r="H258" s="9" t="s">
        <v>10</v>
      </c>
      <c r="I258" s="9" t="s">
        <v>14</v>
      </c>
      <c r="J258" s="9" t="s">
        <v>15</v>
      </c>
      <c r="K258" s="9" t="s">
        <v>16</v>
      </c>
    </row>
    <row r="259" spans="1:12" x14ac:dyDescent="0.2">
      <c r="A259" s="2"/>
      <c r="B259" s="7" t="s">
        <v>496</v>
      </c>
      <c r="C259" s="8" t="s">
        <v>270</v>
      </c>
      <c r="D259" s="8" t="s">
        <v>497</v>
      </c>
      <c r="E259" s="8" t="s">
        <v>498</v>
      </c>
      <c r="F259" s="8" t="s">
        <v>417</v>
      </c>
      <c r="G259" s="8" t="s">
        <v>499</v>
      </c>
      <c r="H259" s="8">
        <f>(5778.74*($H$3))</f>
        <v>30916.258999999998</v>
      </c>
      <c r="I259" s="8">
        <f>(9745.41*($H$3))</f>
        <v>52137.943499999994</v>
      </c>
      <c r="J259" s="8">
        <f>(9745.41*($H$3))</f>
        <v>52137.943499999994</v>
      </c>
      <c r="K259" s="8">
        <f>(12238.74*($H$3))</f>
        <v>65477.258999999991</v>
      </c>
    </row>
    <row r="260" spans="1:12" x14ac:dyDescent="0.2">
      <c r="A260" s="17"/>
      <c r="B260" s="7" t="s">
        <v>500</v>
      </c>
      <c r="C260" s="8" t="s">
        <v>273</v>
      </c>
      <c r="D260" s="8" t="s">
        <v>497</v>
      </c>
      <c r="E260" s="8" t="s">
        <v>498</v>
      </c>
      <c r="F260" s="8" t="s">
        <v>417</v>
      </c>
      <c r="G260" s="8" t="s">
        <v>90</v>
      </c>
      <c r="H260" s="8">
        <f>(5985.59*($H$3))</f>
        <v>32022.906499999997</v>
      </c>
      <c r="I260" s="8">
        <f>(10185.59*($H$3))</f>
        <v>54492.906499999997</v>
      </c>
      <c r="J260" s="8">
        <f>(10185.59*($H$3))</f>
        <v>54492.906499999997</v>
      </c>
      <c r="K260" s="8">
        <f>(12825.59*($H$3))</f>
        <v>68616.906499999997</v>
      </c>
      <c r="L260" s="16"/>
    </row>
    <row r="261" spans="1:12" x14ac:dyDescent="0.2">
      <c r="A261" s="2"/>
      <c r="B261" s="7" t="s">
        <v>501</v>
      </c>
      <c r="C261" s="8" t="s">
        <v>275</v>
      </c>
      <c r="D261" s="8" t="s">
        <v>497</v>
      </c>
      <c r="E261" s="8" t="s">
        <v>498</v>
      </c>
      <c r="F261" s="8" t="s">
        <v>417</v>
      </c>
      <c r="G261" s="8" t="s">
        <v>98</v>
      </c>
      <c r="H261" s="8">
        <f>(6198.32*($H$3))</f>
        <v>33161.011999999995</v>
      </c>
      <c r="I261" s="8">
        <f>(10631.65*($H$3))</f>
        <v>56879.327499999992</v>
      </c>
      <c r="J261" s="8">
        <f>(10631.65*($H$3))</f>
        <v>56879.327499999992</v>
      </c>
      <c r="K261" s="8">
        <f>(13418.32*($H$3))</f>
        <v>71788.011999999988</v>
      </c>
    </row>
    <row r="262" spans="1:12" x14ac:dyDescent="0.2">
      <c r="A262" s="2"/>
      <c r="B262" s="7" t="s">
        <v>502</v>
      </c>
      <c r="C262" s="8" t="s">
        <v>277</v>
      </c>
      <c r="D262" s="8" t="s">
        <v>497</v>
      </c>
      <c r="E262" s="8" t="s">
        <v>498</v>
      </c>
      <c r="F262" s="8" t="s">
        <v>417</v>
      </c>
      <c r="G262" s="8" t="s">
        <v>113</v>
      </c>
      <c r="H262" s="8">
        <f>(6408.45*($H$3))</f>
        <v>34285.207499999997</v>
      </c>
      <c r="I262" s="8">
        <f>(11075.12*($H$3))</f>
        <v>59251.892</v>
      </c>
      <c r="J262" s="8">
        <f>(11075.12*($H$3))</f>
        <v>59251.892</v>
      </c>
      <c r="K262" s="8">
        <f>(14008.45*($H$3))</f>
        <v>74945.207500000004</v>
      </c>
    </row>
    <row r="263" spans="1:12" x14ac:dyDescent="0.2">
      <c r="A263" s="2"/>
      <c r="B263" s="7" t="s">
        <v>503</v>
      </c>
      <c r="C263" s="8" t="s">
        <v>504</v>
      </c>
      <c r="D263" s="8" t="s">
        <v>497</v>
      </c>
      <c r="E263" s="8" t="s">
        <v>498</v>
      </c>
      <c r="F263" s="8" t="s">
        <v>417</v>
      </c>
      <c r="G263" s="8" t="s">
        <v>505</v>
      </c>
      <c r="H263" s="8">
        <f>(7521.83*($H$3))</f>
        <v>40241.790499999996</v>
      </c>
      <c r="I263" s="8">
        <f>(13821.83*($H$3))</f>
        <v>73946.790499999988</v>
      </c>
      <c r="J263" s="8">
        <f>(13821.83*($H$3))</f>
        <v>73946.790499999988</v>
      </c>
      <c r="K263" s="8">
        <f>(17781.83*($H$3))</f>
        <v>95132.790500000003</v>
      </c>
      <c r="L263" s="22"/>
    </row>
    <row r="264" spans="1:12" x14ac:dyDescent="0.2">
      <c r="A264" s="5" t="s">
        <v>3</v>
      </c>
      <c r="B264" s="7" t="s">
        <v>506</v>
      </c>
      <c r="C264" s="8" t="s">
        <v>386</v>
      </c>
      <c r="D264" s="8" t="s">
        <v>497</v>
      </c>
      <c r="E264" s="8" t="s">
        <v>498</v>
      </c>
      <c r="F264" s="8" t="s">
        <v>417</v>
      </c>
      <c r="G264" s="8" t="s">
        <v>505</v>
      </c>
      <c r="H264" s="8">
        <f>(7839.76*($H$3))</f>
        <v>41942.716</v>
      </c>
      <c r="I264" s="8">
        <f>(14139.76*($H$3))</f>
        <v>75647.716</v>
      </c>
      <c r="J264" s="8">
        <f>(14139.76*($H$3))</f>
        <v>75647.716</v>
      </c>
      <c r="K264" s="8">
        <f>(18099.76*($H$3))</f>
        <v>96833.715999999986</v>
      </c>
    </row>
    <row r="265" spans="1:12" x14ac:dyDescent="0.2">
      <c r="A265" s="2"/>
      <c r="B265" s="7" t="s">
        <v>507</v>
      </c>
      <c r="C265" s="8" t="s">
        <v>508</v>
      </c>
      <c r="D265" s="8" t="s">
        <v>497</v>
      </c>
      <c r="E265" s="8" t="s">
        <v>498</v>
      </c>
      <c r="F265" s="8" t="s">
        <v>417</v>
      </c>
      <c r="G265" s="8" t="s">
        <v>509</v>
      </c>
      <c r="H265" s="8">
        <f>(8250.34*($H$3))</f>
        <v>44139.318999999996</v>
      </c>
      <c r="I265" s="8">
        <f>(15017.01*($H$3))</f>
        <v>80341.003499999992</v>
      </c>
      <c r="J265" s="8">
        <f>(15017.01*($H$3))</f>
        <v>80341.003499999992</v>
      </c>
      <c r="K265" s="8">
        <f>(19270.34*($H$3))</f>
        <v>103096.31899999999</v>
      </c>
    </row>
    <row r="266" spans="1:12" x14ac:dyDescent="0.2">
      <c r="A266" s="2"/>
      <c r="B266" s="7" t="s">
        <v>510</v>
      </c>
      <c r="C266" s="8" t="s">
        <v>455</v>
      </c>
      <c r="D266" s="8" t="s">
        <v>497</v>
      </c>
      <c r="E266" s="8" t="s">
        <v>498</v>
      </c>
      <c r="F266" s="8" t="s">
        <v>417</v>
      </c>
      <c r="G266" s="8" t="s">
        <v>511</v>
      </c>
      <c r="H266" s="8">
        <f>(8652.19*($H$3))</f>
        <v>46289.216500000002</v>
      </c>
      <c r="I266" s="8">
        <f>(15885.52*($H$3))</f>
        <v>84987.531999999992</v>
      </c>
      <c r="J266" s="8">
        <f>(15885.52*($H$3))</f>
        <v>84987.531999999992</v>
      </c>
      <c r="K266" s="8">
        <f>(20432.19*($H$3))</f>
        <v>109312.21649999998</v>
      </c>
    </row>
    <row r="267" spans="1:12" x14ac:dyDescent="0.2">
      <c r="A267" s="2"/>
      <c r="B267" s="7" t="s">
        <v>512</v>
      </c>
      <c r="C267" s="8" t="s">
        <v>18</v>
      </c>
      <c r="D267" s="8" t="s">
        <v>497</v>
      </c>
      <c r="E267" s="8" t="s">
        <v>498</v>
      </c>
      <c r="F267" s="8" t="s">
        <v>417</v>
      </c>
      <c r="G267" s="8" t="s">
        <v>509</v>
      </c>
      <c r="H267" s="8">
        <f>(8214.94*($H$3))</f>
        <v>43949.928999999996</v>
      </c>
      <c r="I267" s="8">
        <f>(15214.94*($H$3))</f>
        <v>81399.929000000004</v>
      </c>
      <c r="J267" s="8">
        <f>(15214.94*($H$3))</f>
        <v>81399.929000000004</v>
      </c>
      <c r="K267" s="8">
        <f>(19614.94*($H$3))</f>
        <v>104939.92899999999</v>
      </c>
    </row>
    <row r="268" spans="1:12" x14ac:dyDescent="0.2">
      <c r="A268" s="2"/>
      <c r="B268" s="7" t="s">
        <v>513</v>
      </c>
      <c r="C268" s="8" t="s">
        <v>24</v>
      </c>
      <c r="D268" s="8" t="s">
        <v>497</v>
      </c>
      <c r="E268" s="8" t="s">
        <v>498</v>
      </c>
      <c r="F268" s="8" t="s">
        <v>417</v>
      </c>
      <c r="G268" s="8" t="s">
        <v>58</v>
      </c>
      <c r="H268" s="8">
        <f>(8711.78*($H$3))</f>
        <v>46608.023000000001</v>
      </c>
      <c r="I268" s="8">
        <f>(16411.78*($H$3))</f>
        <v>87803.022999999986</v>
      </c>
      <c r="J268" s="8">
        <f>(16411.78*($H$3))</f>
        <v>87803.022999999986</v>
      </c>
      <c r="K268" s="8">
        <f>(21251.78*($H$3))</f>
        <v>113697.02299999999</v>
      </c>
    </row>
    <row r="269" spans="1:12" x14ac:dyDescent="0.2">
      <c r="A269" s="2"/>
      <c r="B269" s="7" t="s">
        <v>514</v>
      </c>
      <c r="C269" s="8" t="s">
        <v>27</v>
      </c>
      <c r="D269" s="8" t="s">
        <v>497</v>
      </c>
      <c r="E269" s="8" t="s">
        <v>498</v>
      </c>
      <c r="F269" s="8" t="s">
        <v>417</v>
      </c>
      <c r="G269" s="8" t="s">
        <v>58</v>
      </c>
      <c r="H269" s="8">
        <f>(9041.38*($H$3))</f>
        <v>48371.382999999994</v>
      </c>
      <c r="I269" s="8">
        <f>(16974.71*($H$3))</f>
        <v>90814.698499999984</v>
      </c>
      <c r="J269" s="8">
        <f>(16974.71*($H$3))</f>
        <v>90814.698499999984</v>
      </c>
      <c r="K269" s="8">
        <f>(21961.38*($H$3))</f>
        <v>117493.383</v>
      </c>
    </row>
    <row r="270" spans="1:12" x14ac:dyDescent="0.2">
      <c r="A270" s="2"/>
      <c r="B270" s="7" t="s">
        <v>515</v>
      </c>
      <c r="C270" s="8" t="s">
        <v>30</v>
      </c>
      <c r="D270" s="8" t="s">
        <v>497</v>
      </c>
      <c r="E270" s="8" t="s">
        <v>498</v>
      </c>
      <c r="F270" s="8" t="s">
        <v>417</v>
      </c>
      <c r="G270" s="8" t="s">
        <v>40</v>
      </c>
      <c r="H270" s="8">
        <f>(9447.07*($H$3))</f>
        <v>50541.824499999995</v>
      </c>
      <c r="I270" s="8">
        <f>(17847.07*($H$3))</f>
        <v>95481.824499999988</v>
      </c>
      <c r="J270" s="8">
        <f>(17847.07*($H$3))</f>
        <v>95481.824499999988</v>
      </c>
      <c r="K270" s="8">
        <f>(23127.07*($H$3))</f>
        <v>123729.82449999999</v>
      </c>
    </row>
    <row r="271" spans="1:12" x14ac:dyDescent="0.2">
      <c r="A271" s="2"/>
      <c r="B271" s="7" t="s">
        <v>516</v>
      </c>
      <c r="C271" s="8" t="s">
        <v>108</v>
      </c>
      <c r="D271" s="8" t="s">
        <v>497</v>
      </c>
      <c r="E271" s="8" t="s">
        <v>498</v>
      </c>
      <c r="F271" s="8" t="s">
        <v>417</v>
      </c>
      <c r="G271" s="8" t="s">
        <v>357</v>
      </c>
      <c r="H271" s="8">
        <f>(10199.62*($H$3))</f>
        <v>54567.967000000004</v>
      </c>
      <c r="I271" s="8">
        <f>(19532.96*($H$3))</f>
        <v>104501.33599999998</v>
      </c>
      <c r="J271" s="8">
        <f>(19532.96*($H$3))</f>
        <v>104501.33599999998</v>
      </c>
      <c r="K271" s="8">
        <f>(25399.62*($H$3))</f>
        <v>135887.96699999998</v>
      </c>
    </row>
    <row r="272" spans="1:12" x14ac:dyDescent="0.2">
      <c r="A272" s="2"/>
      <c r="B272" s="7" t="s">
        <v>517</v>
      </c>
      <c r="C272" s="8" t="s">
        <v>518</v>
      </c>
      <c r="D272" s="8" t="s">
        <v>497</v>
      </c>
      <c r="E272" s="8" t="s">
        <v>498</v>
      </c>
      <c r="F272" s="8" t="s">
        <v>417</v>
      </c>
      <c r="G272" s="8" t="s">
        <v>519</v>
      </c>
      <c r="H272" s="8">
        <f>(10734.27*($H$3))</f>
        <v>57428.344499999999</v>
      </c>
      <c r="I272" s="8">
        <f>(20534.27*($H$3))</f>
        <v>109858.34449999999</v>
      </c>
      <c r="J272" s="8">
        <f>(20534.27*($H$3))</f>
        <v>109858.34449999999</v>
      </c>
      <c r="K272" s="8">
        <f>(26694.27*($H$3))</f>
        <v>142814.34450000001</v>
      </c>
    </row>
    <row r="273" spans="1:12" x14ac:dyDescent="0.2">
      <c r="A273" s="2"/>
      <c r="B273" s="7" t="s">
        <v>520</v>
      </c>
      <c r="C273" s="8" t="s">
        <v>521</v>
      </c>
      <c r="D273" s="8" t="s">
        <v>497</v>
      </c>
      <c r="E273" s="8" t="s">
        <v>498</v>
      </c>
      <c r="F273" s="8" t="s">
        <v>63</v>
      </c>
      <c r="G273" s="8" t="s">
        <v>522</v>
      </c>
      <c r="H273" s="8">
        <f>(11394.13*($H$3))</f>
        <v>60958.595499999989</v>
      </c>
      <c r="I273" s="8">
        <f>(22127.47*($H$3))</f>
        <v>118381.9645</v>
      </c>
      <c r="J273" s="8">
        <f>(22127.47*($H$3))</f>
        <v>118381.9645</v>
      </c>
      <c r="K273" s="8">
        <f>(28874.13*($H$3))</f>
        <v>154476.5955</v>
      </c>
    </row>
    <row r="274" spans="1:12" x14ac:dyDescent="0.2">
      <c r="A274" s="2"/>
      <c r="B274" s="7" t="s">
        <v>523</v>
      </c>
      <c r="C274" s="8" t="s">
        <v>71</v>
      </c>
      <c r="D274" s="8" t="s">
        <v>497</v>
      </c>
      <c r="E274" s="8" t="s">
        <v>498</v>
      </c>
      <c r="F274" s="8" t="s">
        <v>417</v>
      </c>
      <c r="G274" s="8" t="s">
        <v>524</v>
      </c>
      <c r="H274" s="8">
        <f>(11942.84*($H$3))</f>
        <v>63894.193999999996</v>
      </c>
      <c r="I274" s="8">
        <f>(23142.84*($H$3))</f>
        <v>123814.19399999999</v>
      </c>
      <c r="J274" s="8">
        <f>(23142.84*($H$3))</f>
        <v>123814.19399999999</v>
      </c>
      <c r="K274" s="8">
        <f>(30182.84*($H$3))</f>
        <v>161478.19399999999</v>
      </c>
    </row>
    <row r="275" spans="1:12" x14ac:dyDescent="0.2">
      <c r="A275" s="2"/>
      <c r="B275" s="7" t="s">
        <v>525</v>
      </c>
      <c r="C275" s="8" t="s">
        <v>84</v>
      </c>
      <c r="D275" s="8" t="s">
        <v>497</v>
      </c>
      <c r="E275" s="8" t="s">
        <v>498</v>
      </c>
      <c r="F275" s="8" t="s">
        <v>63</v>
      </c>
      <c r="G275" s="8" t="s">
        <v>365</v>
      </c>
      <c r="H275" s="8">
        <f>(5801.1*($H$3))</f>
        <v>31035.884999999998</v>
      </c>
      <c r="I275" s="8">
        <f>(9534.43*($H$3))</f>
        <v>51009.200499999999</v>
      </c>
      <c r="J275" s="8">
        <f>(9534.43*($H$3))</f>
        <v>51009.200499999999</v>
      </c>
      <c r="K275" s="8">
        <f>(11881.1*($H$3))</f>
        <v>63563.884999999995</v>
      </c>
    </row>
    <row r="276" spans="1:12" x14ac:dyDescent="0.2">
      <c r="A276" s="2"/>
      <c r="B276" s="7" t="s">
        <v>526</v>
      </c>
      <c r="C276" s="8" t="s">
        <v>151</v>
      </c>
      <c r="D276" s="8" t="s">
        <v>497</v>
      </c>
      <c r="E276" s="8" t="s">
        <v>498</v>
      </c>
      <c r="F276" s="8" t="s">
        <v>63</v>
      </c>
      <c r="G276" s="8" t="s">
        <v>100</v>
      </c>
      <c r="H276" s="8">
        <f>(4932.74*($H$3))</f>
        <v>26390.158999999996</v>
      </c>
      <c r="I276" s="8">
        <f>(7032.74*($H$3))</f>
        <v>37625.159</v>
      </c>
      <c r="J276" s="8">
        <f>(7032.74*($H$3))</f>
        <v>37625.159</v>
      </c>
      <c r="K276" s="8">
        <f>(8352.74*($H$3))</f>
        <v>44687.158999999992</v>
      </c>
    </row>
    <row r="277" spans="1:12" x14ac:dyDescent="0.2">
      <c r="A277" s="2"/>
      <c r="B277" s="7" t="s">
        <v>527</v>
      </c>
      <c r="C277" s="8" t="s">
        <v>170</v>
      </c>
      <c r="D277" s="8" t="s">
        <v>497</v>
      </c>
      <c r="E277" s="8" t="s">
        <v>498</v>
      </c>
      <c r="F277" s="8" t="s">
        <v>63</v>
      </c>
      <c r="G277" s="8" t="s">
        <v>46</v>
      </c>
      <c r="H277" s="8">
        <f>(5196.85*($H$3))</f>
        <v>27803.147499999999</v>
      </c>
      <c r="I277" s="8">
        <f>(7763.52*($H$3))</f>
        <v>41534.832000000002</v>
      </c>
      <c r="J277" s="8">
        <f>(7763.52*($H$3))</f>
        <v>41534.832000000002</v>
      </c>
      <c r="K277" s="8">
        <f>(9376.85*($H$3))</f>
        <v>50166.147499999999</v>
      </c>
    </row>
    <row r="278" spans="1:12" x14ac:dyDescent="0.2">
      <c r="A278" s="2"/>
      <c r="B278" s="7" t="s">
        <v>528</v>
      </c>
      <c r="C278" s="8" t="s">
        <v>167</v>
      </c>
      <c r="D278" s="8" t="s">
        <v>497</v>
      </c>
      <c r="E278" s="8" t="s">
        <v>498</v>
      </c>
      <c r="F278" s="8" t="s">
        <v>63</v>
      </c>
      <c r="G278" s="8" t="s">
        <v>25</v>
      </c>
      <c r="H278" s="8">
        <f>(5418.92*($H$3))</f>
        <v>28991.221999999998</v>
      </c>
      <c r="I278" s="8">
        <f>(8218.92*($H$3))</f>
        <v>43971.221999999994</v>
      </c>
      <c r="J278" s="8">
        <f>(8218.92*($H$3))</f>
        <v>43971.221999999994</v>
      </c>
      <c r="K278" s="8">
        <f>(9978.92*($H$3))</f>
        <v>53387.221999999994</v>
      </c>
    </row>
    <row r="279" spans="1:12" x14ac:dyDescent="0.2">
      <c r="A279" s="2"/>
      <c r="B279" s="7" t="s">
        <v>529</v>
      </c>
      <c r="C279" s="8" t="s">
        <v>173</v>
      </c>
      <c r="D279" s="8" t="s">
        <v>497</v>
      </c>
      <c r="E279" s="8" t="s">
        <v>498</v>
      </c>
      <c r="F279" s="8" t="s">
        <v>63</v>
      </c>
      <c r="G279" s="8" t="s">
        <v>28</v>
      </c>
      <c r="H279" s="8">
        <f>(5696.79*($H$3))</f>
        <v>30477.826499999999</v>
      </c>
      <c r="I279" s="8">
        <f>(8730.12*($H$3))</f>
        <v>46706.142</v>
      </c>
      <c r="J279" s="8">
        <f>(8730.12*($H$3))</f>
        <v>46706.142</v>
      </c>
      <c r="K279" s="8">
        <f>(10636.79*($H$3))</f>
        <v>56906.826500000003</v>
      </c>
    </row>
    <row r="280" spans="1:12" ht="23.25" x14ac:dyDescent="0.35">
      <c r="A280" s="2"/>
      <c r="B280" s="66" t="s">
        <v>530</v>
      </c>
      <c r="C280" s="67"/>
      <c r="D280" s="67"/>
      <c r="E280" s="67"/>
      <c r="F280" s="67"/>
      <c r="G280" s="67"/>
      <c r="H280" s="67"/>
      <c r="I280" s="67"/>
      <c r="J280" s="67"/>
      <c r="K280" s="68"/>
    </row>
    <row r="281" spans="1:12" x14ac:dyDescent="0.2">
      <c r="A281" s="2"/>
      <c r="B281" s="9" t="s">
        <v>4</v>
      </c>
      <c r="C281" s="9" t="s">
        <v>5</v>
      </c>
      <c r="D281" s="9" t="s">
        <v>6</v>
      </c>
      <c r="E281" s="9" t="s">
        <v>7</v>
      </c>
      <c r="F281" s="9" t="s">
        <v>8</v>
      </c>
      <c r="G281" s="9" t="s">
        <v>9</v>
      </c>
      <c r="H281" s="9" t="s">
        <v>10</v>
      </c>
      <c r="I281" s="9" t="s">
        <v>361</v>
      </c>
      <c r="J281" s="9" t="s">
        <v>12</v>
      </c>
      <c r="K281" s="9" t="s">
        <v>13</v>
      </c>
    </row>
    <row r="282" spans="1:12" x14ac:dyDescent="0.2">
      <c r="A282" s="2"/>
      <c r="B282" s="7" t="s">
        <v>531</v>
      </c>
      <c r="C282" s="8" t="s">
        <v>270</v>
      </c>
      <c r="D282" s="8" t="s">
        <v>497</v>
      </c>
      <c r="E282" s="8" t="s">
        <v>498</v>
      </c>
      <c r="F282" s="8" t="s">
        <v>417</v>
      </c>
      <c r="G282" s="8" t="s">
        <v>292</v>
      </c>
      <c r="H282" s="8">
        <f>(5195.41*($H$3))</f>
        <v>27795.443499999998</v>
      </c>
      <c r="I282" s="8">
        <f>(6148.74*($H$3))</f>
        <v>32895.758999999998</v>
      </c>
      <c r="J282" s="8">
        <f>(6322.07*($H$3))</f>
        <v>33823.074499999995</v>
      </c>
      <c r="K282" s="8">
        <f>(6567.63*($H$3))</f>
        <v>35136.820500000002</v>
      </c>
    </row>
    <row r="283" spans="1:12" x14ac:dyDescent="0.2">
      <c r="A283" s="2"/>
      <c r="B283" s="7" t="s">
        <v>532</v>
      </c>
      <c r="C283" s="8" t="s">
        <v>273</v>
      </c>
      <c r="D283" s="8" t="s">
        <v>497</v>
      </c>
      <c r="E283" s="8" t="s">
        <v>498</v>
      </c>
      <c r="F283" s="8" t="s">
        <v>417</v>
      </c>
      <c r="G283" s="8" t="s">
        <v>292</v>
      </c>
      <c r="H283" s="8">
        <f>(5346.7*($H$3))</f>
        <v>28604.844999999998</v>
      </c>
      <c r="I283" s="8">
        <f>(6300.03*($H$3))</f>
        <v>33705.160499999998</v>
      </c>
      <c r="J283" s="8">
        <f>(6473.36*($H$3))</f>
        <v>34632.475999999995</v>
      </c>
      <c r="K283" s="8">
        <f>(6718.92*($H$3))</f>
        <v>35946.222000000002</v>
      </c>
    </row>
    <row r="284" spans="1:12" x14ac:dyDescent="0.2">
      <c r="A284" s="2"/>
      <c r="B284" s="7" t="s">
        <v>533</v>
      </c>
      <c r="C284" s="8" t="s">
        <v>275</v>
      </c>
      <c r="D284" s="8" t="s">
        <v>497</v>
      </c>
      <c r="E284" s="8" t="s">
        <v>498</v>
      </c>
      <c r="F284" s="8" t="s">
        <v>417</v>
      </c>
      <c r="G284" s="8" t="s">
        <v>153</v>
      </c>
      <c r="H284" s="8">
        <f>(5531.65*($H$3))</f>
        <v>29594.327499999996</v>
      </c>
      <c r="I284" s="8">
        <f>(6558.32*($H$3))</f>
        <v>35087.011999999995</v>
      </c>
      <c r="J284" s="8">
        <f>(6744.99*($H$3))</f>
        <v>36085.696499999998</v>
      </c>
      <c r="K284" s="8">
        <f>(7009.43*($H$3))</f>
        <v>37500.450499999999</v>
      </c>
    </row>
    <row r="285" spans="1:12" x14ac:dyDescent="0.2">
      <c r="A285" s="2"/>
      <c r="B285" s="7" t="s">
        <v>534</v>
      </c>
      <c r="C285" s="8" t="s">
        <v>277</v>
      </c>
      <c r="D285" s="8" t="s">
        <v>497</v>
      </c>
      <c r="E285" s="8" t="s">
        <v>498</v>
      </c>
      <c r="F285" s="8" t="s">
        <v>417</v>
      </c>
      <c r="G285" s="8" t="s">
        <v>153</v>
      </c>
      <c r="H285" s="8">
        <f>(5714.01*($H$3))</f>
        <v>30569.9535</v>
      </c>
      <c r="I285" s="8">
        <f>(6814.01*($H$3))</f>
        <v>36454.953499999996</v>
      </c>
      <c r="J285" s="8">
        <f>(7014.01*($H$3))</f>
        <v>37524.953499999996</v>
      </c>
      <c r="K285" s="8">
        <f>(7297.34*($H$3))</f>
        <v>39040.769</v>
      </c>
    </row>
    <row r="286" spans="1:12" x14ac:dyDescent="0.2">
      <c r="A286" s="2"/>
      <c r="B286" s="7" t="s">
        <v>535</v>
      </c>
      <c r="C286" s="8" t="s">
        <v>504</v>
      </c>
      <c r="D286" s="8" t="s">
        <v>497</v>
      </c>
      <c r="E286" s="8" t="s">
        <v>498</v>
      </c>
      <c r="F286" s="8" t="s">
        <v>417</v>
      </c>
      <c r="G286" s="8" t="s">
        <v>46</v>
      </c>
      <c r="H286" s="8">
        <f>(6577.39*($H$3))</f>
        <v>35189.036500000002</v>
      </c>
      <c r="I286" s="8">
        <f>(8044.05*($H$3))</f>
        <v>43035.667499999996</v>
      </c>
      <c r="J286" s="8">
        <f>(8310.72*($H$3))</f>
        <v>44462.351999999992</v>
      </c>
      <c r="K286" s="8">
        <f>(8688.5*($H$3))</f>
        <v>46483.474999999999</v>
      </c>
      <c r="L286" s="22"/>
    </row>
    <row r="287" spans="1:12" x14ac:dyDescent="0.2">
      <c r="A287" s="5" t="s">
        <v>3</v>
      </c>
      <c r="B287" s="7" t="s">
        <v>536</v>
      </c>
      <c r="C287" s="8" t="s">
        <v>386</v>
      </c>
      <c r="D287" s="8" t="s">
        <v>497</v>
      </c>
      <c r="E287" s="8" t="s">
        <v>498</v>
      </c>
      <c r="F287" s="8" t="s">
        <v>417</v>
      </c>
      <c r="G287" s="8" t="s">
        <v>46</v>
      </c>
      <c r="H287" s="8">
        <f>(6895.32*($H$3))</f>
        <v>36889.962</v>
      </c>
      <c r="I287" s="8">
        <f>(8361.99*($H$3))</f>
        <v>44736.646499999995</v>
      </c>
      <c r="J287" s="8">
        <f>(8628.65*($H$3))</f>
        <v>46163.277499999997</v>
      </c>
      <c r="K287" s="8">
        <f>(9006.43*($H$3))</f>
        <v>48184.400499999996</v>
      </c>
    </row>
    <row r="288" spans="1:12" x14ac:dyDescent="0.2">
      <c r="A288" s="2"/>
      <c r="B288" s="7" t="s">
        <v>537</v>
      </c>
      <c r="C288" s="8" t="s">
        <v>508</v>
      </c>
      <c r="D288" s="8" t="s">
        <v>497</v>
      </c>
      <c r="E288" s="8" t="s">
        <v>498</v>
      </c>
      <c r="F288" s="8" t="s">
        <v>417</v>
      </c>
      <c r="G288" s="8" t="s">
        <v>46</v>
      </c>
      <c r="H288" s="8">
        <f>(7222.56*($H$3))</f>
        <v>38640.695999999996</v>
      </c>
      <c r="I288" s="8">
        <f>(8762.56*($H$3))</f>
        <v>46879.695999999996</v>
      </c>
      <c r="J288" s="8">
        <f>(9042.56*($H$3))</f>
        <v>48377.695999999996</v>
      </c>
      <c r="K288" s="8">
        <f>(9439.23*($H$3))</f>
        <v>50499.880499999992</v>
      </c>
    </row>
    <row r="289" spans="1:16" x14ac:dyDescent="0.2">
      <c r="A289" s="2"/>
      <c r="B289" s="7" t="s">
        <v>538</v>
      </c>
      <c r="C289" s="8" t="s">
        <v>455</v>
      </c>
      <c r="D289" s="8" t="s">
        <v>497</v>
      </c>
      <c r="E289" s="8" t="s">
        <v>498</v>
      </c>
      <c r="F289" s="8" t="s">
        <v>417</v>
      </c>
      <c r="G289" s="8" t="s">
        <v>22</v>
      </c>
      <c r="H289" s="8">
        <f>(7541.07*($H$3))</f>
        <v>40344.724499999997</v>
      </c>
      <c r="I289" s="8">
        <f>(9154.41*($H$3))</f>
        <v>48976.093499999995</v>
      </c>
      <c r="J289" s="8">
        <f>(9447.74*($H$3))</f>
        <v>50545.408999999992</v>
      </c>
      <c r="K289" s="8">
        <f>(9863.3*($H$3))</f>
        <v>52768.654999999992</v>
      </c>
    </row>
    <row r="290" spans="1:16" x14ac:dyDescent="0.2">
      <c r="A290" s="2"/>
      <c r="B290" s="7" t="s">
        <v>539</v>
      </c>
      <c r="C290" s="8" t="s">
        <v>18</v>
      </c>
      <c r="D290" s="8" t="s">
        <v>497</v>
      </c>
      <c r="E290" s="8" t="s">
        <v>498</v>
      </c>
      <c r="F290" s="8" t="s">
        <v>417</v>
      </c>
      <c r="G290" s="8" t="s">
        <v>22</v>
      </c>
      <c r="H290" s="8">
        <f>(7187.16*($H$3))</f>
        <v>38451.305999999997</v>
      </c>
      <c r="I290" s="8">
        <f>(8873.82*($H$3))</f>
        <v>47474.936999999998</v>
      </c>
      <c r="J290" s="8">
        <f>(9180.49*($H$3))</f>
        <v>49115.621499999994</v>
      </c>
      <c r="K290" s="8">
        <f>(9614.94*($H$3))</f>
        <v>51439.928999999996</v>
      </c>
    </row>
    <row r="291" spans="1:16" x14ac:dyDescent="0.2">
      <c r="A291" s="2"/>
      <c r="B291" s="7" t="s">
        <v>540</v>
      </c>
      <c r="C291" s="8" t="s">
        <v>24</v>
      </c>
      <c r="D291" s="8" t="s">
        <v>497</v>
      </c>
      <c r="E291" s="8" t="s">
        <v>498</v>
      </c>
      <c r="F291" s="8" t="s">
        <v>417</v>
      </c>
      <c r="G291" s="8" t="s">
        <v>25</v>
      </c>
      <c r="H291" s="8">
        <f>(7545.11*($H$3))</f>
        <v>40366.338499999998</v>
      </c>
      <c r="I291" s="8">
        <f>(9305.11*($H$3))</f>
        <v>49782.338499999998</v>
      </c>
      <c r="J291" s="8">
        <f>(9625.11*($H$3))</f>
        <v>51494.338499999998</v>
      </c>
      <c r="K291" s="8">
        <f>(10078.45*($H$3))</f>
        <v>53919.707499999997</v>
      </c>
    </row>
    <row r="292" spans="1:16" x14ac:dyDescent="0.2">
      <c r="A292" s="2"/>
      <c r="B292" s="7" t="s">
        <v>541</v>
      </c>
      <c r="C292" s="8" t="s">
        <v>27</v>
      </c>
      <c r="D292" s="8" t="s">
        <v>497</v>
      </c>
      <c r="E292" s="8" t="s">
        <v>498</v>
      </c>
      <c r="F292" s="8" t="s">
        <v>417</v>
      </c>
      <c r="G292" s="8" t="s">
        <v>25</v>
      </c>
      <c r="H292" s="8">
        <f>(7846.94*($H$3))</f>
        <v>41981.128999999994</v>
      </c>
      <c r="I292" s="8">
        <f>(9680.27*($H$3))</f>
        <v>51789.444499999998</v>
      </c>
      <c r="J292" s="8">
        <f>(10013.6*($H$3))</f>
        <v>53572.759999999995</v>
      </c>
      <c r="K292" s="8">
        <f>(10485.82*($H$3))</f>
        <v>56099.136999999995</v>
      </c>
    </row>
    <row r="293" spans="1:16" x14ac:dyDescent="0.2">
      <c r="A293" s="2"/>
      <c r="B293" s="7" t="s">
        <v>542</v>
      </c>
      <c r="C293" s="8" t="s">
        <v>30</v>
      </c>
      <c r="D293" s="8" t="s">
        <v>497</v>
      </c>
      <c r="E293" s="8" t="s">
        <v>498</v>
      </c>
      <c r="F293" s="8" t="s">
        <v>417</v>
      </c>
      <c r="G293" s="8" t="s">
        <v>28</v>
      </c>
      <c r="H293" s="8">
        <f>(8197.07*($H$3))</f>
        <v>43854.324499999995</v>
      </c>
      <c r="I293" s="8">
        <f>(10177.07*($H$3))</f>
        <v>54447.324499999995</v>
      </c>
      <c r="J293" s="8">
        <f>(10537.07*($H$3))</f>
        <v>56373.324499999995</v>
      </c>
      <c r="K293" s="8">
        <f>(11047.07*($H$3))</f>
        <v>59101.824499999995</v>
      </c>
    </row>
    <row r="294" spans="1:16" x14ac:dyDescent="0.2">
      <c r="A294" s="2"/>
      <c r="B294" s="7" t="s">
        <v>543</v>
      </c>
      <c r="C294" s="8" t="s">
        <v>108</v>
      </c>
      <c r="D294" s="8" t="s">
        <v>497</v>
      </c>
      <c r="E294" s="8" t="s">
        <v>498</v>
      </c>
      <c r="F294" s="8" t="s">
        <v>417</v>
      </c>
      <c r="G294" s="8" t="s">
        <v>31</v>
      </c>
      <c r="H294" s="8">
        <f>(8782.96*($H$3))</f>
        <v>46988.835999999996</v>
      </c>
      <c r="I294" s="8">
        <f>(10909.62*($H$3))</f>
        <v>58366.466999999997</v>
      </c>
      <c r="J294" s="8">
        <f>(11296.29*($H$3))</f>
        <v>60435.1515</v>
      </c>
      <c r="K294" s="8">
        <f>(11844.07*($H$3))</f>
        <v>63365.774499999992</v>
      </c>
    </row>
    <row r="295" spans="1:16" x14ac:dyDescent="0.2">
      <c r="A295" s="2"/>
      <c r="B295" s="7" t="s">
        <v>544</v>
      </c>
      <c r="C295" s="8" t="s">
        <v>518</v>
      </c>
      <c r="D295" s="8" t="s">
        <v>497</v>
      </c>
      <c r="E295" s="8" t="s">
        <v>498</v>
      </c>
      <c r="F295" s="8" t="s">
        <v>417</v>
      </c>
      <c r="G295" s="8" t="s">
        <v>363</v>
      </c>
      <c r="H295" s="8">
        <f>(9262.04*($H$3))</f>
        <v>49551.914000000004</v>
      </c>
      <c r="I295" s="8">
        <f>(11535.38*($H$3))</f>
        <v>61714.282999999989</v>
      </c>
      <c r="J295" s="8">
        <f>(11948.71*($H$3))</f>
        <v>63925.598499999993</v>
      </c>
      <c r="K295" s="8">
        <f>(12534.27*($H$3))</f>
        <v>67058.344499999992</v>
      </c>
    </row>
    <row r="296" spans="1:16" x14ac:dyDescent="0.2">
      <c r="A296" s="2"/>
      <c r="B296" s="7" t="s">
        <v>545</v>
      </c>
      <c r="C296" s="8" t="s">
        <v>521</v>
      </c>
      <c r="D296" s="8" t="s">
        <v>497</v>
      </c>
      <c r="E296" s="8" t="s">
        <v>498</v>
      </c>
      <c r="F296" s="15">
        <v>0.35</v>
      </c>
      <c r="G296" s="8" t="s">
        <v>499</v>
      </c>
      <c r="H296" s="8">
        <f>(9783.02*($H$3))</f>
        <v>52339.156999999999</v>
      </c>
      <c r="I296" s="8">
        <f>(12276.36*($H$3))</f>
        <v>65678.525999999998</v>
      </c>
      <c r="J296" s="8">
        <f>(12729.69*($H$3))</f>
        <v>68103.841499999995</v>
      </c>
      <c r="K296" s="8">
        <f>(13371.91*($H$3))</f>
        <v>71539.718499999988</v>
      </c>
    </row>
    <row r="297" spans="1:16" x14ac:dyDescent="0.2">
      <c r="A297" s="2"/>
      <c r="B297" s="7" t="s">
        <v>546</v>
      </c>
      <c r="C297" s="8" t="s">
        <v>71</v>
      </c>
      <c r="D297" s="8" t="s">
        <v>497</v>
      </c>
      <c r="E297" s="8" t="s">
        <v>498</v>
      </c>
      <c r="F297" s="8" t="s">
        <v>417</v>
      </c>
      <c r="G297" s="8" t="s">
        <v>499</v>
      </c>
      <c r="H297" s="8">
        <f>(10248.4*($H$3))</f>
        <v>54828.939999999995</v>
      </c>
      <c r="I297" s="8">
        <f>(12815.07*($H$3))</f>
        <v>68560.624499999991</v>
      </c>
      <c r="J297" s="8">
        <f>(13281.73*($H$3))</f>
        <v>71057.255499999999</v>
      </c>
      <c r="K297" s="8">
        <f>(13942.84*($H$3))</f>
        <v>74594.193999999989</v>
      </c>
    </row>
    <row r="298" spans="1:16" x14ac:dyDescent="0.2">
      <c r="A298" s="2"/>
      <c r="B298" s="7" t="s">
        <v>547</v>
      </c>
      <c r="C298" s="8" t="s">
        <v>84</v>
      </c>
      <c r="D298" s="8" t="s">
        <v>497</v>
      </c>
      <c r="E298" s="8" t="s">
        <v>498</v>
      </c>
      <c r="F298" s="8" t="s">
        <v>63</v>
      </c>
      <c r="G298" s="8" t="s">
        <v>148</v>
      </c>
      <c r="H298" s="8">
        <f>(5245.54*($H$3))</f>
        <v>28063.638999999999</v>
      </c>
      <c r="I298" s="8">
        <f>(6125.54*($H$3))</f>
        <v>32771.638999999996</v>
      </c>
      <c r="J298" s="8">
        <f>(6285.54*($H$3))</f>
        <v>33627.638999999996</v>
      </c>
      <c r="K298" s="8">
        <f>(6512.21*($H$3))</f>
        <v>34840.323499999999</v>
      </c>
    </row>
    <row r="299" spans="1:16" s="16" customFormat="1" x14ac:dyDescent="0.2">
      <c r="A299" s="2"/>
      <c r="B299" s="7" t="s">
        <v>548</v>
      </c>
      <c r="C299" s="8" t="s">
        <v>151</v>
      </c>
      <c r="D299" s="8" t="s">
        <v>497</v>
      </c>
      <c r="E299" s="8" t="s">
        <v>498</v>
      </c>
      <c r="F299" s="8" t="s">
        <v>63</v>
      </c>
      <c r="G299" s="8" t="s">
        <v>125</v>
      </c>
      <c r="H299" s="8">
        <f>(4654.96*($H$3))</f>
        <v>24904.036</v>
      </c>
      <c r="I299" s="8">
        <f>(5241.63*($H$3))</f>
        <v>28042.720499999999</v>
      </c>
      <c r="J299" s="8">
        <f>(5348.3*($H$3))</f>
        <v>28613.404999999999</v>
      </c>
      <c r="K299" s="8">
        <f>(5499.41*($H$3))</f>
        <v>29421.843499999999</v>
      </c>
      <c r="L299"/>
      <c r="M299"/>
      <c r="N299"/>
      <c r="O299"/>
      <c r="P299"/>
    </row>
    <row r="300" spans="1:16" x14ac:dyDescent="0.2">
      <c r="A300" s="2"/>
      <c r="B300" s="7" t="s">
        <v>549</v>
      </c>
      <c r="C300" s="8" t="s">
        <v>170</v>
      </c>
      <c r="D300" s="8" t="s">
        <v>497</v>
      </c>
      <c r="E300" s="8" t="s">
        <v>498</v>
      </c>
      <c r="F300" s="8" t="s">
        <v>63</v>
      </c>
      <c r="G300" s="8" t="s">
        <v>125</v>
      </c>
      <c r="H300" s="8">
        <f>(4807.96*($H$3))</f>
        <v>25722.585999999999</v>
      </c>
      <c r="I300" s="8">
        <f>(5394.63*($H$3))</f>
        <v>28861.270499999999</v>
      </c>
      <c r="J300" s="8">
        <f>(5501.3*($H$3))</f>
        <v>29431.954999999998</v>
      </c>
      <c r="K300" s="8">
        <f>(5652.41*($H$3))</f>
        <v>30240.393499999998</v>
      </c>
    </row>
    <row r="301" spans="1:16" x14ac:dyDescent="0.2">
      <c r="A301" s="2"/>
      <c r="B301" s="7" t="s">
        <v>550</v>
      </c>
      <c r="C301" s="8" t="s">
        <v>167</v>
      </c>
      <c r="D301" s="8" t="s">
        <v>497</v>
      </c>
      <c r="E301" s="8" t="s">
        <v>498</v>
      </c>
      <c r="F301" s="8" t="s">
        <v>63</v>
      </c>
      <c r="G301" s="8" t="s">
        <v>82</v>
      </c>
      <c r="H301" s="8">
        <f>(5002.25*($H$3))</f>
        <v>26762.037499999999</v>
      </c>
      <c r="I301" s="8">
        <f>(5662.25*($H$3))</f>
        <v>30293.037499999999</v>
      </c>
      <c r="J301" s="8">
        <f>(5782.25*($H$3))</f>
        <v>30935.037499999999</v>
      </c>
      <c r="K301" s="8">
        <f>(5952.25*($H$3))</f>
        <v>31844.537499999999</v>
      </c>
    </row>
    <row r="302" spans="1:16" x14ac:dyDescent="0.2">
      <c r="A302" s="2"/>
      <c r="B302" s="7" t="s">
        <v>551</v>
      </c>
      <c r="C302" s="8" t="s">
        <v>173</v>
      </c>
      <c r="D302" s="8" t="s">
        <v>497</v>
      </c>
      <c r="E302" s="8" t="s">
        <v>498</v>
      </c>
      <c r="F302" s="8" t="s">
        <v>63</v>
      </c>
      <c r="G302" s="8" t="s">
        <v>82</v>
      </c>
      <c r="H302" s="8">
        <f>(5252.34*($H$3))</f>
        <v>28100.019</v>
      </c>
      <c r="I302" s="8">
        <f>(5985.67*($H$3))</f>
        <v>32023.334499999997</v>
      </c>
      <c r="J302" s="8">
        <f>(6119.01*($H$3))</f>
        <v>32736.7035</v>
      </c>
      <c r="K302" s="8">
        <f>(6307.9*($H$3))</f>
        <v>33747.264999999999</v>
      </c>
    </row>
    <row r="303" spans="1:16" ht="23.25" x14ac:dyDescent="0.35">
      <c r="A303" s="2"/>
      <c r="B303" s="70" t="s">
        <v>552</v>
      </c>
      <c r="C303" s="71"/>
      <c r="D303" s="71"/>
      <c r="E303" s="71"/>
      <c r="F303" s="71"/>
      <c r="G303" s="71"/>
      <c r="H303" s="71"/>
      <c r="I303" s="71"/>
      <c r="J303" s="71"/>
      <c r="K303" s="72"/>
    </row>
    <row r="304" spans="1:16" x14ac:dyDescent="0.2">
      <c r="A304" s="2"/>
      <c r="B304" s="5" t="s">
        <v>4</v>
      </c>
      <c r="C304" s="5" t="s">
        <v>5</v>
      </c>
      <c r="D304" s="5" t="s">
        <v>6</v>
      </c>
      <c r="E304" s="5" t="s">
        <v>7</v>
      </c>
      <c r="F304" s="5" t="s">
        <v>8</v>
      </c>
      <c r="G304" s="9" t="s">
        <v>353</v>
      </c>
      <c r="H304" s="5" t="s">
        <v>10</v>
      </c>
      <c r="I304" s="73" t="s">
        <v>553</v>
      </c>
      <c r="J304" s="74"/>
      <c r="K304" s="75"/>
    </row>
    <row r="305" spans="1:16" x14ac:dyDescent="0.2">
      <c r="A305" s="2"/>
      <c r="B305" s="7" t="s">
        <v>554</v>
      </c>
      <c r="C305" s="8" t="s">
        <v>86</v>
      </c>
      <c r="D305" s="8" t="s">
        <v>555</v>
      </c>
      <c r="E305" s="15">
        <v>0.39</v>
      </c>
      <c r="F305" s="8" t="s">
        <v>63</v>
      </c>
      <c r="G305" s="8" t="s">
        <v>82</v>
      </c>
      <c r="H305" s="8">
        <f>(2071.39*($H$3))</f>
        <v>11081.936499999998</v>
      </c>
      <c r="I305" s="76">
        <f>(3971.39*($H$3))</f>
        <v>21246.936499999996</v>
      </c>
      <c r="J305" s="77"/>
      <c r="K305" s="78"/>
    </row>
    <row r="306" spans="1:16" x14ac:dyDescent="0.2">
      <c r="A306" s="2"/>
      <c r="B306" s="7" t="s">
        <v>556</v>
      </c>
      <c r="C306" s="8" t="s">
        <v>86</v>
      </c>
      <c r="D306" s="8" t="s">
        <v>555</v>
      </c>
      <c r="E306" s="15">
        <v>0.39</v>
      </c>
      <c r="F306" s="8" t="s">
        <v>63</v>
      </c>
      <c r="G306" s="8" t="s">
        <v>163</v>
      </c>
      <c r="H306" s="8">
        <f>(2058.2*($H$3))</f>
        <v>11011.369999999999</v>
      </c>
      <c r="I306" s="76">
        <f>(4338.2*($H$3))</f>
        <v>23209.37</v>
      </c>
      <c r="J306" s="77"/>
      <c r="K306" s="78"/>
    </row>
    <row r="307" spans="1:16" x14ac:dyDescent="0.2">
      <c r="A307" s="2"/>
      <c r="B307" s="7" t="s">
        <v>557</v>
      </c>
      <c r="C307" s="8" t="s">
        <v>86</v>
      </c>
      <c r="D307" s="8" t="s">
        <v>555</v>
      </c>
      <c r="E307" s="15">
        <v>0.39</v>
      </c>
      <c r="F307" s="8" t="s">
        <v>63</v>
      </c>
      <c r="G307" s="8" t="s">
        <v>125</v>
      </c>
      <c r="H307" s="8">
        <f>(2053.4*($H$3))</f>
        <v>10985.69</v>
      </c>
      <c r="I307" s="76">
        <f>(3953.4*($H$3))</f>
        <v>21150.69</v>
      </c>
      <c r="J307" s="77"/>
      <c r="K307" s="78"/>
    </row>
    <row r="308" spans="1:16" x14ac:dyDescent="0.2">
      <c r="A308" s="2"/>
      <c r="B308" s="7" t="s">
        <v>558</v>
      </c>
      <c r="C308" s="8" t="s">
        <v>86</v>
      </c>
      <c r="D308" s="8" t="s">
        <v>555</v>
      </c>
      <c r="E308" s="15">
        <v>0.39</v>
      </c>
      <c r="F308" s="8" t="s">
        <v>63</v>
      </c>
      <c r="G308" s="8" t="s">
        <v>71</v>
      </c>
      <c r="H308" s="8">
        <f>(2280.14*($H$3))</f>
        <v>12198.748999999998</v>
      </c>
      <c r="I308" s="76">
        <f>(3420.14*($H$3))</f>
        <v>18297.749</v>
      </c>
      <c r="J308" s="77"/>
      <c r="K308" s="78"/>
    </row>
    <row r="309" spans="1:16" ht="23.25" x14ac:dyDescent="0.35">
      <c r="A309" s="2"/>
      <c r="B309" s="69" t="s">
        <v>304</v>
      </c>
      <c r="C309" s="69"/>
      <c r="D309" s="69"/>
      <c r="E309" s="69"/>
      <c r="F309" s="69"/>
      <c r="G309" s="69"/>
      <c r="H309" s="69"/>
      <c r="I309" s="69"/>
      <c r="J309" s="69"/>
      <c r="K309" s="69"/>
      <c r="L309" s="6"/>
    </row>
    <row r="310" spans="1:16" s="16" customFormat="1" x14ac:dyDescent="0.2">
      <c r="A310" s="5" t="s">
        <v>3</v>
      </c>
      <c r="B310" s="9" t="s">
        <v>4</v>
      </c>
      <c r="C310" s="9" t="s">
        <v>5</v>
      </c>
      <c r="D310" s="9" t="s">
        <v>6</v>
      </c>
      <c r="E310" s="9" t="s">
        <v>7</v>
      </c>
      <c r="F310" s="9" t="s">
        <v>8</v>
      </c>
      <c r="G310" s="9" t="s">
        <v>9</v>
      </c>
      <c r="H310" s="5" t="s">
        <v>345</v>
      </c>
      <c r="I310" s="9" t="s">
        <v>11</v>
      </c>
      <c r="J310" s="9" t="s">
        <v>12</v>
      </c>
      <c r="K310" s="9" t="s">
        <v>13</v>
      </c>
      <c r="L310"/>
      <c r="M310"/>
      <c r="N310"/>
      <c r="O310"/>
      <c r="P310"/>
    </row>
    <row r="311" spans="1:16" x14ac:dyDescent="0.2">
      <c r="A311" s="2"/>
      <c r="B311" s="7" t="s">
        <v>156</v>
      </c>
      <c r="C311" s="8" t="s">
        <v>157</v>
      </c>
      <c r="D311" s="8" t="s">
        <v>158</v>
      </c>
      <c r="E311" s="8" t="s">
        <v>159</v>
      </c>
      <c r="F311" s="8" t="s">
        <v>81</v>
      </c>
      <c r="G311" s="8" t="s">
        <v>64</v>
      </c>
      <c r="H311" s="8">
        <f>(4711.72*($H$3))</f>
        <v>25207.702000000001</v>
      </c>
      <c r="I311" s="8">
        <f>(5333.94*($H$3))</f>
        <v>28536.578999999994</v>
      </c>
      <c r="J311" s="8">
        <f>(5467.27*($H$3))</f>
        <v>29249.894500000002</v>
      </c>
      <c r="K311" s="8">
        <f>(5656.16*($H$3))</f>
        <v>30260.455999999998</v>
      </c>
    </row>
    <row r="312" spans="1:16" x14ac:dyDescent="0.2">
      <c r="A312" s="2"/>
      <c r="B312" s="7" t="s">
        <v>160</v>
      </c>
      <c r="C312" s="8" t="s">
        <v>78</v>
      </c>
      <c r="D312" s="8" t="s">
        <v>158</v>
      </c>
      <c r="E312" s="8" t="s">
        <v>159</v>
      </c>
      <c r="F312" s="8" t="s">
        <v>81</v>
      </c>
      <c r="G312" s="8" t="s">
        <v>82</v>
      </c>
      <c r="H312" s="8">
        <f>(4841.36*($H$3))</f>
        <v>25901.275999999998</v>
      </c>
      <c r="I312" s="8">
        <f>(5525.81*($H$3))</f>
        <v>29563.083500000001</v>
      </c>
      <c r="J312" s="8">
        <f>(5672.47*($H$3))</f>
        <v>30347.714499999998</v>
      </c>
      <c r="K312" s="8">
        <f>(5880.25*($H$3))</f>
        <v>31459.337499999998</v>
      </c>
    </row>
    <row r="313" spans="1:16" x14ac:dyDescent="0.2">
      <c r="A313" s="2"/>
      <c r="B313" s="7" t="s">
        <v>161</v>
      </c>
      <c r="C313" s="8" t="s">
        <v>162</v>
      </c>
      <c r="D313" s="8" t="s">
        <v>158</v>
      </c>
      <c r="E313" s="8" t="s">
        <v>159</v>
      </c>
      <c r="F313" s="8" t="s">
        <v>81</v>
      </c>
      <c r="G313" s="8" t="s">
        <v>163</v>
      </c>
      <c r="H313" s="8">
        <f>(4965.54*($H$3))</f>
        <v>26565.638999999999</v>
      </c>
      <c r="I313" s="8">
        <f>(5712.21*($H$3))</f>
        <v>30560.323499999999</v>
      </c>
      <c r="J313" s="8">
        <f>(5872.21*($H$3))</f>
        <v>31416.323499999999</v>
      </c>
      <c r="K313" s="8">
        <f>(6098.87*($H$3))</f>
        <v>32628.954499999996</v>
      </c>
    </row>
    <row r="314" spans="1:16" x14ac:dyDescent="0.2">
      <c r="A314" s="2"/>
      <c r="B314" s="7" t="s">
        <v>164</v>
      </c>
      <c r="C314" s="8" t="s">
        <v>165</v>
      </c>
      <c r="D314" s="8" t="s">
        <v>158</v>
      </c>
      <c r="E314" s="8" t="s">
        <v>159</v>
      </c>
      <c r="F314" s="8" t="s">
        <v>63</v>
      </c>
      <c r="G314" s="8" t="s">
        <v>82</v>
      </c>
      <c r="H314" s="8">
        <f>(4501.65*($H$3))</f>
        <v>24083.827499999996</v>
      </c>
      <c r="I314" s="8">
        <f>(5123.87*($H$3))</f>
        <v>27412.704499999996</v>
      </c>
      <c r="J314" s="8">
        <f>(5257.21*($H$3))</f>
        <v>28126.073499999999</v>
      </c>
      <c r="K314" s="8">
        <f>(5446.1*($H$3))</f>
        <v>29136.634999999998</v>
      </c>
    </row>
    <row r="315" spans="1:16" x14ac:dyDescent="0.2">
      <c r="A315" s="2"/>
      <c r="B315" s="7" t="s">
        <v>168</v>
      </c>
      <c r="C315" s="8" t="s">
        <v>165</v>
      </c>
      <c r="D315" s="8" t="s">
        <v>158</v>
      </c>
      <c r="E315" s="8" t="s">
        <v>86</v>
      </c>
      <c r="F315" s="8" t="s">
        <v>63</v>
      </c>
      <c r="G315" s="8" t="s">
        <v>52</v>
      </c>
      <c r="H315" s="8">
        <f>(4327.39*($H$3))</f>
        <v>23151.536500000002</v>
      </c>
      <c r="I315" s="8">
        <f>(4638.5*($H$3))</f>
        <v>24815.974999999999</v>
      </c>
      <c r="J315" s="8">
        <f>(4705.16*($H$3))</f>
        <v>25172.605999999996</v>
      </c>
      <c r="K315" s="8">
        <f>(4799.61*($H$3))</f>
        <v>25677.913499999995</v>
      </c>
    </row>
    <row r="316" spans="1:16" x14ac:dyDescent="0.2">
      <c r="A316" s="5" t="s">
        <v>3</v>
      </c>
      <c r="B316" s="7" t="s">
        <v>169</v>
      </c>
      <c r="C316" s="8" t="s">
        <v>170</v>
      </c>
      <c r="D316" s="8" t="s">
        <v>158</v>
      </c>
      <c r="E316" s="8" t="s">
        <v>159</v>
      </c>
      <c r="F316" s="8" t="s">
        <v>63</v>
      </c>
      <c r="G316" s="8" t="s">
        <v>125</v>
      </c>
      <c r="H316" s="8">
        <f>(3978.23*($H$3))</f>
        <v>21283.530499999997</v>
      </c>
      <c r="I316" s="8">
        <f>(4538.23*($H$3))</f>
        <v>24279.530499999997</v>
      </c>
      <c r="J316" s="8">
        <f>(4658.23*($H$3))</f>
        <v>24921.530499999997</v>
      </c>
      <c r="K316" s="8">
        <f>(4828.23*($H$3))</f>
        <v>25831.030499999997</v>
      </c>
      <c r="L316" s="16"/>
      <c r="M316" s="16"/>
      <c r="N316" s="16"/>
      <c r="O316" s="16"/>
      <c r="P316" s="16"/>
    </row>
    <row r="317" spans="1:16" x14ac:dyDescent="0.2">
      <c r="A317" s="2"/>
      <c r="B317" s="7" t="s">
        <v>171</v>
      </c>
      <c r="C317" s="8" t="s">
        <v>167</v>
      </c>
      <c r="D317" s="8" t="s">
        <v>158</v>
      </c>
      <c r="E317" s="8" t="s">
        <v>159</v>
      </c>
      <c r="F317" s="8" t="s">
        <v>63</v>
      </c>
      <c r="G317" s="8" t="s">
        <v>125</v>
      </c>
      <c r="H317" s="8">
        <f>(4072.21*($H$3))</f>
        <v>21786.323499999999</v>
      </c>
      <c r="I317" s="8">
        <f>(4632.21*($H$3))</f>
        <v>24782.323499999999</v>
      </c>
      <c r="J317" s="8">
        <f>(4752.21*($H$3))</f>
        <v>25424.323499999999</v>
      </c>
      <c r="K317" s="8">
        <f>(4922.21*($H$3))</f>
        <v>26333.823499999999</v>
      </c>
    </row>
    <row r="318" spans="1:16" x14ac:dyDescent="0.2">
      <c r="A318" s="2"/>
      <c r="B318" s="7" t="s">
        <v>172</v>
      </c>
      <c r="C318" s="8" t="s">
        <v>173</v>
      </c>
      <c r="D318" s="8" t="s">
        <v>158</v>
      </c>
      <c r="E318" s="8" t="s">
        <v>159</v>
      </c>
      <c r="F318" s="8" t="s">
        <v>81</v>
      </c>
      <c r="G318" s="8" t="s">
        <v>82</v>
      </c>
      <c r="H318" s="8">
        <f>(4346.9*($H$3))</f>
        <v>23255.914999999997</v>
      </c>
      <c r="I318" s="8">
        <f>(4969.13*($H$3))</f>
        <v>26584.845499999999</v>
      </c>
      <c r="J318" s="8">
        <f>(5102.46*($H$3))</f>
        <v>27298.161</v>
      </c>
      <c r="K318" s="8">
        <f>(5291.35*($H$3))</f>
        <v>28308.7225</v>
      </c>
    </row>
    <row r="319" spans="1:16" x14ac:dyDescent="0.2">
      <c r="A319" s="2"/>
      <c r="B319" s="7" t="s">
        <v>166</v>
      </c>
      <c r="C319" s="8" t="s">
        <v>167</v>
      </c>
      <c r="D319" s="8" t="s">
        <v>158</v>
      </c>
      <c r="E319" s="8" t="s">
        <v>86</v>
      </c>
      <c r="F319" s="8" t="s">
        <v>63</v>
      </c>
      <c r="G319" s="8" t="s">
        <v>63</v>
      </c>
      <c r="H319" s="8">
        <f>(3943.16*($H$3))</f>
        <v>21095.905999999999</v>
      </c>
      <c r="I319" s="8">
        <f t="shared" ref="I319:K319" si="0">(3943.16*($H$3))</f>
        <v>21095.905999999999</v>
      </c>
      <c r="J319" s="8">
        <f t="shared" si="0"/>
        <v>21095.905999999999</v>
      </c>
      <c r="K319" s="8">
        <f t="shared" si="0"/>
        <v>21095.905999999999</v>
      </c>
    </row>
    <row r="320" spans="1:16" ht="23.25" x14ac:dyDescent="0.35">
      <c r="A320" s="2"/>
      <c r="B320" s="69" t="s">
        <v>639</v>
      </c>
      <c r="C320" s="69"/>
      <c r="D320" s="69"/>
      <c r="E320" s="69"/>
      <c r="F320" s="69"/>
      <c r="G320" s="69"/>
      <c r="H320" s="69"/>
      <c r="I320" s="69"/>
      <c r="J320" s="69"/>
      <c r="K320" s="69"/>
    </row>
    <row r="321" spans="1:12" x14ac:dyDescent="0.2">
      <c r="A321" s="2"/>
      <c r="B321" s="9" t="s">
        <v>4</v>
      </c>
      <c r="C321" s="9" t="s">
        <v>5</v>
      </c>
      <c r="D321" s="9" t="s">
        <v>6</v>
      </c>
      <c r="E321" s="9" t="s">
        <v>7</v>
      </c>
      <c r="F321" s="9" t="s">
        <v>8</v>
      </c>
      <c r="G321" s="9" t="s">
        <v>9</v>
      </c>
      <c r="H321" s="9" t="s">
        <v>346</v>
      </c>
      <c r="I321" s="9" t="s">
        <v>14</v>
      </c>
      <c r="J321" s="9" t="s">
        <v>15</v>
      </c>
      <c r="K321" s="9" t="s">
        <v>16</v>
      </c>
    </row>
    <row r="322" spans="1:12" x14ac:dyDescent="0.2">
      <c r="A322" s="2"/>
      <c r="B322" s="7" t="s">
        <v>174</v>
      </c>
      <c r="C322" s="8" t="s">
        <v>175</v>
      </c>
      <c r="D322" s="8" t="s">
        <v>176</v>
      </c>
      <c r="E322" s="8" t="s">
        <v>177</v>
      </c>
      <c r="F322" s="8" t="s">
        <v>63</v>
      </c>
      <c r="G322" s="8" t="s">
        <v>38</v>
      </c>
      <c r="H322" s="8">
        <f>(12763*($H$3))</f>
        <v>68282.049999999988</v>
      </c>
      <c r="I322" s="8">
        <f>(19940.78*($H$3))</f>
        <v>106683.17299999998</v>
      </c>
      <c r="J322" s="8">
        <f>(19940.78*($H$3))</f>
        <v>106683.17299999998</v>
      </c>
      <c r="K322" s="8">
        <f>(24927.44*($H$3))</f>
        <v>133361.80399999997</v>
      </c>
    </row>
    <row r="323" spans="1:12" x14ac:dyDescent="0.2">
      <c r="A323" s="2"/>
      <c r="B323" s="82" t="s">
        <v>348</v>
      </c>
      <c r="C323" s="82"/>
      <c r="D323" s="82"/>
      <c r="E323" s="82"/>
      <c r="F323" s="82"/>
      <c r="G323" s="82"/>
      <c r="H323" s="82"/>
      <c r="I323" s="83">
        <f>(1500*($H$3))</f>
        <v>8024.9999999999991</v>
      </c>
      <c r="J323" s="83"/>
      <c r="K323" s="83"/>
    </row>
    <row r="324" spans="1:12" ht="23.25" x14ac:dyDescent="0.35">
      <c r="A324" s="2"/>
      <c r="B324" s="70" t="s">
        <v>637</v>
      </c>
      <c r="C324" s="71"/>
      <c r="D324" s="71"/>
      <c r="E324" s="71"/>
      <c r="F324" s="71"/>
      <c r="G324" s="71"/>
      <c r="H324" s="71"/>
      <c r="I324" s="71"/>
      <c r="J324" s="71"/>
      <c r="K324" s="72"/>
    </row>
    <row r="325" spans="1:12" x14ac:dyDescent="0.2">
      <c r="A325" s="2"/>
      <c r="B325" s="5" t="s">
        <v>4</v>
      </c>
      <c r="C325" s="5" t="s">
        <v>5</v>
      </c>
      <c r="D325" s="5" t="s">
        <v>6</v>
      </c>
      <c r="E325" s="5" t="s">
        <v>7</v>
      </c>
      <c r="F325" s="5" t="s">
        <v>8</v>
      </c>
      <c r="G325" s="5" t="s">
        <v>9</v>
      </c>
      <c r="H325" s="5" t="s">
        <v>10</v>
      </c>
      <c r="I325" s="5" t="s">
        <v>361</v>
      </c>
      <c r="J325" s="5" t="s">
        <v>12</v>
      </c>
      <c r="K325" s="5" t="s">
        <v>13</v>
      </c>
    </row>
    <row r="326" spans="1:12" x14ac:dyDescent="0.2">
      <c r="A326" s="2"/>
      <c r="B326" s="2" t="s">
        <v>638</v>
      </c>
      <c r="C326" s="24" t="s">
        <v>175</v>
      </c>
      <c r="D326" s="24" t="s">
        <v>176</v>
      </c>
      <c r="E326" s="24" t="s">
        <v>177</v>
      </c>
      <c r="F326" s="24" t="s">
        <v>63</v>
      </c>
      <c r="G326" s="24" t="s">
        <v>31</v>
      </c>
      <c r="H326" s="8">
        <f>(10369.98*($H$3))</f>
        <v>55479.392999999996</v>
      </c>
      <c r="I326" s="8">
        <f>(12423.31*($H$3))</f>
        <v>66464.708499999993</v>
      </c>
      <c r="J326" s="8">
        <f>(12796.64*($H$3))</f>
        <v>68462.02399999999</v>
      </c>
      <c r="K326" s="8">
        <f>(13325.53*($H$3))</f>
        <v>71291.585500000001</v>
      </c>
    </row>
    <row r="327" spans="1:12" s="16" customFormat="1" ht="23.25" x14ac:dyDescent="0.35">
      <c r="A327" s="5" t="s">
        <v>3</v>
      </c>
      <c r="B327" s="66" t="s">
        <v>559</v>
      </c>
      <c r="C327" s="67"/>
      <c r="D327" s="67"/>
      <c r="E327" s="67"/>
      <c r="F327" s="67"/>
      <c r="G327" s="67"/>
      <c r="H327" s="67"/>
      <c r="I327" s="67"/>
      <c r="J327" s="67"/>
      <c r="K327" s="68"/>
    </row>
    <row r="328" spans="1:12" x14ac:dyDescent="0.2">
      <c r="A328" s="2"/>
      <c r="B328" s="9" t="s">
        <v>4</v>
      </c>
      <c r="C328" s="9" t="s">
        <v>5</v>
      </c>
      <c r="D328" s="9" t="s">
        <v>6</v>
      </c>
      <c r="E328" s="9" t="s">
        <v>7</v>
      </c>
      <c r="F328" s="9" t="s">
        <v>8</v>
      </c>
      <c r="G328" s="9" t="s">
        <v>9</v>
      </c>
      <c r="H328" s="9" t="s">
        <v>10</v>
      </c>
      <c r="I328" s="9" t="s">
        <v>361</v>
      </c>
      <c r="J328" s="9" t="s">
        <v>12</v>
      </c>
      <c r="K328" s="9" t="s">
        <v>13</v>
      </c>
    </row>
    <row r="329" spans="1:12" x14ac:dyDescent="0.2">
      <c r="A329" s="2"/>
      <c r="B329" s="7" t="s">
        <v>560</v>
      </c>
      <c r="C329" s="8" t="s">
        <v>88</v>
      </c>
      <c r="D329" s="8" t="s">
        <v>394</v>
      </c>
      <c r="E329" s="8" t="s">
        <v>159</v>
      </c>
      <c r="F329" s="8" t="s">
        <v>63</v>
      </c>
      <c r="G329" s="8" t="s">
        <v>82</v>
      </c>
      <c r="H329" s="8">
        <f>(3622.6*($H$3))</f>
        <v>19380.91</v>
      </c>
      <c r="I329" s="8">
        <f>(4282.6*($H$3))</f>
        <v>22911.91</v>
      </c>
      <c r="J329" s="8">
        <f>(4402.6*($H$3))</f>
        <v>23553.91</v>
      </c>
      <c r="K329" s="8">
        <f>(4572.6*($H$3))</f>
        <v>24463.41</v>
      </c>
    </row>
    <row r="330" spans="1:12" x14ac:dyDescent="0.2">
      <c r="B330" s="7" t="s">
        <v>561</v>
      </c>
      <c r="C330" s="8" t="s">
        <v>62</v>
      </c>
      <c r="D330" s="8" t="s">
        <v>562</v>
      </c>
      <c r="E330" s="8" t="s">
        <v>159</v>
      </c>
      <c r="F330" s="8" t="s">
        <v>63</v>
      </c>
      <c r="G330" s="8" t="s">
        <v>563</v>
      </c>
      <c r="H330" s="8">
        <f>(2595.8*($H$3))</f>
        <v>13887.53</v>
      </c>
      <c r="I330" s="8">
        <f>(2962.47*($H$3))</f>
        <v>15849.214499999998</v>
      </c>
      <c r="J330" s="8">
        <f>(3029.13*($H$3))</f>
        <v>16205.845499999999</v>
      </c>
      <c r="K330" s="8">
        <f>(3123.58*($H$3))</f>
        <v>16711.152999999998</v>
      </c>
    </row>
    <row r="331" spans="1:12" ht="23.25" x14ac:dyDescent="0.35">
      <c r="A331" s="23" t="s">
        <v>3</v>
      </c>
      <c r="B331" s="66" t="s">
        <v>564</v>
      </c>
      <c r="C331" s="67"/>
      <c r="D331" s="67"/>
      <c r="E331" s="67"/>
      <c r="F331" s="67"/>
      <c r="G331" s="67"/>
      <c r="H331" s="67"/>
      <c r="I331" s="67"/>
      <c r="J331" s="67"/>
      <c r="K331" s="68"/>
    </row>
    <row r="332" spans="1:12" x14ac:dyDescent="0.2">
      <c r="B332" s="9" t="s">
        <v>4</v>
      </c>
      <c r="C332" s="9" t="s">
        <v>5</v>
      </c>
      <c r="D332" s="9" t="s">
        <v>6</v>
      </c>
      <c r="E332" s="9" t="s">
        <v>7</v>
      </c>
      <c r="F332" s="9" t="s">
        <v>8</v>
      </c>
      <c r="G332" s="9" t="s">
        <v>353</v>
      </c>
      <c r="H332" s="9" t="s">
        <v>565</v>
      </c>
      <c r="I332" s="9" t="s">
        <v>14</v>
      </c>
      <c r="J332" s="9" t="s">
        <v>15</v>
      </c>
      <c r="K332" s="9" t="s">
        <v>16</v>
      </c>
    </row>
    <row r="333" spans="1:12" x14ac:dyDescent="0.2">
      <c r="A333" s="2"/>
      <c r="B333" s="7" t="s">
        <v>564</v>
      </c>
      <c r="C333" s="8" t="s">
        <v>66</v>
      </c>
      <c r="D333" s="8" t="s">
        <v>566</v>
      </c>
      <c r="E333" s="8" t="s">
        <v>89</v>
      </c>
      <c r="F333" s="8" t="s">
        <v>63</v>
      </c>
      <c r="G333" s="8" t="s">
        <v>428</v>
      </c>
      <c r="H333" s="8">
        <f>(3058.42*($H$3))</f>
        <v>16362.546999999999</v>
      </c>
      <c r="I333" s="8">
        <f>(3991.76*($H$3))</f>
        <v>21355.916000000001</v>
      </c>
      <c r="J333" s="8">
        <f>(3991.76*($H$3))</f>
        <v>21355.916000000001</v>
      </c>
      <c r="K333" s="8">
        <f>(4578.42*($H$3))</f>
        <v>24494.546999999999</v>
      </c>
      <c r="L333" s="22"/>
    </row>
    <row r="334" spans="1:12" ht="23.25" x14ac:dyDescent="0.35">
      <c r="A334" s="5" t="s">
        <v>3</v>
      </c>
      <c r="B334" s="66" t="s">
        <v>567</v>
      </c>
      <c r="C334" s="67"/>
      <c r="D334" s="67"/>
      <c r="E334" s="67"/>
      <c r="F334" s="67"/>
      <c r="G334" s="67"/>
      <c r="H334" s="67"/>
      <c r="I334" s="67"/>
      <c r="J334" s="67"/>
      <c r="K334" s="68"/>
    </row>
    <row r="335" spans="1:12" x14ac:dyDescent="0.2">
      <c r="A335" s="2"/>
      <c r="B335" s="9" t="s">
        <v>4</v>
      </c>
      <c r="C335" s="9" t="s">
        <v>5</v>
      </c>
      <c r="D335" s="9" t="s">
        <v>6</v>
      </c>
      <c r="E335" s="9" t="s">
        <v>7</v>
      </c>
      <c r="F335" s="9" t="s">
        <v>8</v>
      </c>
      <c r="G335" s="9" t="s">
        <v>9</v>
      </c>
      <c r="H335" s="9" t="s">
        <v>10</v>
      </c>
      <c r="I335" s="9" t="s">
        <v>361</v>
      </c>
      <c r="J335" s="9" t="s">
        <v>12</v>
      </c>
      <c r="K335" s="9" t="s">
        <v>13</v>
      </c>
    </row>
    <row r="336" spans="1:12" x14ac:dyDescent="0.2">
      <c r="A336" s="2"/>
      <c r="B336" s="41" t="s">
        <v>567</v>
      </c>
      <c r="C336" s="42" t="s">
        <v>66</v>
      </c>
      <c r="D336" s="42" t="s">
        <v>566</v>
      </c>
      <c r="E336" s="42" t="s">
        <v>89</v>
      </c>
      <c r="F336" s="42" t="s">
        <v>63</v>
      </c>
      <c r="G336" s="42" t="s">
        <v>24</v>
      </c>
      <c r="H336" s="42">
        <f>(2919.53*($H$3))</f>
        <v>15619.485500000001</v>
      </c>
      <c r="I336" s="42">
        <f>(3139.53*($H$3))</f>
        <v>16796.485499999999</v>
      </c>
      <c r="J336" s="42">
        <f>(3179.53*($H$3))</f>
        <v>17010.485499999999</v>
      </c>
      <c r="K336" s="42">
        <f>(3236.2*($H$3))</f>
        <v>17313.669999999998</v>
      </c>
    </row>
    <row r="337" spans="1:16" ht="23.25" x14ac:dyDescent="0.35">
      <c r="A337" s="40"/>
      <c r="B337" s="84" t="s">
        <v>305</v>
      </c>
      <c r="C337" s="84"/>
      <c r="D337" s="84"/>
      <c r="E337" s="84"/>
      <c r="F337" s="84"/>
      <c r="G337" s="84"/>
      <c r="H337" s="84"/>
      <c r="I337" s="84"/>
      <c r="J337" s="84"/>
      <c r="K337" s="84"/>
      <c r="L337" s="22"/>
    </row>
    <row r="338" spans="1:16" x14ac:dyDescent="0.2">
      <c r="A338" s="5" t="s">
        <v>3</v>
      </c>
      <c r="B338" s="47" t="s">
        <v>4</v>
      </c>
      <c r="C338" s="47" t="s">
        <v>5</v>
      </c>
      <c r="D338" s="47" t="s">
        <v>6</v>
      </c>
      <c r="E338" s="47" t="s">
        <v>7</v>
      </c>
      <c r="F338" s="47" t="s">
        <v>8</v>
      </c>
      <c r="G338" s="48" t="s">
        <v>310</v>
      </c>
      <c r="H338" s="47" t="s">
        <v>10</v>
      </c>
      <c r="I338" s="47" t="s">
        <v>11</v>
      </c>
      <c r="J338" s="47" t="s">
        <v>12</v>
      </c>
      <c r="K338" s="47" t="s">
        <v>13</v>
      </c>
    </row>
    <row r="339" spans="1:16" x14ac:dyDescent="0.2">
      <c r="A339" s="2"/>
      <c r="B339" s="7" t="s">
        <v>178</v>
      </c>
      <c r="C339" s="8" t="s">
        <v>179</v>
      </c>
      <c r="D339" s="20">
        <v>1.05</v>
      </c>
      <c r="E339" s="8" t="s">
        <v>180</v>
      </c>
      <c r="F339" s="8" t="s">
        <v>181</v>
      </c>
      <c r="G339" s="10" t="s">
        <v>322</v>
      </c>
      <c r="H339" s="10">
        <f>(7656.11*($H$3))</f>
        <v>40960.188499999997</v>
      </c>
      <c r="I339" s="8">
        <f>(8776.11*($H$3))</f>
        <v>46952.188499999997</v>
      </c>
      <c r="J339" s="8">
        <f>(9016.11*($H$3))</f>
        <v>48236.188499999997</v>
      </c>
      <c r="K339" s="8">
        <f>(9356.11*($H$3))</f>
        <v>50055.188499999997</v>
      </c>
    </row>
    <row r="340" spans="1:16" x14ac:dyDescent="0.2">
      <c r="A340" s="2"/>
      <c r="B340" s="7" t="s">
        <v>182</v>
      </c>
      <c r="C340" s="8" t="s">
        <v>179</v>
      </c>
      <c r="D340" s="20">
        <v>1.05</v>
      </c>
      <c r="E340" s="8" t="s">
        <v>180</v>
      </c>
      <c r="F340" s="8" t="s">
        <v>181</v>
      </c>
      <c r="G340" s="13" t="s">
        <v>323</v>
      </c>
      <c r="H340" s="10">
        <f>8530*($H$3)</f>
        <v>45635.5</v>
      </c>
      <c r="I340" s="8">
        <f>(11978.34*($H$3))</f>
        <v>64084.118999999999</v>
      </c>
      <c r="J340" s="8">
        <f>(12111.67*($H$3))</f>
        <v>64797.434499999996</v>
      </c>
      <c r="K340" s="8">
        <f>(12300.56*($H$3))</f>
        <v>65807.995999999999</v>
      </c>
      <c r="L340" s="22"/>
    </row>
    <row r="341" spans="1:16" x14ac:dyDescent="0.2">
      <c r="A341" s="5" t="s">
        <v>3</v>
      </c>
      <c r="B341" s="7" t="s">
        <v>183</v>
      </c>
      <c r="C341" s="8" t="s">
        <v>179</v>
      </c>
      <c r="D341" s="20">
        <v>1.05</v>
      </c>
      <c r="E341" s="8" t="s">
        <v>180</v>
      </c>
      <c r="F341" s="8" t="s">
        <v>181</v>
      </c>
      <c r="G341" s="13" t="s">
        <v>323</v>
      </c>
      <c r="H341" s="10">
        <f>8530*($H$3)</f>
        <v>45635.5</v>
      </c>
      <c r="I341" s="8">
        <f>(14519.69*($H$3))</f>
        <v>77680.341499999995</v>
      </c>
      <c r="J341" s="8">
        <f>(14653.02*($H$3))</f>
        <v>78393.656999999992</v>
      </c>
      <c r="K341" s="8">
        <f>(14841.91*($H$3))</f>
        <v>79404.218499999988</v>
      </c>
    </row>
    <row r="342" spans="1:16" x14ac:dyDescent="0.2">
      <c r="A342" s="2"/>
      <c r="B342" s="7" t="s">
        <v>184</v>
      </c>
      <c r="C342" s="8" t="s">
        <v>185</v>
      </c>
      <c r="D342" s="20">
        <v>1.05</v>
      </c>
      <c r="E342" s="8" t="s">
        <v>180</v>
      </c>
      <c r="F342" s="8" t="s">
        <v>181</v>
      </c>
      <c r="G342" s="10" t="s">
        <v>324</v>
      </c>
      <c r="H342" s="10">
        <f>(8094.07*($H$3))</f>
        <v>43303.274499999992</v>
      </c>
      <c r="I342" s="8">
        <f>(9338.51*($H$3))</f>
        <v>49961.0285</v>
      </c>
      <c r="J342" s="8">
        <f>(9605.18*($H$3))</f>
        <v>51387.712999999996</v>
      </c>
      <c r="K342" s="8">
        <f>(9982.96*($H$3))</f>
        <v>53408.835999999988</v>
      </c>
    </row>
    <row r="343" spans="1:16" x14ac:dyDescent="0.2">
      <c r="A343" s="2"/>
      <c r="B343" s="7" t="s">
        <v>186</v>
      </c>
      <c r="C343" s="8" t="s">
        <v>185</v>
      </c>
      <c r="D343" s="20">
        <v>1.05</v>
      </c>
      <c r="E343" s="8" t="s">
        <v>180</v>
      </c>
      <c r="F343" s="8" t="s">
        <v>181</v>
      </c>
      <c r="G343" s="10" t="s">
        <v>325</v>
      </c>
      <c r="H343" s="10">
        <f>8970*($H$3)</f>
        <v>47989.5</v>
      </c>
      <c r="I343" s="8">
        <f>(12540.74*($H$3))</f>
        <v>67092.958999999988</v>
      </c>
      <c r="J343" s="8">
        <f>(12700.74*($H$3))</f>
        <v>67948.958999999988</v>
      </c>
      <c r="K343" s="8">
        <f>(12927.4*($H$3))</f>
        <v>69161.59</v>
      </c>
    </row>
    <row r="344" spans="1:16" x14ac:dyDescent="0.2">
      <c r="A344" s="5" t="s">
        <v>3</v>
      </c>
      <c r="B344" s="7" t="s">
        <v>187</v>
      </c>
      <c r="C344" s="8" t="s">
        <v>185</v>
      </c>
      <c r="D344" s="20">
        <v>1.05</v>
      </c>
      <c r="E344" s="8" t="s">
        <v>180</v>
      </c>
      <c r="F344" s="8" t="s">
        <v>181</v>
      </c>
      <c r="G344" s="10" t="s">
        <v>325</v>
      </c>
      <c r="H344" s="10">
        <f>8970*($H$3)</f>
        <v>47989.5</v>
      </c>
      <c r="I344" s="8">
        <f>(15083.69*($H$3))</f>
        <v>80697.741500000004</v>
      </c>
      <c r="J344" s="8">
        <f>(15243.69*($H$3))</f>
        <v>81553.741500000004</v>
      </c>
      <c r="K344" s="8">
        <f>(15470.36*($H$3))</f>
        <v>82766.425999999992</v>
      </c>
      <c r="L344" s="16"/>
      <c r="M344" s="16"/>
      <c r="N344" s="16"/>
      <c r="O344" s="16"/>
      <c r="P344" s="16"/>
    </row>
    <row r="345" spans="1:16" x14ac:dyDescent="0.2">
      <c r="A345" s="2"/>
      <c r="B345" s="7" t="s">
        <v>188</v>
      </c>
      <c r="C345" s="8" t="s">
        <v>189</v>
      </c>
      <c r="D345" s="20">
        <v>1.05</v>
      </c>
      <c r="E345" s="8" t="s">
        <v>180</v>
      </c>
      <c r="F345" s="8" t="s">
        <v>181</v>
      </c>
      <c r="G345" s="14" t="s">
        <v>326</v>
      </c>
      <c r="H345" s="10">
        <f>(9790.14*($H$3))</f>
        <v>52377.248999999996</v>
      </c>
      <c r="I345" s="8">
        <f>(11283.47*($H$3))</f>
        <v>60366.564499999993</v>
      </c>
      <c r="J345" s="8">
        <f>(11603.47*($H$3))</f>
        <v>62078.564499999993</v>
      </c>
      <c r="K345" s="8">
        <f>(12056.8*($H$3))</f>
        <v>64503.87999999999</v>
      </c>
    </row>
    <row r="346" spans="1:16" x14ac:dyDescent="0.2">
      <c r="A346" s="2"/>
      <c r="B346" s="7" t="s">
        <v>190</v>
      </c>
      <c r="C346" s="8" t="s">
        <v>189</v>
      </c>
      <c r="D346" s="20">
        <v>1.05</v>
      </c>
      <c r="E346" s="8" t="s">
        <v>180</v>
      </c>
      <c r="F346" s="8" t="s">
        <v>181</v>
      </c>
      <c r="G346" s="10" t="s">
        <v>327</v>
      </c>
      <c r="H346" s="10">
        <f>10700*($H$3)</f>
        <v>57244.999999999993</v>
      </c>
      <c r="I346" s="8">
        <f>(14595.91*($H$3))</f>
        <v>78088.118499999997</v>
      </c>
      <c r="J346" s="8">
        <f>(14825.25*($H$3))</f>
        <v>79315.087499999994</v>
      </c>
      <c r="K346" s="8">
        <f>(15150.14*($H$3))</f>
        <v>81053.248999999996</v>
      </c>
    </row>
    <row r="347" spans="1:16" x14ac:dyDescent="0.2">
      <c r="A347" s="2"/>
      <c r="B347" s="7" t="s">
        <v>191</v>
      </c>
      <c r="C347" s="8" t="s">
        <v>189</v>
      </c>
      <c r="D347" s="20">
        <v>1.05</v>
      </c>
      <c r="E347" s="8" t="s">
        <v>180</v>
      </c>
      <c r="F347" s="8" t="s">
        <v>181</v>
      </c>
      <c r="G347" s="10" t="s">
        <v>327</v>
      </c>
      <c r="H347" s="10">
        <f>10700*($H$3)</f>
        <v>57244.999999999993</v>
      </c>
      <c r="I347" s="8">
        <f>(17129.25*($H$3))</f>
        <v>91641.487499999988</v>
      </c>
      <c r="J347" s="8">
        <f>(17358.58*($H$3))</f>
        <v>92868.403000000006</v>
      </c>
      <c r="K347" s="8">
        <f>(17683.47*($H$3))</f>
        <v>94606.564499999993</v>
      </c>
    </row>
    <row r="348" spans="1:16" x14ac:dyDescent="0.2">
      <c r="A348" s="2"/>
      <c r="B348" s="7" t="s">
        <v>192</v>
      </c>
      <c r="C348" s="8" t="s">
        <v>179</v>
      </c>
      <c r="D348" s="20">
        <v>1.05</v>
      </c>
      <c r="E348" s="8" t="s">
        <v>180</v>
      </c>
      <c r="F348" s="8" t="s">
        <v>181</v>
      </c>
      <c r="G348" s="10" t="s">
        <v>322</v>
      </c>
      <c r="H348" s="10">
        <f>(8360.56*($H$3))</f>
        <v>44728.995999999992</v>
      </c>
      <c r="I348" s="8">
        <f>(9754.34*($H$3))</f>
        <v>52185.718999999997</v>
      </c>
      <c r="J348" s="8">
        <f>(10053*($H$3))</f>
        <v>53783.549999999996</v>
      </c>
      <c r="K348" s="8">
        <f>(10476.11*($H$3))</f>
        <v>56047.188499999997</v>
      </c>
    </row>
    <row r="349" spans="1:16" x14ac:dyDescent="0.2">
      <c r="A349" s="2"/>
      <c r="B349" s="7" t="s">
        <v>193</v>
      </c>
      <c r="C349" s="8" t="s">
        <v>179</v>
      </c>
      <c r="D349" s="20">
        <v>1.05</v>
      </c>
      <c r="E349" s="8" t="s">
        <v>180</v>
      </c>
      <c r="F349" s="8" t="s">
        <v>181</v>
      </c>
      <c r="G349" s="10" t="s">
        <v>328</v>
      </c>
      <c r="H349" s="10">
        <f>9455*($H$3)</f>
        <v>50584.25</v>
      </c>
      <c r="I349" s="8">
        <f>(13855.67*($H$3))</f>
        <v>74127.834499999997</v>
      </c>
      <c r="J349" s="8">
        <f>(13989*($H$3))</f>
        <v>74841.149999999994</v>
      </c>
      <c r="K349" s="8">
        <f>(14177.89*($H$3))</f>
        <v>75851.71149999999</v>
      </c>
    </row>
    <row r="350" spans="1:16" x14ac:dyDescent="0.2">
      <c r="A350" s="2"/>
      <c r="B350" s="7" t="s">
        <v>194</v>
      </c>
      <c r="C350" s="8" t="s">
        <v>179</v>
      </c>
      <c r="D350" s="20">
        <v>1.05</v>
      </c>
      <c r="E350" s="8" t="s">
        <v>180</v>
      </c>
      <c r="F350" s="8" t="s">
        <v>181</v>
      </c>
      <c r="G350" s="10" t="s">
        <v>328</v>
      </c>
      <c r="H350" s="10">
        <f>9455*($H$3)</f>
        <v>50584.25</v>
      </c>
      <c r="I350" s="8">
        <f>(17240.2*($H$3))</f>
        <v>92235.069999999992</v>
      </c>
      <c r="J350" s="8">
        <f>(17373.54*($H$3))</f>
        <v>92948.438999999998</v>
      </c>
      <c r="K350" s="8">
        <f>(17562.42*($H$3))</f>
        <v>93958.946999999986</v>
      </c>
    </row>
    <row r="351" spans="1:16" x14ac:dyDescent="0.2">
      <c r="A351" s="2"/>
      <c r="B351" s="7" t="s">
        <v>195</v>
      </c>
      <c r="C351" s="8" t="s">
        <v>185</v>
      </c>
      <c r="D351" s="20">
        <v>1.05</v>
      </c>
      <c r="E351" s="8" t="s">
        <v>180</v>
      </c>
      <c r="F351" s="8" t="s">
        <v>181</v>
      </c>
      <c r="G351" s="14" t="s">
        <v>329</v>
      </c>
      <c r="H351" s="10">
        <f>(8798.51*($H$3))</f>
        <v>47072.0285</v>
      </c>
      <c r="I351" s="8">
        <f>(10316.74*($H$3))</f>
        <v>55194.558999999994</v>
      </c>
      <c r="J351" s="8">
        <f>(10642.07*($H$3))</f>
        <v>56935.074499999995</v>
      </c>
      <c r="K351" s="8">
        <f>(11102.96*($H$3))</f>
        <v>59400.835999999988</v>
      </c>
    </row>
    <row r="352" spans="1:16" x14ac:dyDescent="0.2">
      <c r="A352" s="2"/>
      <c r="B352" s="7" t="s">
        <v>196</v>
      </c>
      <c r="C352" s="8" t="s">
        <v>185</v>
      </c>
      <c r="D352" s="20">
        <v>1.05</v>
      </c>
      <c r="E352" s="8" t="s">
        <v>180</v>
      </c>
      <c r="F352" s="8" t="s">
        <v>181</v>
      </c>
      <c r="G352" s="10" t="s">
        <v>330</v>
      </c>
      <c r="H352" s="10">
        <f>9900*($H$3)</f>
        <v>52965</v>
      </c>
      <c r="I352" s="8">
        <f>(14420*($H$3))</f>
        <v>77147</v>
      </c>
      <c r="J352" s="8">
        <f>(14580*($H$3))</f>
        <v>78003</v>
      </c>
      <c r="K352" s="8">
        <f>(14805*($H$3))</f>
        <v>79206.75</v>
      </c>
    </row>
    <row r="353" spans="1:11" x14ac:dyDescent="0.2">
      <c r="A353" s="2"/>
      <c r="B353" s="7" t="s">
        <v>197</v>
      </c>
      <c r="C353" s="8" t="s">
        <v>185</v>
      </c>
      <c r="D353" s="20">
        <v>1.05</v>
      </c>
      <c r="E353" s="8" t="s">
        <v>180</v>
      </c>
      <c r="F353" s="8" t="s">
        <v>181</v>
      </c>
      <c r="G353" s="10" t="s">
        <v>330</v>
      </c>
      <c r="H353" s="10">
        <f>9900*($H$3)</f>
        <v>52965</v>
      </c>
      <c r="I353" s="8">
        <f>(17802.6*($H$3))</f>
        <v>95243.909999999989</v>
      </c>
      <c r="J353" s="8">
        <f>(17962.6*($H$3))</f>
        <v>96099.909999999989</v>
      </c>
      <c r="K353" s="8">
        <f>(18189.27*($H$3))</f>
        <v>97312.594499999992</v>
      </c>
    </row>
    <row r="354" spans="1:11" x14ac:dyDescent="0.2">
      <c r="A354" s="2"/>
      <c r="B354" s="7" t="s">
        <v>198</v>
      </c>
      <c r="C354" s="8" t="s">
        <v>189</v>
      </c>
      <c r="D354" s="20">
        <v>1.05</v>
      </c>
      <c r="E354" s="8" t="s">
        <v>180</v>
      </c>
      <c r="F354" s="8" t="s">
        <v>181</v>
      </c>
      <c r="G354" s="14" t="s">
        <v>331</v>
      </c>
      <c r="H354" s="10">
        <f>(10410.14*($H$3))</f>
        <v>55694.248999999996</v>
      </c>
      <c r="I354" s="8">
        <f>(12575.47*($H$3))</f>
        <v>67278.76449999999</v>
      </c>
      <c r="J354" s="8">
        <f>(13039.47*($H$3))</f>
        <v>69761.164499999999</v>
      </c>
      <c r="K354" s="8">
        <f>(13696.8*($H$3))</f>
        <v>73277.87999999999</v>
      </c>
    </row>
    <row r="355" spans="1:11" x14ac:dyDescent="0.2">
      <c r="A355" s="2"/>
      <c r="B355" s="7" t="s">
        <v>199</v>
      </c>
      <c r="C355" s="8" t="s">
        <v>189</v>
      </c>
      <c r="D355" s="20">
        <v>1.05</v>
      </c>
      <c r="E355" s="8" t="s">
        <v>180</v>
      </c>
      <c r="F355" s="8" t="s">
        <v>181</v>
      </c>
      <c r="G355" s="10" t="s">
        <v>332</v>
      </c>
      <c r="H355" s="10">
        <f>11300*($H$3)</f>
        <v>60454.999999999993</v>
      </c>
      <c r="I355" s="8">
        <f>(16129.25*($H$3))</f>
        <v>86291.487499999988</v>
      </c>
      <c r="J355" s="8">
        <f>(16358.58*($H$3))</f>
        <v>87518.402999999991</v>
      </c>
      <c r="K355" s="8">
        <f>(16683.47*($H$3))</f>
        <v>89256.564499999993</v>
      </c>
    </row>
    <row r="356" spans="1:11" x14ac:dyDescent="0.2">
      <c r="A356" s="2"/>
      <c r="B356" s="7" t="s">
        <v>200</v>
      </c>
      <c r="C356" s="8" t="s">
        <v>189</v>
      </c>
      <c r="D356" s="20">
        <v>1.05</v>
      </c>
      <c r="E356" s="8" t="s">
        <v>180</v>
      </c>
      <c r="F356" s="8" t="s">
        <v>181</v>
      </c>
      <c r="G356" s="10" t="s">
        <v>332</v>
      </c>
      <c r="H356" s="10">
        <f>11300*($H$3)</f>
        <v>60454.999999999993</v>
      </c>
      <c r="I356" s="8">
        <f>(19507.02*($H$3))</f>
        <v>104362.557</v>
      </c>
      <c r="J356" s="8">
        <f>(19736.36*($H$3))</f>
        <v>105589.526</v>
      </c>
      <c r="K356" s="8">
        <f>(20061.25*($H$3))</f>
        <v>107327.6875</v>
      </c>
    </row>
    <row r="357" spans="1:11" x14ac:dyDescent="0.2">
      <c r="A357" s="2"/>
      <c r="B357" s="7" t="s">
        <v>201</v>
      </c>
      <c r="C357" s="8" t="s">
        <v>179</v>
      </c>
      <c r="D357" s="20">
        <v>1.05</v>
      </c>
      <c r="E357" s="8" t="s">
        <v>180</v>
      </c>
      <c r="F357" s="8" t="s">
        <v>181</v>
      </c>
      <c r="G357" s="14" t="s">
        <v>322</v>
      </c>
      <c r="H357" s="10">
        <f>(8376.11*($H$3))</f>
        <v>44812.188499999997</v>
      </c>
      <c r="I357" s="8">
        <f>(10043.67*($H$3))</f>
        <v>53733.6345</v>
      </c>
      <c r="J357" s="8">
        <f>(10401*($H$3))</f>
        <v>55645.35</v>
      </c>
      <c r="K357" s="8">
        <f>(10907.22*($H$3))</f>
        <v>58353.626999999993</v>
      </c>
    </row>
    <row r="358" spans="1:11" x14ac:dyDescent="0.2">
      <c r="A358" s="2"/>
      <c r="B358" s="7" t="s">
        <v>202</v>
      </c>
      <c r="C358" s="8" t="s">
        <v>179</v>
      </c>
      <c r="D358" s="20">
        <v>1.05</v>
      </c>
      <c r="E358" s="8" t="s">
        <v>180</v>
      </c>
      <c r="F358" s="8" t="s">
        <v>181</v>
      </c>
      <c r="G358" s="10" t="s">
        <v>333</v>
      </c>
      <c r="H358" s="10">
        <f>9455*($H$3)</f>
        <v>50584.25</v>
      </c>
      <c r="I358" s="8">
        <f>(13689.45*($H$3))</f>
        <v>73238.557499999995</v>
      </c>
      <c r="J358" s="8">
        <f>(13822.78*($H$3))</f>
        <v>73951.872999999992</v>
      </c>
      <c r="K358" s="8">
        <f>(14011.67*($H$3))</f>
        <v>74962.434499999988</v>
      </c>
    </row>
    <row r="359" spans="1:11" x14ac:dyDescent="0.2">
      <c r="A359" s="2"/>
      <c r="B359" s="7" t="s">
        <v>203</v>
      </c>
      <c r="C359" s="8" t="s">
        <v>179</v>
      </c>
      <c r="D359" s="20">
        <v>1.05</v>
      </c>
      <c r="E359" s="8" t="s">
        <v>180</v>
      </c>
      <c r="F359" s="8" t="s">
        <v>181</v>
      </c>
      <c r="G359" s="10" t="s">
        <v>333</v>
      </c>
      <c r="H359" s="10">
        <f>9455*($H$3)</f>
        <v>50584.25</v>
      </c>
      <c r="I359" s="8">
        <f>(17075.25*($H$3))</f>
        <v>91352.587499999994</v>
      </c>
      <c r="J359" s="8">
        <f>(17208.58*($H$3))</f>
        <v>92065.903000000006</v>
      </c>
      <c r="K359" s="8">
        <f>(17397.47*($H$3))</f>
        <v>93076.464500000002</v>
      </c>
    </row>
    <row r="360" spans="1:11" x14ac:dyDescent="0.2">
      <c r="A360" s="2"/>
      <c r="B360" s="7" t="s">
        <v>204</v>
      </c>
      <c r="C360" s="8" t="s">
        <v>185</v>
      </c>
      <c r="D360" s="20">
        <v>1.05</v>
      </c>
      <c r="E360" s="8" t="s">
        <v>180</v>
      </c>
      <c r="F360" s="8" t="s">
        <v>181</v>
      </c>
      <c r="G360" s="14" t="s">
        <v>334</v>
      </c>
      <c r="H360" s="10">
        <f>(8642.96*($H$3))</f>
        <v>46239.835999999996</v>
      </c>
      <c r="I360" s="8">
        <f>(10161.18*($H$3))</f>
        <v>54362.312999999995</v>
      </c>
      <c r="J360" s="8">
        <f>(10486.51*($H$3))</f>
        <v>56102.828499999996</v>
      </c>
      <c r="K360" s="8">
        <f>(10947.4*($H$3))</f>
        <v>58568.59</v>
      </c>
    </row>
    <row r="361" spans="1:11" x14ac:dyDescent="0.2">
      <c r="A361" s="2"/>
      <c r="B361" s="7" t="s">
        <v>205</v>
      </c>
      <c r="C361" s="8" t="s">
        <v>185</v>
      </c>
      <c r="D361" s="20">
        <v>1.05</v>
      </c>
      <c r="E361" s="8" t="s">
        <v>180</v>
      </c>
      <c r="F361" s="8" t="s">
        <v>181</v>
      </c>
      <c r="G361" s="10" t="s">
        <v>335</v>
      </c>
      <c r="H361" s="10">
        <f>9900*($H$3)</f>
        <v>52965</v>
      </c>
      <c r="I361" s="8">
        <f>(14251.85*($H$3))</f>
        <v>76247.397499999992</v>
      </c>
      <c r="J361" s="8">
        <f>(14411.85*($H$3))</f>
        <v>77103.397499999992</v>
      </c>
      <c r="K361" s="8">
        <f>(14638.51*($H$3))</f>
        <v>78316.0285</v>
      </c>
    </row>
    <row r="362" spans="1:11" x14ac:dyDescent="0.2">
      <c r="A362" s="2"/>
      <c r="B362" s="7" t="s">
        <v>206</v>
      </c>
      <c r="C362" s="8" t="s">
        <v>185</v>
      </c>
      <c r="D362" s="20">
        <v>1.05</v>
      </c>
      <c r="E362" s="8" t="s">
        <v>180</v>
      </c>
      <c r="F362" s="8" t="s">
        <v>181</v>
      </c>
      <c r="G362" s="10" t="s">
        <v>335</v>
      </c>
      <c r="H362" s="10">
        <f>9900*($H$3)</f>
        <v>52965</v>
      </c>
      <c r="I362" s="8">
        <f>(17629.62*($H$3))</f>
        <v>94318.46699999999</v>
      </c>
      <c r="J362" s="8">
        <f>(17789.62*($H$3))</f>
        <v>95174.46699999999</v>
      </c>
      <c r="K362" s="8">
        <f>(18016.29*($H$3))</f>
        <v>96387.151499999993</v>
      </c>
    </row>
    <row r="363" spans="1:11" x14ac:dyDescent="0.2">
      <c r="A363" s="2"/>
      <c r="B363" s="7" t="s">
        <v>207</v>
      </c>
      <c r="C363" s="8" t="s">
        <v>189</v>
      </c>
      <c r="D363" s="20">
        <v>1.05</v>
      </c>
      <c r="E363" s="8" t="s">
        <v>180</v>
      </c>
      <c r="F363" s="8" t="s">
        <v>181</v>
      </c>
      <c r="G363" s="14" t="s">
        <v>331</v>
      </c>
      <c r="H363" s="10">
        <f>(10207.91*($H$3))</f>
        <v>54612.318499999994</v>
      </c>
      <c r="I363" s="8">
        <f>(12298.58*($H$3))</f>
        <v>65797.402999999991</v>
      </c>
      <c r="J363" s="8">
        <f>(12746.58*($H$3))</f>
        <v>68194.202999999994</v>
      </c>
      <c r="K363" s="8">
        <f>(13381.25*($H$3))</f>
        <v>71589.6875</v>
      </c>
    </row>
    <row r="364" spans="1:11" x14ac:dyDescent="0.2">
      <c r="A364" s="2"/>
      <c r="B364" s="7" t="s">
        <v>208</v>
      </c>
      <c r="C364" s="8" t="s">
        <v>189</v>
      </c>
      <c r="D364" s="20">
        <v>1.05</v>
      </c>
      <c r="E364" s="8" t="s">
        <v>180</v>
      </c>
      <c r="F364" s="8" t="s">
        <v>181</v>
      </c>
      <c r="G364" s="10" t="s">
        <v>336</v>
      </c>
      <c r="H364" s="10">
        <f>12345*($H$3)</f>
        <v>66045.75</v>
      </c>
      <c r="I364" s="8">
        <f>(17003.69*($H$3))</f>
        <v>90969.741499999989</v>
      </c>
      <c r="J364" s="8">
        <f>(17193.02*($H$3))</f>
        <v>91982.656999999992</v>
      </c>
      <c r="K364" s="8">
        <f>(17461.25*($H$3))</f>
        <v>93417.6875</v>
      </c>
    </row>
    <row r="365" spans="1:11" x14ac:dyDescent="0.2">
      <c r="A365" s="2"/>
      <c r="B365" s="7" t="s">
        <v>209</v>
      </c>
      <c r="C365" s="8" t="s">
        <v>189</v>
      </c>
      <c r="D365" s="20">
        <v>1.05</v>
      </c>
      <c r="E365" s="8" t="s">
        <v>180</v>
      </c>
      <c r="F365" s="8" t="s">
        <v>181</v>
      </c>
      <c r="G365" s="10" t="s">
        <v>336</v>
      </c>
      <c r="H365" s="10">
        <f>12345*($H$3)</f>
        <v>66045.75</v>
      </c>
      <c r="I365" s="8">
        <f>(21225.91*($H$3))</f>
        <v>113558.6185</v>
      </c>
      <c r="J365" s="8">
        <f>(21415.25*($H$3))</f>
        <v>114571.58749999999</v>
      </c>
      <c r="K365" s="8">
        <f>(21683.47*($H$3))</f>
        <v>116006.56449999999</v>
      </c>
    </row>
    <row r="366" spans="1:11" x14ac:dyDescent="0.2">
      <c r="A366" s="2"/>
      <c r="B366" s="7" t="s">
        <v>210</v>
      </c>
      <c r="C366" s="8" t="s">
        <v>179</v>
      </c>
      <c r="D366" s="20">
        <v>1.05</v>
      </c>
      <c r="E366" s="8" t="s">
        <v>180</v>
      </c>
      <c r="F366" s="8" t="s">
        <v>181</v>
      </c>
      <c r="G366" s="14" t="s">
        <v>326</v>
      </c>
      <c r="H366" s="10">
        <f>(9080.56*($H$3))</f>
        <v>48580.995999999992</v>
      </c>
      <c r="I366" s="8">
        <f>(11021.89*($H$3))</f>
        <v>58967.111499999992</v>
      </c>
      <c r="J366" s="8">
        <f>(11437.89*($H$3))</f>
        <v>61192.71149999999</v>
      </c>
      <c r="K366" s="8">
        <f>(12027.22*($H$3))</f>
        <v>64345.626999999993</v>
      </c>
    </row>
    <row r="367" spans="1:11" x14ac:dyDescent="0.2">
      <c r="A367" s="2"/>
      <c r="B367" s="7" t="s">
        <v>211</v>
      </c>
      <c r="C367" s="8" t="s">
        <v>179</v>
      </c>
      <c r="D367" s="20">
        <v>1.05</v>
      </c>
      <c r="E367" s="8" t="s">
        <v>180</v>
      </c>
      <c r="F367" s="8" t="s">
        <v>181</v>
      </c>
      <c r="G367" s="10" t="s">
        <v>337</v>
      </c>
      <c r="H367" s="10">
        <f>10210*($H$3)</f>
        <v>54623.5</v>
      </c>
      <c r="I367" s="8">
        <f>(15556.11*($H$3))</f>
        <v>83225.188500000004</v>
      </c>
      <c r="J367" s="8">
        <f>(15689.45*($H$3))</f>
        <v>83938.557499999995</v>
      </c>
      <c r="K367" s="8">
        <f>(15878.34*($H$3))</f>
        <v>84949.118999999992</v>
      </c>
    </row>
    <row r="368" spans="1:11" x14ac:dyDescent="0.2">
      <c r="A368" s="2"/>
      <c r="B368" s="7" t="s">
        <v>212</v>
      </c>
      <c r="C368" s="8" t="s">
        <v>179</v>
      </c>
      <c r="D368" s="20">
        <v>1.05</v>
      </c>
      <c r="E368" s="8" t="s">
        <v>180</v>
      </c>
      <c r="F368" s="8" t="s">
        <v>181</v>
      </c>
      <c r="G368" s="10" t="s">
        <v>337</v>
      </c>
      <c r="H368" s="10">
        <f>10210*($H$3)</f>
        <v>54623.5</v>
      </c>
      <c r="I368" s="8">
        <f>(19778.34*($H$3))</f>
        <v>105814.11899999999</v>
      </c>
      <c r="J368" s="8">
        <f>(19911.67*($H$3))</f>
        <v>106527.43449999999</v>
      </c>
      <c r="K368" s="8">
        <f>(20100.56*($H$3))</f>
        <v>107537.996</v>
      </c>
    </row>
    <row r="369" spans="1:11" x14ac:dyDescent="0.2">
      <c r="A369" s="2"/>
      <c r="B369" s="7" t="s">
        <v>213</v>
      </c>
      <c r="C369" s="8" t="s">
        <v>185</v>
      </c>
      <c r="D369" s="20">
        <v>1.05</v>
      </c>
      <c r="E369" s="8" t="s">
        <v>180</v>
      </c>
      <c r="F369" s="8" t="s">
        <v>181</v>
      </c>
      <c r="G369" s="14" t="s">
        <v>338</v>
      </c>
      <c r="H369" s="10">
        <f>(9347.4*($H$3))</f>
        <v>50008.59</v>
      </c>
      <c r="I369" s="8">
        <f>(11139.4*($H$3))</f>
        <v>59595.789999999994</v>
      </c>
      <c r="J369" s="8">
        <f>(11523.4*($H$3))</f>
        <v>61650.189999999995</v>
      </c>
      <c r="K369" s="8">
        <f>(12067.4*($H$3))</f>
        <v>64560.59</v>
      </c>
    </row>
    <row r="370" spans="1:11" x14ac:dyDescent="0.2">
      <c r="A370" s="2"/>
      <c r="B370" s="7" t="s">
        <v>214</v>
      </c>
      <c r="C370" s="8" t="s">
        <v>185</v>
      </c>
      <c r="D370" s="20">
        <v>1.05</v>
      </c>
      <c r="E370" s="8" t="s">
        <v>180</v>
      </c>
      <c r="F370" s="8" t="s">
        <v>181</v>
      </c>
      <c r="G370" s="10" t="s">
        <v>339</v>
      </c>
      <c r="H370" s="10">
        <f>10650*($H$3)</f>
        <v>56977.499999999993</v>
      </c>
      <c r="I370" s="8">
        <f>(16118.51*($H$3))</f>
        <v>86234.0285</v>
      </c>
      <c r="J370" s="8">
        <f>(16278.51*($H$3))</f>
        <v>87090.0285</v>
      </c>
      <c r="K370" s="8">
        <f>(16505.18*($H$3))</f>
        <v>88302.712999999989</v>
      </c>
    </row>
    <row r="371" spans="1:11" x14ac:dyDescent="0.2">
      <c r="A371" s="2"/>
      <c r="B371" s="7" t="s">
        <v>215</v>
      </c>
      <c r="C371" s="8" t="s">
        <v>185</v>
      </c>
      <c r="D371" s="20">
        <v>1.05</v>
      </c>
      <c r="E371" s="8" t="s">
        <v>180</v>
      </c>
      <c r="F371" s="8" t="s">
        <v>181</v>
      </c>
      <c r="G371" s="10" t="s">
        <v>339</v>
      </c>
      <c r="H371" s="10">
        <f>10650*($H$3)</f>
        <v>56977.499999999993</v>
      </c>
      <c r="I371" s="8">
        <f>(20329.62*($H$3))</f>
        <v>108763.46699999999</v>
      </c>
      <c r="J371" s="8">
        <f>(20489.62*($H$3))</f>
        <v>109619.46699999999</v>
      </c>
      <c r="K371" s="8">
        <f>(20716.29*($H$3))</f>
        <v>110832.15149999999</v>
      </c>
    </row>
    <row r="372" spans="1:11" x14ac:dyDescent="0.2">
      <c r="A372" s="2"/>
      <c r="B372" s="7" t="s">
        <v>216</v>
      </c>
      <c r="C372" s="8" t="s">
        <v>189</v>
      </c>
      <c r="D372" s="20">
        <v>1.05</v>
      </c>
      <c r="E372" s="8" t="s">
        <v>180</v>
      </c>
      <c r="F372" s="8" t="s">
        <v>181</v>
      </c>
      <c r="G372" s="14" t="s">
        <v>340</v>
      </c>
      <c r="H372" s="10">
        <f>(10912.36*($H$3))</f>
        <v>58381.125999999997</v>
      </c>
      <c r="I372" s="8">
        <f>(13276.8*($H$3))</f>
        <v>71030.87999999999</v>
      </c>
      <c r="J372" s="8">
        <f>(13783.47*($H$3))</f>
        <v>73741.564499999993</v>
      </c>
      <c r="K372" s="8">
        <f>(14501.25*($H$3))</f>
        <v>77581.6875</v>
      </c>
    </row>
    <row r="373" spans="1:11" x14ac:dyDescent="0.2">
      <c r="A373" s="2"/>
      <c r="B373" s="7" t="s">
        <v>217</v>
      </c>
      <c r="C373" s="8" t="s">
        <v>189</v>
      </c>
      <c r="D373" s="20">
        <v>1.05</v>
      </c>
      <c r="E373" s="8" t="s">
        <v>180</v>
      </c>
      <c r="F373" s="8" t="s">
        <v>181</v>
      </c>
      <c r="G373" s="10" t="s">
        <v>341</v>
      </c>
      <c r="H373" s="10">
        <f>12010*($H$3)</f>
        <v>64253.499999999993</v>
      </c>
      <c r="I373" s="8">
        <f>(17932.58*($H$3))</f>
        <v>95939.303</v>
      </c>
      <c r="J373" s="8">
        <f>(18068.58*($H$3))</f>
        <v>96666.903000000006</v>
      </c>
      <c r="K373" s="8">
        <f>(18261.25*($H$3))</f>
        <v>97697.6875</v>
      </c>
    </row>
    <row r="374" spans="1:11" x14ac:dyDescent="0.2">
      <c r="A374" s="2"/>
      <c r="B374" s="7" t="s">
        <v>218</v>
      </c>
      <c r="C374" s="8" t="s">
        <v>189</v>
      </c>
      <c r="D374" s="20">
        <v>1.05</v>
      </c>
      <c r="E374" s="8" t="s">
        <v>180</v>
      </c>
      <c r="F374" s="8" t="s">
        <v>181</v>
      </c>
      <c r="G374" s="10" t="s">
        <v>341</v>
      </c>
      <c r="H374" s="10">
        <f>12010*($H$3)</f>
        <v>64253.499999999993</v>
      </c>
      <c r="I374" s="8">
        <f>(22661.47*($H$3))</f>
        <v>121238.8645</v>
      </c>
      <c r="J374" s="8">
        <f>(22797.47*($H$3))</f>
        <v>121966.4645</v>
      </c>
      <c r="K374" s="8">
        <f>(22990.14*($H$3))</f>
        <v>122997.24899999998</v>
      </c>
    </row>
    <row r="375" spans="1:11" x14ac:dyDescent="0.2">
      <c r="A375" s="2"/>
      <c r="B375" s="7" t="s">
        <v>219</v>
      </c>
      <c r="C375" s="8" t="s">
        <v>220</v>
      </c>
      <c r="D375" s="21" t="s">
        <v>221</v>
      </c>
      <c r="E375" s="8" t="s">
        <v>180</v>
      </c>
      <c r="F375" s="8" t="s">
        <v>181</v>
      </c>
      <c r="G375" s="14" t="s">
        <v>338</v>
      </c>
      <c r="H375" s="10">
        <f>(8175.51*($H$3))</f>
        <v>43738.978499999997</v>
      </c>
      <c r="I375" s="8">
        <f>(9482.18*($H$3))</f>
        <v>50729.663</v>
      </c>
      <c r="J375" s="8">
        <f>(9762.18*($H$3))</f>
        <v>52227.663</v>
      </c>
      <c r="K375" s="8">
        <f>(10158.85*($H$3))</f>
        <v>54349.847499999996</v>
      </c>
    </row>
    <row r="376" spans="1:11" x14ac:dyDescent="0.2">
      <c r="A376" s="2"/>
      <c r="B376" s="7" t="s">
        <v>223</v>
      </c>
      <c r="C376" s="8" t="s">
        <v>220</v>
      </c>
      <c r="D376" s="21" t="s">
        <v>221</v>
      </c>
      <c r="E376" s="8" t="s">
        <v>180</v>
      </c>
      <c r="F376" s="8" t="s">
        <v>181</v>
      </c>
      <c r="G376" s="10" t="s">
        <v>342</v>
      </c>
      <c r="H376" s="10">
        <f>8900*($H$3)</f>
        <v>47615</v>
      </c>
      <c r="I376" s="8">
        <f>(12178.85*($H$3))</f>
        <v>65156.847499999996</v>
      </c>
      <c r="J376" s="8">
        <f>(12285.51*($H$3))</f>
        <v>65727.478499999997</v>
      </c>
      <c r="K376" s="8">
        <f>(12436.62*($H$3))</f>
        <v>66535.917000000001</v>
      </c>
    </row>
    <row r="377" spans="1:11" x14ac:dyDescent="0.2">
      <c r="A377" s="2"/>
      <c r="B377" s="7" t="s">
        <v>224</v>
      </c>
      <c r="C377" s="8" t="s">
        <v>220</v>
      </c>
      <c r="D377" s="21" t="s">
        <v>221</v>
      </c>
      <c r="E377" s="8" t="s">
        <v>180</v>
      </c>
      <c r="F377" s="8" t="s">
        <v>181</v>
      </c>
      <c r="G377" s="10" t="s">
        <v>342</v>
      </c>
      <c r="H377" s="10">
        <f>8900*($H$3)</f>
        <v>47615</v>
      </c>
      <c r="I377" s="8">
        <f>(14712.18*($H$3))</f>
        <v>78710.163</v>
      </c>
      <c r="J377" s="8">
        <f>(14818.85*($H$3))</f>
        <v>79280.847500000003</v>
      </c>
      <c r="K377" s="8">
        <f>(14969.96*($H$3))</f>
        <v>80089.285999999993</v>
      </c>
    </row>
    <row r="378" spans="1:11" x14ac:dyDescent="0.2">
      <c r="A378" s="2"/>
      <c r="B378" s="7" t="s">
        <v>225</v>
      </c>
      <c r="C378" s="8" t="s">
        <v>151</v>
      </c>
      <c r="D378" s="21" t="s">
        <v>226</v>
      </c>
      <c r="E378" s="8" t="s">
        <v>227</v>
      </c>
      <c r="F378" s="8"/>
      <c r="G378" s="14" t="s">
        <v>343</v>
      </c>
      <c r="H378" s="10">
        <f>(2847.15*($H$3))</f>
        <v>15232.252499999999</v>
      </c>
      <c r="I378" s="8">
        <f>(3344.92*($H$3))</f>
        <v>17895.322</v>
      </c>
      <c r="J378" s="8">
        <f>(3451.59*($H$3))</f>
        <v>18466.0065</v>
      </c>
      <c r="K378" s="8">
        <f>(3602.7*($H$3))</f>
        <v>19274.444999999996</v>
      </c>
    </row>
    <row r="379" spans="1:11" x14ac:dyDescent="0.2">
      <c r="A379" s="2"/>
      <c r="B379" s="7" t="s">
        <v>228</v>
      </c>
      <c r="C379" s="8" t="s">
        <v>229</v>
      </c>
      <c r="D379" s="21" t="s">
        <v>230</v>
      </c>
      <c r="E379" s="8" t="s">
        <v>180</v>
      </c>
      <c r="F379" s="8"/>
      <c r="G379" s="10" t="s">
        <v>344</v>
      </c>
      <c r="H379" s="10">
        <f>(4422.63*($H$3))</f>
        <v>23661.070499999998</v>
      </c>
      <c r="I379" s="8">
        <f>(5044.85*($H$3))</f>
        <v>26989.947499999998</v>
      </c>
      <c r="J379" s="8">
        <f>(5178.18*($H$3))</f>
        <v>27703.262999999999</v>
      </c>
      <c r="K379" s="8">
        <f>(5367.07*($H$3))</f>
        <v>28713.824499999995</v>
      </c>
    </row>
    <row r="380" spans="1:11" x14ac:dyDescent="0.2">
      <c r="A380" s="2"/>
      <c r="B380" s="7" t="s">
        <v>231</v>
      </c>
      <c r="C380" s="8" t="s">
        <v>229</v>
      </c>
      <c r="D380" s="21" t="s">
        <v>230</v>
      </c>
      <c r="E380" s="15">
        <v>0.44</v>
      </c>
      <c r="F380" s="8"/>
      <c r="G380" s="10" t="s">
        <v>343</v>
      </c>
      <c r="H380" s="10">
        <f>(3042.87*($H$3))</f>
        <v>16279.354499999998</v>
      </c>
      <c r="I380" s="8">
        <f>(3416.2*($H$3))</f>
        <v>18276.669999999998</v>
      </c>
      <c r="J380" s="8">
        <f>(3496.2*($H$3))</f>
        <v>18704.669999999998</v>
      </c>
      <c r="K380" s="8">
        <f>(3609.53*($H$3))</f>
        <v>19310.985499999999</v>
      </c>
    </row>
    <row r="381" spans="1:11" x14ac:dyDescent="0.2">
      <c r="A381" s="2"/>
      <c r="B381" s="7" t="s">
        <v>232</v>
      </c>
      <c r="C381" s="8" t="s">
        <v>233</v>
      </c>
      <c r="D381" s="21" t="s">
        <v>221</v>
      </c>
      <c r="E381" s="15">
        <v>0.44</v>
      </c>
      <c r="F381" s="8"/>
      <c r="G381" s="10" t="s">
        <v>344</v>
      </c>
      <c r="H381" s="10">
        <f>(4803.81*($H$3))</f>
        <v>25700.3835</v>
      </c>
      <c r="I381" s="8">
        <f>(5426.03*($H$3))</f>
        <v>29029.260499999997</v>
      </c>
      <c r="J381" s="8">
        <f>(5559.36*($H$3))</f>
        <v>29742.575999999997</v>
      </c>
      <c r="K381" s="8">
        <f>(5748.25*($H$3))</f>
        <v>30753.137499999997</v>
      </c>
    </row>
    <row r="382" spans="1:11" x14ac:dyDescent="0.2">
      <c r="A382" s="2"/>
      <c r="B382" s="41" t="s">
        <v>234</v>
      </c>
      <c r="C382" s="42" t="s">
        <v>235</v>
      </c>
      <c r="D382" s="43" t="s">
        <v>236</v>
      </c>
      <c r="E382" s="44" t="s">
        <v>44</v>
      </c>
      <c r="F382" s="42" t="s">
        <v>181</v>
      </c>
      <c r="G382" s="45" t="s">
        <v>343</v>
      </c>
      <c r="H382" s="46">
        <f>(5178.23*($H$3))</f>
        <v>27703.530499999997</v>
      </c>
      <c r="I382" s="42">
        <f>(5676.01*($H$3))</f>
        <v>30366.6535</v>
      </c>
      <c r="J382" s="42">
        <f>(5782.67*($H$3))</f>
        <v>30937.284499999998</v>
      </c>
      <c r="K382" s="42">
        <f>(5933.79*($H$3))</f>
        <v>31745.776499999996</v>
      </c>
    </row>
    <row r="383" spans="1:11" ht="23.25" x14ac:dyDescent="0.35">
      <c r="A383" s="40"/>
      <c r="B383" s="69" t="s">
        <v>568</v>
      </c>
      <c r="C383" s="69"/>
      <c r="D383" s="69"/>
      <c r="E383" s="69"/>
      <c r="F383" s="69"/>
      <c r="G383" s="69"/>
      <c r="H383" s="69"/>
      <c r="I383" s="69"/>
      <c r="J383" s="69"/>
      <c r="K383" s="69"/>
    </row>
    <row r="384" spans="1:11" x14ac:dyDescent="0.2">
      <c r="A384" s="2"/>
      <c r="B384" s="47" t="s">
        <v>4</v>
      </c>
      <c r="C384" s="47" t="s">
        <v>5</v>
      </c>
      <c r="D384" s="47" t="s">
        <v>6</v>
      </c>
      <c r="E384" s="47" t="s">
        <v>7</v>
      </c>
      <c r="F384" s="47" t="s">
        <v>8</v>
      </c>
      <c r="G384" s="47" t="s">
        <v>353</v>
      </c>
      <c r="H384" s="47" t="s">
        <v>10</v>
      </c>
      <c r="I384" s="47" t="s">
        <v>14</v>
      </c>
      <c r="J384" s="47" t="s">
        <v>15</v>
      </c>
      <c r="K384" s="47" t="s">
        <v>16</v>
      </c>
    </row>
    <row r="385" spans="1:12" x14ac:dyDescent="0.2">
      <c r="A385" s="2"/>
      <c r="B385" s="7" t="s">
        <v>569</v>
      </c>
      <c r="C385" s="8" t="s">
        <v>270</v>
      </c>
      <c r="D385" s="8" t="s">
        <v>488</v>
      </c>
      <c r="E385" s="8" t="s">
        <v>44</v>
      </c>
      <c r="F385" s="8" t="s">
        <v>417</v>
      </c>
      <c r="G385" s="8" t="s">
        <v>120</v>
      </c>
      <c r="H385" s="8">
        <f>(5826.19*($H$3))</f>
        <v>31170.116499999996</v>
      </c>
      <c r="I385" s="8">
        <f>(10959.52*($H$3))</f>
        <v>58633.432000000001</v>
      </c>
      <c r="J385" s="8">
        <f>(10959.52*($H$3))</f>
        <v>58633.432000000001</v>
      </c>
      <c r="K385" s="8">
        <f>(14186.19*($H$3))</f>
        <v>75896.116500000004</v>
      </c>
    </row>
    <row r="386" spans="1:12" x14ac:dyDescent="0.2">
      <c r="A386" s="2"/>
      <c r="B386" s="7" t="s">
        <v>570</v>
      </c>
      <c r="C386" s="8" t="s">
        <v>273</v>
      </c>
      <c r="D386" s="8" t="s">
        <v>571</v>
      </c>
      <c r="E386" s="8" t="s">
        <v>44</v>
      </c>
      <c r="F386" s="8" t="s">
        <v>417</v>
      </c>
      <c r="G386" s="8" t="s">
        <v>118</v>
      </c>
      <c r="H386" s="8">
        <f>(6035.5*($H$3))</f>
        <v>32289.924999999999</v>
      </c>
      <c r="I386" s="8">
        <f>(11402.16*($H$3))</f>
        <v>61001.555999999997</v>
      </c>
      <c r="J386" s="8">
        <f>(11402.16*($H$3))</f>
        <v>61001.555999999997</v>
      </c>
      <c r="K386" s="8">
        <f>(14775.5*($H$3))</f>
        <v>79048.924999999988</v>
      </c>
    </row>
    <row r="387" spans="1:12" x14ac:dyDescent="0.2">
      <c r="A387" s="2"/>
      <c r="B387" s="7" t="s">
        <v>572</v>
      </c>
      <c r="C387" s="8" t="s">
        <v>275</v>
      </c>
      <c r="D387" s="8" t="s">
        <v>571</v>
      </c>
      <c r="E387" s="8" t="s">
        <v>44</v>
      </c>
      <c r="F387" s="8" t="s">
        <v>417</v>
      </c>
      <c r="G387" s="8" t="s">
        <v>45</v>
      </c>
      <c r="H387" s="8">
        <f>(6236.83*($H$3))</f>
        <v>33367.040499999996</v>
      </c>
      <c r="I387" s="8">
        <f>(11836.83*($H$3))</f>
        <v>63327.040499999996</v>
      </c>
      <c r="J387" s="8">
        <f>(11836.83*($H$3))</f>
        <v>63327.040499999996</v>
      </c>
      <c r="K387" s="8">
        <f>(15356.83*($H$3))</f>
        <v>82159.040499999988</v>
      </c>
    </row>
    <row r="388" spans="1:12" x14ac:dyDescent="0.2">
      <c r="A388" s="2"/>
      <c r="B388" s="7" t="s">
        <v>573</v>
      </c>
      <c r="C388" s="8" t="s">
        <v>277</v>
      </c>
      <c r="D388" s="8" t="s">
        <v>571</v>
      </c>
      <c r="E388" s="8" t="s">
        <v>44</v>
      </c>
      <c r="F388" s="8" t="s">
        <v>417</v>
      </c>
      <c r="G388" s="8" t="s">
        <v>574</v>
      </c>
      <c r="H388" s="8">
        <f>(6492.61*($H$3))</f>
        <v>34735.463499999998</v>
      </c>
      <c r="I388" s="8">
        <f>(12559.27*($H$3))</f>
        <v>67192.094499999992</v>
      </c>
      <c r="J388" s="8">
        <f>(12559.27*($H$3))</f>
        <v>67192.094499999992</v>
      </c>
      <c r="K388" s="8">
        <f>(16372.61*($H$3))</f>
        <v>87593.463499999998</v>
      </c>
    </row>
    <row r="389" spans="1:12" x14ac:dyDescent="0.2">
      <c r="A389" s="2"/>
      <c r="B389" s="7" t="s">
        <v>575</v>
      </c>
      <c r="C389" s="8" t="s">
        <v>504</v>
      </c>
      <c r="D389" s="8" t="s">
        <v>488</v>
      </c>
      <c r="E389" s="8" t="s">
        <v>44</v>
      </c>
      <c r="F389" s="8" t="s">
        <v>417</v>
      </c>
      <c r="G389" s="8" t="s">
        <v>511</v>
      </c>
      <c r="H389" s="8">
        <f>(7833.94*($H$3))</f>
        <v>41911.578999999998</v>
      </c>
      <c r="I389" s="8">
        <f>(15533.94*($H$3))</f>
        <v>83106.578999999998</v>
      </c>
      <c r="J389" s="8">
        <f>(15533.94*($H$3))</f>
        <v>83106.578999999998</v>
      </c>
      <c r="K389" s="8">
        <f>(20373.94*($H$3))</f>
        <v>109000.57899999998</v>
      </c>
      <c r="L389" s="22"/>
    </row>
    <row r="390" spans="1:12" x14ac:dyDescent="0.2">
      <c r="A390" s="5" t="s">
        <v>3</v>
      </c>
      <c r="B390" s="7" t="s">
        <v>576</v>
      </c>
      <c r="C390" s="8" t="s">
        <v>386</v>
      </c>
      <c r="D390" s="8" t="s">
        <v>488</v>
      </c>
      <c r="E390" s="8" t="s">
        <v>44</v>
      </c>
      <c r="F390" s="8" t="s">
        <v>417</v>
      </c>
      <c r="G390" s="8" t="s">
        <v>40</v>
      </c>
      <c r="H390" s="8">
        <f>(8316.67*($H$3))</f>
        <v>44494.184499999996</v>
      </c>
      <c r="I390" s="8">
        <f>(16716.67*($H$3))</f>
        <v>89434.184499999988</v>
      </c>
      <c r="J390" s="8">
        <f>(16716.67*($H$3))</f>
        <v>89434.184499999988</v>
      </c>
      <c r="K390" s="8">
        <f>(21996.67*($H$3))</f>
        <v>117682.18449999999</v>
      </c>
    </row>
    <row r="391" spans="1:12" x14ac:dyDescent="0.2">
      <c r="A391" s="2"/>
      <c r="B391" s="7" t="s">
        <v>577</v>
      </c>
      <c r="C391" s="8" t="s">
        <v>508</v>
      </c>
      <c r="D391" s="8" t="s">
        <v>488</v>
      </c>
      <c r="E391" s="8" t="s">
        <v>44</v>
      </c>
      <c r="F391" s="8" t="s">
        <v>417</v>
      </c>
      <c r="G391" s="8" t="s">
        <v>578</v>
      </c>
      <c r="H391" s="8">
        <f>(8724.31*($H$3))</f>
        <v>46675.058499999992</v>
      </c>
      <c r="I391" s="8">
        <f>(17590.98*($H$3))</f>
        <v>94111.742999999988</v>
      </c>
      <c r="J391" s="8">
        <f>(17590.98*($H$3))</f>
        <v>94111.742999999988</v>
      </c>
      <c r="K391" s="8">
        <f>(23164.31*($H$3))</f>
        <v>123929.0585</v>
      </c>
    </row>
    <row r="392" spans="1:12" x14ac:dyDescent="0.2">
      <c r="A392" s="2"/>
      <c r="B392" s="7" t="s">
        <v>579</v>
      </c>
      <c r="C392" s="8" t="s">
        <v>455</v>
      </c>
      <c r="D392" s="8" t="s">
        <v>488</v>
      </c>
      <c r="E392" s="8" t="s">
        <v>44</v>
      </c>
      <c r="F392" s="8" t="s">
        <v>417</v>
      </c>
      <c r="G392" s="8" t="s">
        <v>580</v>
      </c>
      <c r="H392" s="8">
        <f>(9123.2*($H$3))</f>
        <v>48809.120000000003</v>
      </c>
      <c r="I392" s="8">
        <f>(18456.54*($H$3))</f>
        <v>98742.489000000001</v>
      </c>
      <c r="J392" s="8">
        <f>(18456.54*($H$3))</f>
        <v>98742.489000000001</v>
      </c>
      <c r="K392" s="8">
        <f>(24323.2*($H$3))</f>
        <v>130129.12</v>
      </c>
    </row>
    <row r="393" spans="1:12" x14ac:dyDescent="0.2">
      <c r="A393" s="2"/>
      <c r="B393" s="7" t="s">
        <v>581</v>
      </c>
      <c r="C393" s="8" t="s">
        <v>175</v>
      </c>
      <c r="D393" s="8" t="s">
        <v>488</v>
      </c>
      <c r="E393" s="8" t="s">
        <v>44</v>
      </c>
      <c r="F393" s="8" t="s">
        <v>417</v>
      </c>
      <c r="G393" s="8" t="s">
        <v>359</v>
      </c>
      <c r="H393" s="8">
        <f>(9585.42*($H$3))</f>
        <v>51281.996999999996</v>
      </c>
      <c r="I393" s="8">
        <f>(19852.09*($H$3))</f>
        <v>106208.68149999999</v>
      </c>
      <c r="J393" s="8">
        <f>(19852.09*($H$3))</f>
        <v>106208.68149999999</v>
      </c>
      <c r="K393" s="8">
        <f>(26305.42*($H$3))</f>
        <v>140733.99699999997</v>
      </c>
    </row>
    <row r="394" spans="1:12" x14ac:dyDescent="0.2">
      <c r="A394" s="2"/>
      <c r="B394" s="7" t="s">
        <v>582</v>
      </c>
      <c r="C394" s="8" t="s">
        <v>251</v>
      </c>
      <c r="D394" s="8" t="s">
        <v>488</v>
      </c>
      <c r="E394" s="8" t="s">
        <v>44</v>
      </c>
      <c r="F394" s="8" t="s">
        <v>417</v>
      </c>
      <c r="G394" s="8" t="s">
        <v>583</v>
      </c>
      <c r="H394" s="8">
        <f>(10212.76*($H$3))</f>
        <v>54638.265999999996</v>
      </c>
      <c r="I394" s="8">
        <f>(21179.42*($H$3))</f>
        <v>113309.89699999998</v>
      </c>
      <c r="J394" s="8">
        <f>(21179.42*($H$3))</f>
        <v>113309.89699999998</v>
      </c>
      <c r="K394" s="8">
        <f>(28072.76*($H$3))</f>
        <v>150189.26599999997</v>
      </c>
    </row>
    <row r="395" spans="1:12" x14ac:dyDescent="0.2">
      <c r="A395" s="2"/>
      <c r="B395" s="7" t="s">
        <v>584</v>
      </c>
      <c r="C395" s="8" t="s">
        <v>585</v>
      </c>
      <c r="D395" s="8" t="s">
        <v>488</v>
      </c>
      <c r="E395" s="8" t="s">
        <v>44</v>
      </c>
      <c r="F395" s="8" t="s">
        <v>417</v>
      </c>
      <c r="G395" s="8" t="s">
        <v>586</v>
      </c>
      <c r="H395" s="8">
        <f>(10803.07*($H$3))</f>
        <v>57796.424499999994</v>
      </c>
      <c r="I395" s="8">
        <f>(22469.74*($H$3))</f>
        <v>120213.109</v>
      </c>
      <c r="J395" s="8">
        <f>(22469.74*($H$3))</f>
        <v>120213.109</v>
      </c>
      <c r="K395" s="8">
        <f>(29803.07*($H$3))</f>
        <v>159446.42449999999</v>
      </c>
    </row>
    <row r="396" spans="1:12" x14ac:dyDescent="0.2">
      <c r="A396" s="2"/>
      <c r="B396" s="7" t="s">
        <v>587</v>
      </c>
      <c r="C396" s="8" t="s">
        <v>588</v>
      </c>
      <c r="D396" s="8" t="s">
        <v>488</v>
      </c>
      <c r="E396" s="8" t="s">
        <v>44</v>
      </c>
      <c r="F396" s="8" t="s">
        <v>417</v>
      </c>
      <c r="G396" s="8" t="s">
        <v>589</v>
      </c>
      <c r="H396" s="8">
        <f>(11396.18*($H$3))</f>
        <v>60969.562999999995</v>
      </c>
      <c r="I396" s="8">
        <f>(23762.85*($H$3))</f>
        <v>127131.24749999998</v>
      </c>
      <c r="J396" s="8">
        <f>(23762.85*($H$3))</f>
        <v>127131.24749999998</v>
      </c>
      <c r="K396" s="8">
        <f>(31536.18*($H$3))</f>
        <v>168718.56299999999</v>
      </c>
    </row>
    <row r="397" spans="1:12" x14ac:dyDescent="0.2">
      <c r="A397" s="2"/>
      <c r="B397" s="7" t="s">
        <v>590</v>
      </c>
      <c r="C397" s="8" t="s">
        <v>18</v>
      </c>
      <c r="D397" s="8" t="s">
        <v>488</v>
      </c>
      <c r="E397" s="8" t="s">
        <v>44</v>
      </c>
      <c r="F397" s="8" t="s">
        <v>417</v>
      </c>
      <c r="G397" s="8" t="s">
        <v>357</v>
      </c>
      <c r="H397" s="8">
        <f>(8709.71*($H$3))</f>
        <v>46596.948499999991</v>
      </c>
      <c r="I397" s="8">
        <f>(18509.71*($H$3))</f>
        <v>99026.948499999984</v>
      </c>
      <c r="J397" s="8">
        <f>(18509.71*($H$3))</f>
        <v>99026.948499999984</v>
      </c>
      <c r="K397" s="8">
        <f>(24669.71*($H$3))</f>
        <v>131982.9485</v>
      </c>
    </row>
    <row r="398" spans="1:12" x14ac:dyDescent="0.2">
      <c r="A398" s="2"/>
      <c r="B398" s="7" t="s">
        <v>591</v>
      </c>
      <c r="C398" s="8" t="s">
        <v>24</v>
      </c>
      <c r="D398" s="8" t="s">
        <v>488</v>
      </c>
      <c r="E398" s="8" t="s">
        <v>44</v>
      </c>
      <c r="F398" s="8" t="s">
        <v>417</v>
      </c>
      <c r="G398" s="8" t="s">
        <v>359</v>
      </c>
      <c r="H398" s="8">
        <f>(9143*($H$3))</f>
        <v>48915.049999999996</v>
      </c>
      <c r="I398" s="8">
        <f>(19409.67*($H$3))</f>
        <v>103841.73449999998</v>
      </c>
      <c r="J398" s="8">
        <f>(19409.67*($H$3))</f>
        <v>103841.73449999998</v>
      </c>
      <c r="K398" s="8">
        <f>(25863*($H$3))</f>
        <v>138367.04999999999</v>
      </c>
    </row>
    <row r="399" spans="1:12" x14ac:dyDescent="0.2">
      <c r="A399" s="2"/>
      <c r="B399" s="7" t="s">
        <v>592</v>
      </c>
      <c r="C399" s="8" t="s">
        <v>27</v>
      </c>
      <c r="D399" s="8" t="s">
        <v>488</v>
      </c>
      <c r="E399" s="8" t="s">
        <v>44</v>
      </c>
      <c r="F399" s="8" t="s">
        <v>417</v>
      </c>
      <c r="G399" s="8" t="s">
        <v>522</v>
      </c>
      <c r="H399" s="8">
        <f>(9521.47*($H$3))</f>
        <v>50939.864499999996</v>
      </c>
      <c r="I399" s="8">
        <f>(20254.8*($H$3))</f>
        <v>108363.18</v>
      </c>
      <c r="J399" s="8">
        <f>(20254.8*($H$3))</f>
        <v>108363.18</v>
      </c>
      <c r="K399" s="8">
        <f>(27001.47*($H$3))</f>
        <v>144457.8645</v>
      </c>
    </row>
    <row r="400" spans="1:12" x14ac:dyDescent="0.2">
      <c r="A400" s="2"/>
      <c r="B400" s="7" t="s">
        <v>593</v>
      </c>
      <c r="C400" s="8" t="s">
        <v>30</v>
      </c>
      <c r="D400" s="8" t="s">
        <v>488</v>
      </c>
      <c r="E400" s="8" t="s">
        <v>44</v>
      </c>
      <c r="F400" s="8" t="s">
        <v>417</v>
      </c>
      <c r="G400" s="8" t="s">
        <v>524</v>
      </c>
      <c r="H400" s="8">
        <f>(9931.6*($H$3))</f>
        <v>53134.06</v>
      </c>
      <c r="I400" s="8">
        <f>(21131.6*($H$3))</f>
        <v>113054.05999999998</v>
      </c>
      <c r="J400" s="8">
        <f>(21131.6*($H$3))</f>
        <v>113054.05999999998</v>
      </c>
      <c r="K400" s="8">
        <f>(28171.6*($H$3))</f>
        <v>150718.05999999997</v>
      </c>
    </row>
    <row r="401" spans="1:12" x14ac:dyDescent="0.2">
      <c r="A401" s="2"/>
      <c r="B401" s="7" t="s">
        <v>594</v>
      </c>
      <c r="C401" s="8" t="s">
        <v>108</v>
      </c>
      <c r="D401" s="8" t="s">
        <v>488</v>
      </c>
      <c r="E401" s="8" t="s">
        <v>44</v>
      </c>
      <c r="F401" s="8" t="s">
        <v>417</v>
      </c>
      <c r="G401" s="8" t="s">
        <v>595</v>
      </c>
      <c r="H401" s="8">
        <f>(10465.2*($H$3))</f>
        <v>55988.82</v>
      </c>
      <c r="I401" s="8">
        <f>(22598.54*($H$3))</f>
        <v>120902.189</v>
      </c>
      <c r="J401" s="8">
        <f>(22598.54*($H$3))</f>
        <v>120902.189</v>
      </c>
      <c r="K401" s="8">
        <f>(30225.2*($H$3))</f>
        <v>161704.82</v>
      </c>
    </row>
    <row r="402" spans="1:12" x14ac:dyDescent="0.2">
      <c r="A402" s="2"/>
      <c r="B402" s="7" t="s">
        <v>596</v>
      </c>
      <c r="C402" s="8" t="s">
        <v>518</v>
      </c>
      <c r="D402" s="8" t="s">
        <v>488</v>
      </c>
      <c r="E402" s="8" t="s">
        <v>44</v>
      </c>
      <c r="F402" s="8" t="s">
        <v>417</v>
      </c>
      <c r="G402" s="8" t="s">
        <v>597</v>
      </c>
      <c r="H402" s="8">
        <f>(11148.36*($H$3))</f>
        <v>59643.726000000002</v>
      </c>
      <c r="I402" s="8">
        <f>(24215.02*($H$3))</f>
        <v>129550.35699999999</v>
      </c>
      <c r="J402" s="8">
        <f>(24215.02*($H$3))</f>
        <v>129550.35699999999</v>
      </c>
      <c r="K402" s="8">
        <f>(32428.36*($H$3))</f>
        <v>173491.726</v>
      </c>
    </row>
    <row r="403" spans="1:12" x14ac:dyDescent="0.2">
      <c r="A403" s="2"/>
      <c r="B403" s="7" t="s">
        <v>598</v>
      </c>
      <c r="C403" s="8" t="s">
        <v>521</v>
      </c>
      <c r="D403" s="8" t="s">
        <v>488</v>
      </c>
      <c r="E403" s="8" t="s">
        <v>44</v>
      </c>
      <c r="F403" s="8" t="s">
        <v>417</v>
      </c>
      <c r="G403" s="8" t="s">
        <v>599</v>
      </c>
      <c r="H403" s="8">
        <f>(11936.07*($H$3))</f>
        <v>63857.974499999997</v>
      </c>
      <c r="I403" s="8">
        <f>(25702.73*($H$3))</f>
        <v>137509.60549999998</v>
      </c>
      <c r="J403" s="8">
        <f>(25702.73*($H$3))</f>
        <v>137509.60549999998</v>
      </c>
      <c r="K403" s="8">
        <f>(34356.07*($H$3))</f>
        <v>183804.97449999998</v>
      </c>
    </row>
    <row r="404" spans="1:12" x14ac:dyDescent="0.2">
      <c r="A404" s="2"/>
      <c r="B404" s="7" t="s">
        <v>600</v>
      </c>
      <c r="C404" s="8" t="s">
        <v>71</v>
      </c>
      <c r="D404" s="8" t="s">
        <v>488</v>
      </c>
      <c r="E404" s="8" t="s">
        <v>44</v>
      </c>
      <c r="F404" s="8" t="s">
        <v>417</v>
      </c>
      <c r="G404" s="8" t="s">
        <v>601</v>
      </c>
      <c r="H404" s="8">
        <f>(12525.04*($H$3))</f>
        <v>67008.964000000007</v>
      </c>
      <c r="I404" s="8">
        <f>(26991.71*($H$3))</f>
        <v>144405.64849999998</v>
      </c>
      <c r="J404" s="8">
        <f>(26991.71*($H$3))</f>
        <v>144405.64849999998</v>
      </c>
      <c r="K404" s="8">
        <f>(36085.04*($H$3))</f>
        <v>193054.96399999998</v>
      </c>
    </row>
    <row r="405" spans="1:12" x14ac:dyDescent="0.2">
      <c r="A405" s="2"/>
      <c r="B405" s="7" t="s">
        <v>602</v>
      </c>
      <c r="C405" s="8" t="s">
        <v>295</v>
      </c>
      <c r="D405" s="8" t="s">
        <v>488</v>
      </c>
      <c r="E405" s="8" t="s">
        <v>44</v>
      </c>
      <c r="F405" s="8" t="s">
        <v>63</v>
      </c>
      <c r="G405" s="8" t="s">
        <v>98</v>
      </c>
      <c r="H405" s="8">
        <f>(5293.05*($H$3))</f>
        <v>28317.817499999997</v>
      </c>
      <c r="I405" s="8">
        <f>(9959.71*($H$3))</f>
        <v>53284.448499999991</v>
      </c>
      <c r="J405" s="8">
        <f>(9959.71*($H$3))</f>
        <v>53284.448499999991</v>
      </c>
      <c r="K405" s="8">
        <f>(12893.05*($H$3))</f>
        <v>68977.81749999999</v>
      </c>
    </row>
    <row r="406" spans="1:12" x14ac:dyDescent="0.2">
      <c r="A406" s="2"/>
      <c r="B406" s="7" t="s">
        <v>603</v>
      </c>
      <c r="C406" s="8" t="s">
        <v>151</v>
      </c>
      <c r="D406" s="8" t="s">
        <v>488</v>
      </c>
      <c r="E406" s="8" t="s">
        <v>44</v>
      </c>
      <c r="F406" s="8" t="s">
        <v>63</v>
      </c>
      <c r="G406" s="8" t="s">
        <v>31</v>
      </c>
      <c r="H406" s="8">
        <f>(4728.9*($H$3))</f>
        <v>25299.614999999998</v>
      </c>
      <c r="I406" s="8">
        <f>(8228.9*($H$3))</f>
        <v>44024.614999999998</v>
      </c>
      <c r="J406" s="8">
        <f>(8228.9*($H$3))</f>
        <v>44024.614999999998</v>
      </c>
      <c r="K406" s="8">
        <f>(10428.9*($H$3))</f>
        <v>55794.614999999998</v>
      </c>
    </row>
    <row r="407" spans="1:12" x14ac:dyDescent="0.2">
      <c r="A407" s="2"/>
      <c r="B407" s="7" t="s">
        <v>604</v>
      </c>
      <c r="C407" s="8" t="s">
        <v>170</v>
      </c>
      <c r="D407" s="8" t="s">
        <v>488</v>
      </c>
      <c r="E407" s="8" t="s">
        <v>44</v>
      </c>
      <c r="F407" s="8" t="s">
        <v>63</v>
      </c>
      <c r="G407" s="8" t="s">
        <v>363</v>
      </c>
      <c r="H407" s="8">
        <f>(4991.65*($H$3))</f>
        <v>26705.327499999996</v>
      </c>
      <c r="I407" s="8">
        <f>(8958.31*($H$3))</f>
        <v>47926.958499999993</v>
      </c>
      <c r="J407" s="8">
        <f>(8958.31*($H$3))</f>
        <v>47926.958499999993</v>
      </c>
      <c r="K407" s="8">
        <f>(11451.65*($H$3))</f>
        <v>61266.327499999992</v>
      </c>
    </row>
    <row r="408" spans="1:12" x14ac:dyDescent="0.2">
      <c r="A408" s="2"/>
      <c r="B408" s="7" t="s">
        <v>605</v>
      </c>
      <c r="C408" s="8" t="s">
        <v>167</v>
      </c>
      <c r="D408" s="8" t="s">
        <v>488</v>
      </c>
      <c r="E408" s="8" t="s">
        <v>44</v>
      </c>
      <c r="F408" s="8" t="s">
        <v>63</v>
      </c>
      <c r="G408" s="8" t="s">
        <v>365</v>
      </c>
      <c r="H408" s="8">
        <f>(5140.16*($H$3))</f>
        <v>27499.855999999996</v>
      </c>
      <c r="I408" s="8">
        <f>(9106.82*($H$3))</f>
        <v>48721.486999999994</v>
      </c>
      <c r="J408" s="8">
        <f>(9106.82*($H$3))</f>
        <v>48721.486999999994</v>
      </c>
      <c r="K408" s="8">
        <f>(11600.16*($H$3))</f>
        <v>62060.855999999992</v>
      </c>
    </row>
    <row r="409" spans="1:12" x14ac:dyDescent="0.2">
      <c r="A409" s="2"/>
      <c r="B409" s="7" t="s">
        <v>606</v>
      </c>
      <c r="C409" s="8" t="s">
        <v>173</v>
      </c>
      <c r="D409" s="8" t="s">
        <v>488</v>
      </c>
      <c r="E409" s="8" t="s">
        <v>44</v>
      </c>
      <c r="F409" s="8" t="s">
        <v>63</v>
      </c>
      <c r="G409" s="8" t="s">
        <v>499</v>
      </c>
      <c r="H409" s="8">
        <f>(5473.47*($H$3))</f>
        <v>29283.0645</v>
      </c>
      <c r="I409" s="8">
        <f>(9906.8*($H$3))</f>
        <v>53001.37999999999</v>
      </c>
      <c r="J409" s="8">
        <f>(9906.8*($H$3))</f>
        <v>53001.37999999999</v>
      </c>
      <c r="K409" s="8">
        <f>(12693.47*($H$3))</f>
        <v>67910.064499999993</v>
      </c>
    </row>
    <row r="410" spans="1:12" ht="23.25" x14ac:dyDescent="0.35">
      <c r="A410" s="2"/>
      <c r="B410" s="66" t="s">
        <v>607</v>
      </c>
      <c r="C410" s="67"/>
      <c r="D410" s="67"/>
      <c r="E410" s="67"/>
      <c r="F410" s="67"/>
      <c r="G410" s="67"/>
      <c r="H410" s="67"/>
      <c r="I410" s="67"/>
      <c r="J410" s="67"/>
      <c r="K410" s="68"/>
    </row>
    <row r="411" spans="1:12" x14ac:dyDescent="0.2">
      <c r="A411" s="2"/>
      <c r="B411" s="9" t="s">
        <v>4</v>
      </c>
      <c r="C411" s="9" t="s">
        <v>5</v>
      </c>
      <c r="D411" s="9" t="s">
        <v>6</v>
      </c>
      <c r="E411" s="9" t="s">
        <v>7</v>
      </c>
      <c r="F411" s="9" t="s">
        <v>8</v>
      </c>
      <c r="G411" s="9" t="s">
        <v>9</v>
      </c>
      <c r="H411" s="9" t="s">
        <v>10</v>
      </c>
      <c r="I411" s="9" t="s">
        <v>361</v>
      </c>
      <c r="J411" s="9" t="s">
        <v>12</v>
      </c>
      <c r="K411" s="9" t="s">
        <v>13</v>
      </c>
    </row>
    <row r="412" spans="1:12" x14ac:dyDescent="0.2">
      <c r="A412" s="2"/>
      <c r="B412" s="7" t="s">
        <v>608</v>
      </c>
      <c r="C412" s="8" t="s">
        <v>270</v>
      </c>
      <c r="D412" s="8" t="s">
        <v>488</v>
      </c>
      <c r="E412" s="8" t="s">
        <v>44</v>
      </c>
      <c r="F412" s="8" t="s">
        <v>417</v>
      </c>
      <c r="G412" s="8" t="s">
        <v>91</v>
      </c>
      <c r="H412" s="8">
        <f>(5048.41*($H$3))</f>
        <v>27008.993499999997</v>
      </c>
      <c r="I412" s="8">
        <f>(6221.74*($H$3))</f>
        <v>33286.308999999994</v>
      </c>
      <c r="J412" s="8">
        <f>(6435.07*($H$3))</f>
        <v>34427.624499999998</v>
      </c>
      <c r="K412" s="8">
        <f>(6737.3*($H$3))</f>
        <v>36044.555</v>
      </c>
    </row>
    <row r="413" spans="1:12" x14ac:dyDescent="0.2">
      <c r="A413" s="2"/>
      <c r="B413" s="7" t="s">
        <v>609</v>
      </c>
      <c r="C413" s="15">
        <v>1.25</v>
      </c>
      <c r="D413" s="8" t="s">
        <v>488</v>
      </c>
      <c r="E413" s="8" t="s">
        <v>44</v>
      </c>
      <c r="F413" s="8" t="s">
        <v>417</v>
      </c>
      <c r="G413" s="8" t="s">
        <v>610</v>
      </c>
      <c r="H413" s="8">
        <f>(5313*($H$3))</f>
        <v>28424.55</v>
      </c>
      <c r="I413" s="8">
        <f>(6724*($H$3))</f>
        <v>35973.399999999994</v>
      </c>
      <c r="J413" s="8">
        <f>(6964*($H$3))</f>
        <v>37257.399999999994</v>
      </c>
      <c r="K413" s="8">
        <f>(7304*($H$3))</f>
        <v>39076.399999999994</v>
      </c>
    </row>
    <row r="414" spans="1:12" x14ac:dyDescent="0.2">
      <c r="A414" s="2"/>
      <c r="B414" s="7" t="s">
        <v>611</v>
      </c>
      <c r="C414" s="8" t="s">
        <v>275</v>
      </c>
      <c r="D414" s="8" t="s">
        <v>571</v>
      </c>
      <c r="E414" s="8" t="s">
        <v>44</v>
      </c>
      <c r="F414" s="8" t="s">
        <v>417</v>
      </c>
      <c r="G414" s="8" t="s">
        <v>100</v>
      </c>
      <c r="H414" s="8">
        <f>(5403.5*($H$3))</f>
        <v>28908.724999999999</v>
      </c>
      <c r="I414" s="8">
        <f>(6780*($H$3))</f>
        <v>36273</v>
      </c>
      <c r="J414" s="8">
        <f>(7047*($H$3))</f>
        <v>37701.449999999997</v>
      </c>
      <c r="K414" s="8">
        <f>(7425*($H$3))</f>
        <v>39723.75</v>
      </c>
    </row>
    <row r="415" spans="1:12" x14ac:dyDescent="0.2">
      <c r="A415" s="2"/>
      <c r="B415" s="7" t="s">
        <v>612</v>
      </c>
      <c r="C415" s="8" t="s">
        <v>277</v>
      </c>
      <c r="D415" s="8" t="s">
        <v>571</v>
      </c>
      <c r="E415" s="8" t="s">
        <v>44</v>
      </c>
      <c r="F415" s="8" t="s">
        <v>417</v>
      </c>
      <c r="G415" s="8" t="s">
        <v>100</v>
      </c>
      <c r="H415" s="8">
        <f>(5575.94*($H$3))</f>
        <v>29831.278999999995</v>
      </c>
      <c r="I415" s="8">
        <f>(6969.27*($H$3))</f>
        <v>37285.594499999999</v>
      </c>
      <c r="J415" s="8">
        <f>(7222.61*($H$3))</f>
        <v>38640.963499999998</v>
      </c>
      <c r="K415" s="8">
        <f>(7581.5*($H$3))</f>
        <v>40561.024999999994</v>
      </c>
    </row>
    <row r="416" spans="1:12" x14ac:dyDescent="0.2">
      <c r="A416" s="2"/>
      <c r="B416" s="7" t="s">
        <v>613</v>
      </c>
      <c r="C416" s="8" t="s">
        <v>504</v>
      </c>
      <c r="D416" s="8" t="s">
        <v>488</v>
      </c>
      <c r="E416" s="8" t="s">
        <v>44</v>
      </c>
      <c r="F416" s="8" t="s">
        <v>417</v>
      </c>
      <c r="G416" s="8" t="s">
        <v>25</v>
      </c>
      <c r="H416" s="8">
        <f>(6667.27*($H$3))</f>
        <v>35669.894500000002</v>
      </c>
      <c r="I416" s="8">
        <f>(8427.27*($H$3))</f>
        <v>45085.894500000002</v>
      </c>
      <c r="J416" s="8">
        <f>(8747.27*($H$3))</f>
        <v>46797.894500000002</v>
      </c>
      <c r="K416" s="8">
        <f>(9200.6*($H$3))</f>
        <v>49223.21</v>
      </c>
      <c r="L416" s="22"/>
    </row>
    <row r="417" spans="1:16" x14ac:dyDescent="0.2">
      <c r="A417" s="5" t="s">
        <v>3</v>
      </c>
      <c r="B417" s="7" t="s">
        <v>614</v>
      </c>
      <c r="C417" s="8" t="s">
        <v>386</v>
      </c>
      <c r="D417" s="8" t="s">
        <v>488</v>
      </c>
      <c r="E417" s="8" t="s">
        <v>44</v>
      </c>
      <c r="F417" s="8" t="s">
        <v>417</v>
      </c>
      <c r="G417" s="8" t="s">
        <v>28</v>
      </c>
      <c r="H417" s="8">
        <f>(7038.89*($H$3))</f>
        <v>37658.061499999996</v>
      </c>
      <c r="I417" s="8">
        <f>(8945.56*($H$3))</f>
        <v>47858.745999999992</v>
      </c>
      <c r="J417" s="8">
        <f>(9292.22*($H$3))</f>
        <v>49713.376999999993</v>
      </c>
      <c r="K417" s="8">
        <f>(9783.34*($H$3))</f>
        <v>52340.868999999999</v>
      </c>
    </row>
    <row r="418" spans="1:16" x14ac:dyDescent="0.2">
      <c r="A418" s="2"/>
      <c r="B418" s="7" t="s">
        <v>615</v>
      </c>
      <c r="C418" s="8" t="s">
        <v>508</v>
      </c>
      <c r="D418" s="8" t="s">
        <v>488</v>
      </c>
      <c r="E418" s="8" t="s">
        <v>44</v>
      </c>
      <c r="F418" s="8" t="s">
        <v>417</v>
      </c>
      <c r="G418" s="8" t="s">
        <v>28</v>
      </c>
      <c r="H418" s="8">
        <f>(7363.2*($H$3))</f>
        <v>39393.119999999995</v>
      </c>
      <c r="I418" s="8">
        <f>(9343.2*($H$3))</f>
        <v>49986.12</v>
      </c>
      <c r="J418" s="8">
        <f>(9703.2*($H$3))</f>
        <v>51912.12</v>
      </c>
      <c r="K418" s="8">
        <f>(10213.2*($H$3))</f>
        <v>54640.62</v>
      </c>
    </row>
    <row r="419" spans="1:16" x14ac:dyDescent="0.2">
      <c r="A419" s="2"/>
      <c r="B419" s="7" t="s">
        <v>616</v>
      </c>
      <c r="C419" s="8" t="s">
        <v>455</v>
      </c>
      <c r="D419" s="8" t="s">
        <v>488</v>
      </c>
      <c r="E419" s="8" t="s">
        <v>44</v>
      </c>
      <c r="F419" s="8" t="s">
        <v>417</v>
      </c>
      <c r="G419" s="8" t="s">
        <v>31</v>
      </c>
      <c r="H419" s="8">
        <f>(7706.54*($H$3))</f>
        <v>41229.988999999994</v>
      </c>
      <c r="I419" s="8">
        <f>(9833.2*($H$3))</f>
        <v>52607.62</v>
      </c>
      <c r="J419" s="8">
        <f>(10219.87*($H$3))</f>
        <v>54676.304499999998</v>
      </c>
      <c r="K419" s="8">
        <f>(10767.65*($H$3))</f>
        <v>57606.927499999991</v>
      </c>
    </row>
    <row r="420" spans="1:16" x14ac:dyDescent="0.2">
      <c r="A420" s="2"/>
      <c r="B420" s="7" t="s">
        <v>617</v>
      </c>
      <c r="C420" s="8" t="s">
        <v>175</v>
      </c>
      <c r="D420" s="8" t="s">
        <v>488</v>
      </c>
      <c r="E420" s="8" t="s">
        <v>44</v>
      </c>
      <c r="F420" s="8" t="s">
        <v>417</v>
      </c>
      <c r="G420" s="8" t="s">
        <v>365</v>
      </c>
      <c r="H420" s="8">
        <f>(8029.87*($H$3))</f>
        <v>42959.804499999998</v>
      </c>
      <c r="I420" s="8">
        <f>(10376.54*($H$3))</f>
        <v>55514.489000000001</v>
      </c>
      <c r="J420" s="8">
        <f>(10803.2*($H$3))</f>
        <v>57797.120000000003</v>
      </c>
      <c r="K420" s="8">
        <f>(11407.65*($H$3))</f>
        <v>61030.927499999991</v>
      </c>
    </row>
    <row r="421" spans="1:16" x14ac:dyDescent="0.2">
      <c r="A421" s="2"/>
      <c r="B421" s="7" t="s">
        <v>618</v>
      </c>
      <c r="C421" s="8" t="s">
        <v>251</v>
      </c>
      <c r="D421" s="8" t="s">
        <v>488</v>
      </c>
      <c r="E421" s="8" t="s">
        <v>44</v>
      </c>
      <c r="F421" s="8" t="s">
        <v>417</v>
      </c>
      <c r="G421" s="8" t="s">
        <v>499</v>
      </c>
      <c r="H421" s="8">
        <f>(8546.09*($H$3))</f>
        <v>45721.5815</v>
      </c>
      <c r="I421" s="8">
        <f>(11039.42*($H$3))</f>
        <v>59060.896999999997</v>
      </c>
      <c r="J421" s="8">
        <f>(11492.76*($H$3))</f>
        <v>61486.265999999996</v>
      </c>
      <c r="K421" s="8">
        <f>(12134.98*($H$3))</f>
        <v>64922.142999999996</v>
      </c>
    </row>
    <row r="422" spans="1:16" x14ac:dyDescent="0.2">
      <c r="A422" s="2"/>
      <c r="B422" s="7" t="s">
        <v>619</v>
      </c>
      <c r="C422" s="8" t="s">
        <v>585</v>
      </c>
      <c r="D422" s="8" t="s">
        <v>488</v>
      </c>
      <c r="E422" s="8" t="s">
        <v>44</v>
      </c>
      <c r="F422" s="8" t="s">
        <v>417</v>
      </c>
      <c r="G422" s="8" t="s">
        <v>90</v>
      </c>
      <c r="H422" s="8">
        <f>(9025.29*($H$3))</f>
        <v>48285.301500000001</v>
      </c>
      <c r="I422" s="8">
        <f>(11665.29*($H$3))</f>
        <v>62409.301500000001</v>
      </c>
      <c r="J422" s="8">
        <f>(12145.29*($H$3))</f>
        <v>64977.301500000001</v>
      </c>
      <c r="K422" s="8">
        <f>(12825.29*($H$3))</f>
        <v>68615.301500000001</v>
      </c>
    </row>
    <row r="423" spans="1:16" x14ac:dyDescent="0.2">
      <c r="A423" s="2"/>
      <c r="B423" s="7" t="s">
        <v>620</v>
      </c>
      <c r="C423" s="8" t="s">
        <v>588</v>
      </c>
      <c r="D423" s="8" t="s">
        <v>488</v>
      </c>
      <c r="E423" s="8" t="s">
        <v>44</v>
      </c>
      <c r="F423" s="8" t="s">
        <v>417</v>
      </c>
      <c r="G423" s="8" t="s">
        <v>98</v>
      </c>
      <c r="H423" s="8">
        <f>(9535.07*($H$3))</f>
        <v>51012.624499999998</v>
      </c>
      <c r="I423" s="8">
        <f>(12395.07*($H$3))</f>
        <v>66313.624499999991</v>
      </c>
      <c r="J423" s="8">
        <f>(12915.07*($H$3))</f>
        <v>69095.624499999991</v>
      </c>
      <c r="K423" s="8">
        <f>(13651.74*($H$3))</f>
        <v>73036.808999999994</v>
      </c>
    </row>
    <row r="424" spans="1:16" x14ac:dyDescent="0.2">
      <c r="A424" s="2"/>
      <c r="B424" s="7" t="s">
        <v>621</v>
      </c>
      <c r="C424" s="8" t="s">
        <v>18</v>
      </c>
      <c r="D424" s="8" t="s">
        <v>488</v>
      </c>
      <c r="E424" s="8" t="s">
        <v>44</v>
      </c>
      <c r="F424" s="8" t="s">
        <v>417</v>
      </c>
      <c r="G424" s="8" t="s">
        <v>363</v>
      </c>
      <c r="H424" s="8">
        <f>(7209.71*($H$3))</f>
        <v>38571.948499999999</v>
      </c>
      <c r="I424" s="8">
        <f>(9409.71*($H$3))</f>
        <v>50341.948499999991</v>
      </c>
      <c r="J424" s="8">
        <f>(9809.71*($H$3))</f>
        <v>52481.948499999991</v>
      </c>
      <c r="K424" s="8">
        <f>(10376.38*($H$3))</f>
        <v>55513.632999999994</v>
      </c>
    </row>
    <row r="425" spans="1:16" x14ac:dyDescent="0.2">
      <c r="A425" s="2"/>
      <c r="B425" s="7" t="s">
        <v>622</v>
      </c>
      <c r="C425" s="8" t="s">
        <v>24</v>
      </c>
      <c r="D425" s="8" t="s">
        <v>488</v>
      </c>
      <c r="E425" s="8" t="s">
        <v>44</v>
      </c>
      <c r="F425" s="8" t="s">
        <v>417</v>
      </c>
      <c r="G425" s="8" t="s">
        <v>365</v>
      </c>
      <c r="H425" s="8">
        <f>(7587.45*($H$3))</f>
        <v>40592.857499999998</v>
      </c>
      <c r="I425" s="8">
        <f>(9934.11*($H$3))</f>
        <v>53147.488499999999</v>
      </c>
      <c r="J425" s="8">
        <f>(10360.78*($H$3))</f>
        <v>55430.173000000003</v>
      </c>
      <c r="K425" s="8">
        <f>(10965.22*($H$3))</f>
        <v>58663.926999999996</v>
      </c>
    </row>
    <row r="426" spans="1:16" x14ac:dyDescent="0.2">
      <c r="A426" s="2"/>
      <c r="B426" s="7" t="s">
        <v>623</v>
      </c>
      <c r="C426" s="8" t="s">
        <v>27</v>
      </c>
      <c r="D426" s="8" t="s">
        <v>488</v>
      </c>
      <c r="E426" s="8" t="s">
        <v>44</v>
      </c>
      <c r="F426" s="8" t="s">
        <v>417</v>
      </c>
      <c r="G426" s="8" t="s">
        <v>365</v>
      </c>
      <c r="H426" s="8">
        <f>(7882.58*($H$3))</f>
        <v>42171.803</v>
      </c>
      <c r="I426" s="8">
        <f>(10302.58*($H$3))</f>
        <v>55118.802999999993</v>
      </c>
      <c r="J426" s="8">
        <f>(10742.58*($H$3))</f>
        <v>57472.802999999993</v>
      </c>
      <c r="K426" s="8">
        <f>(11365.91*($H$3))</f>
        <v>60807.618499999997</v>
      </c>
    </row>
    <row r="427" spans="1:16" x14ac:dyDescent="0.2">
      <c r="A427" s="2"/>
      <c r="B427" s="7" t="s">
        <v>624</v>
      </c>
      <c r="C427" s="8" t="s">
        <v>30</v>
      </c>
      <c r="D427" s="8" t="s">
        <v>488</v>
      </c>
      <c r="E427" s="8" t="s">
        <v>44</v>
      </c>
      <c r="F427" s="8" t="s">
        <v>417</v>
      </c>
      <c r="G427" s="8" t="s">
        <v>499</v>
      </c>
      <c r="H427" s="8">
        <f>(8237.16*($H$3))</f>
        <v>44068.805999999997</v>
      </c>
      <c r="I427" s="8">
        <f>(10803.82*($H$3))</f>
        <v>57800.436999999998</v>
      </c>
      <c r="J427" s="8">
        <f>(11270.49*($H$3))</f>
        <v>60297.121499999994</v>
      </c>
      <c r="K427" s="8">
        <f>(11931.6*($H$3))</f>
        <v>63834.06</v>
      </c>
    </row>
    <row r="428" spans="1:16" x14ac:dyDescent="0.2">
      <c r="A428" s="2"/>
      <c r="B428" s="7" t="s">
        <v>625</v>
      </c>
      <c r="C428" s="8" t="s">
        <v>108</v>
      </c>
      <c r="D428" s="8" t="s">
        <v>488</v>
      </c>
      <c r="E428" s="8" t="s">
        <v>44</v>
      </c>
      <c r="F428" s="8" t="s">
        <v>417</v>
      </c>
      <c r="G428" s="8" t="s">
        <v>98</v>
      </c>
      <c r="H428" s="8">
        <f>(8631.87*($H$3))</f>
        <v>46180.504500000003</v>
      </c>
      <c r="I428" s="8">
        <f>(11418.54*($H$3))</f>
        <v>61089.188999999998</v>
      </c>
      <c r="J428" s="8">
        <f>(11925.2*($H$3))</f>
        <v>63799.82</v>
      </c>
      <c r="K428" s="8">
        <f>(12642.98*($H$3))</f>
        <v>67639.942999999999</v>
      </c>
    </row>
    <row r="429" spans="1:16" x14ac:dyDescent="0.2">
      <c r="A429" s="2"/>
      <c r="B429" s="7" t="s">
        <v>626</v>
      </c>
      <c r="C429" s="8" t="s">
        <v>518</v>
      </c>
      <c r="D429" s="8" t="s">
        <v>488</v>
      </c>
      <c r="E429" s="8" t="s">
        <v>44</v>
      </c>
      <c r="F429" s="8" t="s">
        <v>417</v>
      </c>
      <c r="G429" s="8" t="s">
        <v>90</v>
      </c>
      <c r="H429" s="8">
        <f>(9148.36*($H$3))</f>
        <v>48943.726000000002</v>
      </c>
      <c r="I429" s="8">
        <f>(12081.69*($H$3))</f>
        <v>64637.041499999999</v>
      </c>
      <c r="J429" s="8">
        <f>(12615.02*($H$3))</f>
        <v>67490.357000000004</v>
      </c>
      <c r="K429" s="8">
        <f>(13370.58*($H$3))</f>
        <v>71532.602999999988</v>
      </c>
    </row>
    <row r="430" spans="1:16" s="16" customFormat="1" x14ac:dyDescent="0.2">
      <c r="A430" s="2"/>
      <c r="B430" s="7" t="s">
        <v>627</v>
      </c>
      <c r="C430" s="8" t="s">
        <v>521</v>
      </c>
      <c r="D430" s="8" t="s">
        <v>488</v>
      </c>
      <c r="E430" s="8" t="s">
        <v>44</v>
      </c>
      <c r="F430" s="8" t="s">
        <v>417</v>
      </c>
      <c r="G430" s="8" t="s">
        <v>120</v>
      </c>
      <c r="H430" s="8">
        <f>(9852.73*($H$3))</f>
        <v>52712.105499999991</v>
      </c>
      <c r="I430" s="8">
        <f>(13006.07*($H$3))</f>
        <v>69582.474499999997</v>
      </c>
      <c r="J430" s="8">
        <f>(13579.4*($H$3))</f>
        <v>72649.789999999994</v>
      </c>
      <c r="K430" s="8">
        <f>(14391.62*($H$3))</f>
        <v>76995.167000000001</v>
      </c>
      <c r="L430"/>
      <c r="M430"/>
      <c r="N430"/>
      <c r="O430"/>
      <c r="P430"/>
    </row>
    <row r="431" spans="1:16" x14ac:dyDescent="0.2">
      <c r="A431" s="2"/>
      <c r="B431" s="7" t="s">
        <v>628</v>
      </c>
      <c r="C431" s="8" t="s">
        <v>71</v>
      </c>
      <c r="D431" s="8" t="s">
        <v>488</v>
      </c>
      <c r="E431" s="8" t="s">
        <v>44</v>
      </c>
      <c r="F431" s="8" t="s">
        <v>417</v>
      </c>
      <c r="G431" s="8" t="s">
        <v>118</v>
      </c>
      <c r="H431" s="8">
        <f>(10330.6*($H$3))</f>
        <v>55268.71</v>
      </c>
      <c r="I431" s="8">
        <f>(13630.6*($H$3))</f>
        <v>72923.709999999992</v>
      </c>
      <c r="J431" s="8">
        <f>(14230.6*($H$3))</f>
        <v>76133.709999999992</v>
      </c>
      <c r="K431" s="8">
        <f>(15080.6*($H$3))</f>
        <v>80681.209999999992</v>
      </c>
    </row>
    <row r="432" spans="1:16" x14ac:dyDescent="0.2">
      <c r="A432" s="2"/>
      <c r="B432" s="7" t="s">
        <v>629</v>
      </c>
      <c r="C432" s="8" t="s">
        <v>295</v>
      </c>
      <c r="D432" s="8" t="s">
        <v>488</v>
      </c>
      <c r="E432" s="8" t="s">
        <v>44</v>
      </c>
      <c r="F432" s="8" t="s">
        <v>63</v>
      </c>
      <c r="G432" s="8" t="s">
        <v>153</v>
      </c>
      <c r="H432" s="8">
        <f>(4598.6*($H$3))</f>
        <v>24602.510000000002</v>
      </c>
      <c r="I432" s="8">
        <f>(5698.6*($H$3))</f>
        <v>30487.51</v>
      </c>
      <c r="J432" s="8">
        <f>(5898.6*($H$3))</f>
        <v>31557.51</v>
      </c>
      <c r="K432" s="8">
        <f>(6181.94*($H$3))</f>
        <v>33073.378999999994</v>
      </c>
    </row>
    <row r="433" spans="1:16" x14ac:dyDescent="0.2">
      <c r="A433" s="2"/>
      <c r="B433" s="7" t="s">
        <v>630</v>
      </c>
      <c r="C433" s="8" t="s">
        <v>151</v>
      </c>
      <c r="D433" s="8" t="s">
        <v>488</v>
      </c>
      <c r="E433" s="8" t="s">
        <v>44</v>
      </c>
      <c r="F433" s="8" t="s">
        <v>63</v>
      </c>
      <c r="G433" s="8" t="s">
        <v>148</v>
      </c>
      <c r="H433" s="8">
        <f>(4201.12*($H$3))</f>
        <v>22475.991999999998</v>
      </c>
      <c r="I433" s="8">
        <f>(5007.79*($H$3))</f>
        <v>26791.676499999998</v>
      </c>
      <c r="J433" s="8">
        <f>(5154.46*($H$3))</f>
        <v>27576.360999999997</v>
      </c>
      <c r="K433" s="8">
        <f>(5362.23*($H$3))</f>
        <v>28687.930499999995</v>
      </c>
    </row>
    <row r="434" spans="1:16" x14ac:dyDescent="0.2">
      <c r="A434" s="2"/>
      <c r="B434" s="7" t="s">
        <v>631</v>
      </c>
      <c r="C434" s="8" t="s">
        <v>170</v>
      </c>
      <c r="D434" s="8" t="s">
        <v>488</v>
      </c>
      <c r="E434" s="8" t="s">
        <v>44</v>
      </c>
      <c r="F434" s="8" t="s">
        <v>63</v>
      </c>
      <c r="G434" s="8" t="s">
        <v>292</v>
      </c>
      <c r="H434" s="8">
        <f>(4380.54*($H$3))</f>
        <v>23435.888999999999</v>
      </c>
      <c r="I434" s="8">
        <f>(5260.54*($H$3))</f>
        <v>28143.888999999999</v>
      </c>
      <c r="J434" s="8">
        <f>(5420.54*($H$3))</f>
        <v>28999.888999999999</v>
      </c>
      <c r="K434" s="8">
        <f>(5647.2*($H$3))</f>
        <v>30212.519999999997</v>
      </c>
    </row>
    <row r="435" spans="1:16" x14ac:dyDescent="0.2">
      <c r="A435" s="2"/>
      <c r="B435" s="7" t="s">
        <v>632</v>
      </c>
      <c r="C435" s="8" t="s">
        <v>167</v>
      </c>
      <c r="D435" s="8" t="s">
        <v>488</v>
      </c>
      <c r="E435" s="8" t="s">
        <v>44</v>
      </c>
      <c r="F435" s="8" t="s">
        <v>63</v>
      </c>
      <c r="G435" s="8" t="s">
        <v>292</v>
      </c>
      <c r="H435" s="8">
        <f>(4556.82*($H$3))</f>
        <v>24378.986999999997</v>
      </c>
      <c r="I435" s="8">
        <f>(5510.16*($H$3))</f>
        <v>29479.355999999996</v>
      </c>
      <c r="J435" s="8">
        <f>(5683.49*($H$3))</f>
        <v>30406.671499999997</v>
      </c>
      <c r="K435" s="8">
        <f>(5929.05*($H$3))</f>
        <v>31720.4175</v>
      </c>
    </row>
    <row r="436" spans="1:16" x14ac:dyDescent="0.2">
      <c r="A436" s="2"/>
      <c r="B436" s="7" t="s">
        <v>633</v>
      </c>
      <c r="C436" s="8" t="s">
        <v>173</v>
      </c>
      <c r="D436" s="8" t="s">
        <v>488</v>
      </c>
      <c r="E436" s="8" t="s">
        <v>44</v>
      </c>
      <c r="F436" s="8" t="s">
        <v>63</v>
      </c>
      <c r="G436" s="8" t="s">
        <v>153</v>
      </c>
      <c r="H436" s="8">
        <f>(4806.8*($H$3))</f>
        <v>25716.38</v>
      </c>
      <c r="I436" s="8">
        <f>(5833.47*($H$3))</f>
        <v>31209.0645</v>
      </c>
      <c r="J436" s="8">
        <f>(6020.14*($H$3))</f>
        <v>32207.749</v>
      </c>
      <c r="K436" s="8">
        <f>(6284.58*($H$3))</f>
        <v>33622.502999999997</v>
      </c>
    </row>
    <row r="437" spans="1:16" ht="23.25" x14ac:dyDescent="0.35">
      <c r="A437" s="2"/>
      <c r="B437" s="66" t="s">
        <v>634</v>
      </c>
      <c r="C437" s="67"/>
      <c r="D437" s="67"/>
      <c r="E437" s="67"/>
      <c r="F437" s="67"/>
      <c r="G437" s="67"/>
      <c r="H437" s="67"/>
      <c r="I437" s="67"/>
      <c r="J437" s="67"/>
      <c r="K437" s="68"/>
    </row>
    <row r="438" spans="1:16" x14ac:dyDescent="0.2">
      <c r="A438" s="2"/>
      <c r="B438" s="9" t="s">
        <v>4</v>
      </c>
      <c r="C438" s="9" t="s">
        <v>5</v>
      </c>
      <c r="D438" s="9" t="s">
        <v>6</v>
      </c>
      <c r="E438" s="9" t="s">
        <v>7</v>
      </c>
      <c r="F438" s="9" t="s">
        <v>8</v>
      </c>
      <c r="G438" s="9" t="s">
        <v>9</v>
      </c>
      <c r="H438" s="9" t="s">
        <v>10</v>
      </c>
      <c r="I438" s="9" t="s">
        <v>361</v>
      </c>
      <c r="J438" s="9" t="s">
        <v>12</v>
      </c>
      <c r="K438" s="9" t="s">
        <v>13</v>
      </c>
    </row>
    <row r="439" spans="1:16" s="16" customFormat="1" x14ac:dyDescent="0.2">
      <c r="A439" s="2"/>
      <c r="B439" s="7" t="s">
        <v>635</v>
      </c>
      <c r="C439" s="8" t="s">
        <v>295</v>
      </c>
      <c r="D439" s="8" t="s">
        <v>636</v>
      </c>
      <c r="E439" s="8" t="s">
        <v>492</v>
      </c>
      <c r="F439" s="8" t="s">
        <v>63</v>
      </c>
      <c r="G439" s="8" t="s">
        <v>163</v>
      </c>
      <c r="H439" s="8">
        <f>(3724.64*($H$3))</f>
        <v>19926.823999999997</v>
      </c>
      <c r="I439" s="8">
        <f>(4325.97*($H$3))</f>
        <v>23143.9395</v>
      </c>
      <c r="J439" s="8">
        <f>(4435.3*($H$3))</f>
        <v>23728.855</v>
      </c>
      <c r="K439" s="8">
        <f>(4590.19*($H$3))</f>
        <v>24557.516499999998</v>
      </c>
      <c r="L439"/>
      <c r="M439"/>
      <c r="N439"/>
      <c r="O439"/>
      <c r="P439"/>
    </row>
    <row r="440" spans="1:16" ht="23.25" x14ac:dyDescent="0.35">
      <c r="A440" s="2"/>
      <c r="B440" s="69" t="s">
        <v>306</v>
      </c>
      <c r="C440" s="69"/>
      <c r="D440" s="69"/>
      <c r="E440" s="69"/>
      <c r="F440" s="69"/>
      <c r="G440" s="69"/>
      <c r="H440" s="69"/>
      <c r="I440" s="69"/>
      <c r="J440" s="69"/>
      <c r="K440" s="69"/>
    </row>
    <row r="441" spans="1:16" x14ac:dyDescent="0.2">
      <c r="A441" s="2"/>
      <c r="B441" s="9" t="s">
        <v>4</v>
      </c>
      <c r="C441" s="9" t="s">
        <v>5</v>
      </c>
      <c r="D441" s="9" t="s">
        <v>6</v>
      </c>
      <c r="E441" s="9" t="s">
        <v>7</v>
      </c>
      <c r="F441" s="9" t="s">
        <v>8</v>
      </c>
      <c r="G441" s="9" t="s">
        <v>9</v>
      </c>
      <c r="H441" s="9" t="s">
        <v>10</v>
      </c>
      <c r="I441" s="9" t="s">
        <v>11</v>
      </c>
      <c r="J441" s="9" t="s">
        <v>12</v>
      </c>
      <c r="K441" s="9" t="s">
        <v>13</v>
      </c>
    </row>
    <row r="442" spans="1:16" x14ac:dyDescent="0.2">
      <c r="A442" s="2"/>
      <c r="B442" s="7" t="s">
        <v>237</v>
      </c>
      <c r="C442" s="8" t="s">
        <v>238</v>
      </c>
      <c r="D442" s="8" t="s">
        <v>158</v>
      </c>
      <c r="E442" s="8" t="s">
        <v>177</v>
      </c>
      <c r="F442" s="15">
        <v>0.25</v>
      </c>
      <c r="G442" s="8" t="s">
        <v>239</v>
      </c>
      <c r="H442" s="8">
        <f>(7410.86*($H$3))</f>
        <v>39648.100999999995</v>
      </c>
      <c r="I442" s="8">
        <f>(8406.42*($H$3))</f>
        <v>44974.346999999994</v>
      </c>
      <c r="J442" s="8">
        <f>(8619.75*($H$3))</f>
        <v>46115.662499999999</v>
      </c>
      <c r="K442" s="8">
        <f>(8921.97*($H$3))</f>
        <v>47732.539499999992</v>
      </c>
    </row>
    <row r="443" spans="1:16" x14ac:dyDescent="0.2">
      <c r="A443" s="2"/>
      <c r="B443" s="7" t="s">
        <v>240</v>
      </c>
      <c r="C443" s="8" t="s">
        <v>241</v>
      </c>
      <c r="D443" s="8" t="s">
        <v>158</v>
      </c>
      <c r="E443" s="8" t="s">
        <v>177</v>
      </c>
      <c r="F443" s="15">
        <v>0.25</v>
      </c>
      <c r="G443" s="8" t="s">
        <v>153</v>
      </c>
      <c r="H443" s="8">
        <f>(7735.18*($H$3))</f>
        <v>41383.212999999996</v>
      </c>
      <c r="I443" s="8">
        <f>(8792.96*($H$3))</f>
        <v>47042.335999999996</v>
      </c>
      <c r="J443" s="8">
        <f>(9019.62*($H$3))</f>
        <v>48254.967000000004</v>
      </c>
      <c r="K443" s="8">
        <f>(9340.74*($H$3))</f>
        <v>49972.958999999995</v>
      </c>
      <c r="L443" s="22"/>
    </row>
    <row r="444" spans="1:16" x14ac:dyDescent="0.2">
      <c r="A444" s="5" t="s">
        <v>3</v>
      </c>
      <c r="B444" s="7" t="s">
        <v>242</v>
      </c>
      <c r="C444" s="8" t="s">
        <v>243</v>
      </c>
      <c r="D444" s="8" t="s">
        <v>158</v>
      </c>
      <c r="E444" s="8" t="s">
        <v>177</v>
      </c>
      <c r="F444" s="15">
        <v>0.25</v>
      </c>
      <c r="G444" s="8" t="s">
        <v>153</v>
      </c>
      <c r="H444" s="8">
        <f>(7997.92*($H$3))</f>
        <v>42788.871999999996</v>
      </c>
      <c r="I444" s="8">
        <f>(9055.7*($H$3))</f>
        <v>48447.995000000003</v>
      </c>
      <c r="J444" s="8">
        <f>(9282.37*($H$3))</f>
        <v>49660.679499999998</v>
      </c>
      <c r="K444" s="8">
        <f>(9603.48*($H$3))</f>
        <v>51378.617999999995</v>
      </c>
    </row>
    <row r="445" spans="1:16" x14ac:dyDescent="0.2">
      <c r="A445" s="2"/>
      <c r="B445" s="7" t="s">
        <v>244</v>
      </c>
      <c r="C445" s="8" t="s">
        <v>245</v>
      </c>
      <c r="D445" s="8" t="s">
        <v>158</v>
      </c>
      <c r="E445" s="8" t="s">
        <v>177</v>
      </c>
      <c r="F445" s="15">
        <v>0.25</v>
      </c>
      <c r="G445" s="8" t="s">
        <v>91</v>
      </c>
      <c r="H445" s="8">
        <f>(8331.86*($H$3))</f>
        <v>44575.451000000001</v>
      </c>
      <c r="I445" s="8">
        <f>(9514.08*($H$3))</f>
        <v>50900.327999999994</v>
      </c>
      <c r="J445" s="8">
        <f>(9767.41*($H$3))</f>
        <v>52255.643499999998</v>
      </c>
      <c r="K445" s="8">
        <f>(10126.3*($H$3))</f>
        <v>54175.704999999994</v>
      </c>
    </row>
    <row r="446" spans="1:16" x14ac:dyDescent="0.2">
      <c r="A446" s="2"/>
      <c r="B446" s="7" t="s">
        <v>246</v>
      </c>
      <c r="C446" s="8" t="s">
        <v>247</v>
      </c>
      <c r="D446" s="8" t="s">
        <v>158</v>
      </c>
      <c r="E446" s="8" t="s">
        <v>177</v>
      </c>
      <c r="F446" s="15">
        <v>0.25</v>
      </c>
      <c r="G446" s="8" t="s">
        <v>100</v>
      </c>
      <c r="H446" s="8">
        <f>(8628.71*($H$3))</f>
        <v>46163.598499999993</v>
      </c>
      <c r="I446" s="8">
        <f>(9873.15*($H$3))</f>
        <v>52821.352499999994</v>
      </c>
      <c r="J446" s="8">
        <f>(10139.82*($H$3))</f>
        <v>54248.036999999997</v>
      </c>
      <c r="K446" s="8">
        <f>(10517.6*($H$3))</f>
        <v>56269.159999999996</v>
      </c>
    </row>
    <row r="447" spans="1:16" x14ac:dyDescent="0.2">
      <c r="A447" s="5" t="s">
        <v>3</v>
      </c>
      <c r="B447" s="7" t="s">
        <v>248</v>
      </c>
      <c r="C447" s="8" t="s">
        <v>249</v>
      </c>
      <c r="D447" s="8" t="s">
        <v>158</v>
      </c>
      <c r="E447" s="8" t="s">
        <v>177</v>
      </c>
      <c r="F447" s="15">
        <v>0.25</v>
      </c>
      <c r="G447" s="8" t="s">
        <v>46</v>
      </c>
      <c r="H447" s="8">
        <f>(8977.27*($H$3))</f>
        <v>48028.394500000002</v>
      </c>
      <c r="I447" s="8">
        <f>(10346.16*($H$3))</f>
        <v>55351.955999999998</v>
      </c>
      <c r="J447" s="8">
        <f>(10639.49*($H$3))</f>
        <v>56921.271499999995</v>
      </c>
      <c r="K447" s="8">
        <f>(11055.05*($H$3))</f>
        <v>59144.517499999994</v>
      </c>
      <c r="L447" s="16"/>
      <c r="M447" s="16"/>
      <c r="N447" s="16"/>
      <c r="O447" s="16"/>
      <c r="P447" s="16"/>
    </row>
    <row r="448" spans="1:16" s="16" customFormat="1" x14ac:dyDescent="0.2">
      <c r="A448" s="2"/>
      <c r="B448" s="7" t="s">
        <v>250</v>
      </c>
      <c r="C448" s="8" t="s">
        <v>251</v>
      </c>
      <c r="D448" s="8" t="s">
        <v>158</v>
      </c>
      <c r="E448" s="8" t="s">
        <v>177</v>
      </c>
      <c r="F448" s="15">
        <v>0.25</v>
      </c>
      <c r="G448" s="8" t="s">
        <v>22</v>
      </c>
      <c r="H448" s="8">
        <f>(9305.11*($H$3))</f>
        <v>49782.338499999998</v>
      </c>
      <c r="I448" s="8">
        <f>(10736.22*($H$3))</f>
        <v>57438.776999999995</v>
      </c>
      <c r="J448" s="8">
        <f>(11042.89*($H$3))</f>
        <v>59079.46149999999</v>
      </c>
      <c r="K448" s="8">
        <f>(11477.33*($H$3))</f>
        <v>61403.715499999998</v>
      </c>
      <c r="L448"/>
      <c r="M448"/>
      <c r="N448"/>
      <c r="O448"/>
      <c r="P448"/>
    </row>
    <row r="449" spans="1:16" ht="23.25" x14ac:dyDescent="0.35">
      <c r="A449" s="2"/>
      <c r="B449" s="69" t="s">
        <v>307</v>
      </c>
      <c r="C449" s="69"/>
      <c r="D449" s="69"/>
      <c r="E449" s="69"/>
      <c r="F449" s="69"/>
      <c r="G449" s="69"/>
      <c r="H449" s="69"/>
      <c r="I449" s="69"/>
      <c r="J449" s="69"/>
      <c r="K449" s="69"/>
    </row>
    <row r="450" spans="1:16" x14ac:dyDescent="0.2">
      <c r="A450" s="2"/>
      <c r="B450" s="9" t="s">
        <v>4</v>
      </c>
      <c r="C450" s="9" t="s">
        <v>5</v>
      </c>
      <c r="D450" s="9" t="s">
        <v>6</v>
      </c>
      <c r="E450" s="9" t="s">
        <v>7</v>
      </c>
      <c r="F450" s="9" t="s">
        <v>8</v>
      </c>
      <c r="G450" s="9" t="s">
        <v>9</v>
      </c>
      <c r="H450" s="9" t="s">
        <v>346</v>
      </c>
      <c r="I450" s="9" t="s">
        <v>14</v>
      </c>
      <c r="J450" s="9" t="s">
        <v>15</v>
      </c>
      <c r="K450" s="9" t="s">
        <v>16</v>
      </c>
    </row>
    <row r="451" spans="1:16" x14ac:dyDescent="0.2">
      <c r="A451" s="2"/>
      <c r="B451" s="7" t="s">
        <v>252</v>
      </c>
      <c r="C451" s="8" t="s">
        <v>238</v>
      </c>
      <c r="D451" s="8" t="s">
        <v>158</v>
      </c>
      <c r="E451" s="8" t="s">
        <v>177</v>
      </c>
      <c r="F451" s="15">
        <v>0.25</v>
      </c>
      <c r="G451" s="8" t="s">
        <v>90</v>
      </c>
      <c r="H451" s="8">
        <f>(8375.22*($H$3))</f>
        <v>44807.426999999996</v>
      </c>
      <c r="I451" s="8">
        <f>(12648.1*($H$3))</f>
        <v>67667.334999999992</v>
      </c>
      <c r="J451" s="8">
        <f>(12648.1*($H$3))</f>
        <v>67667.334999999992</v>
      </c>
      <c r="K451" s="8">
        <f>(15616.64*($H$3))</f>
        <v>83549.02399999999</v>
      </c>
    </row>
    <row r="452" spans="1:16" x14ac:dyDescent="0.2">
      <c r="A452" s="2"/>
      <c r="B452" s="7" t="s">
        <v>253</v>
      </c>
      <c r="C452" s="8" t="s">
        <v>241</v>
      </c>
      <c r="D452" s="8" t="s">
        <v>158</v>
      </c>
      <c r="E452" s="8" t="s">
        <v>177</v>
      </c>
      <c r="F452" s="15">
        <v>0.25</v>
      </c>
      <c r="G452" s="8" t="s">
        <v>113</v>
      </c>
      <c r="H452" s="8">
        <f>(9160.45*($H$3))</f>
        <v>49008.407500000001</v>
      </c>
      <c r="I452" s="8">
        <f>(13728.89*($H$3))</f>
        <v>73449.561499999996</v>
      </c>
      <c r="J452" s="8">
        <f>(13728.89*($H$3))</f>
        <v>73449.561499999996</v>
      </c>
      <c r="K452" s="8">
        <f>(16902.76*($H$3))</f>
        <v>90429.765999999989</v>
      </c>
    </row>
    <row r="453" spans="1:16" x14ac:dyDescent="0.2">
      <c r="A453" s="2"/>
      <c r="B453" s="7" t="s">
        <v>254</v>
      </c>
      <c r="C453" s="8" t="s">
        <v>243</v>
      </c>
      <c r="D453" s="8" t="s">
        <v>158</v>
      </c>
      <c r="E453" s="8" t="s">
        <v>177</v>
      </c>
      <c r="F453" s="15">
        <v>0.25</v>
      </c>
      <c r="G453" s="8" t="s">
        <v>120</v>
      </c>
      <c r="H453" s="8">
        <f>(9155.99*($H$3))</f>
        <v>48984.546499999997</v>
      </c>
      <c r="I453" s="8">
        <f>(14062.21*($H$3))</f>
        <v>75232.823499999984</v>
      </c>
      <c r="J453" s="8">
        <f>(14062.21*($H$3))</f>
        <v>75232.823499999984</v>
      </c>
      <c r="K453" s="8">
        <f>(17470.75*($H$3))</f>
        <v>93468.512499999997</v>
      </c>
    </row>
    <row r="454" spans="1:16" s="16" customFormat="1" x14ac:dyDescent="0.2">
      <c r="A454" s="2"/>
      <c r="B454" s="7" t="s">
        <v>255</v>
      </c>
      <c r="C454" s="8" t="s">
        <v>245</v>
      </c>
      <c r="D454" s="8" t="s">
        <v>158</v>
      </c>
      <c r="E454" s="8" t="s">
        <v>177</v>
      </c>
      <c r="F454" s="15">
        <v>0.25</v>
      </c>
      <c r="G454" s="8" t="s">
        <v>45</v>
      </c>
      <c r="H454" s="8">
        <f>(9559.86*($H$3))</f>
        <v>51145.250999999997</v>
      </c>
      <c r="I454" s="8">
        <f>(14850.3*($H$3))</f>
        <v>79449.104999999996</v>
      </c>
      <c r="J454" s="8">
        <f>(14850.3*($H$3))</f>
        <v>79449.104999999996</v>
      </c>
      <c r="K454" s="8">
        <f>(18525.77*($H$3))</f>
        <v>99112.869500000001</v>
      </c>
      <c r="L454"/>
      <c r="M454"/>
      <c r="N454"/>
      <c r="O454"/>
      <c r="P454"/>
    </row>
    <row r="455" spans="1:16" x14ac:dyDescent="0.2">
      <c r="A455" s="2"/>
      <c r="B455" s="7" t="s">
        <v>256</v>
      </c>
      <c r="C455" s="8" t="s">
        <v>247</v>
      </c>
      <c r="D455" s="8" t="s">
        <v>158</v>
      </c>
      <c r="E455" s="8" t="s">
        <v>177</v>
      </c>
      <c r="F455" s="15">
        <v>0.25</v>
      </c>
      <c r="G455" s="8" t="s">
        <v>257</v>
      </c>
      <c r="H455" s="8">
        <f>(9953.04*($H$3))</f>
        <v>53248.764000000003</v>
      </c>
      <c r="I455" s="8">
        <f>(15604.49*($H$3))</f>
        <v>83484.021499999988</v>
      </c>
      <c r="J455" s="8">
        <f>(15604.49*($H$3))</f>
        <v>83484.021499999988</v>
      </c>
      <c r="K455" s="8">
        <f>(19530.75*($H$3))</f>
        <v>104489.5125</v>
      </c>
    </row>
    <row r="456" spans="1:16" x14ac:dyDescent="0.2">
      <c r="A456" s="5" t="s">
        <v>3</v>
      </c>
      <c r="B456" s="7" t="s">
        <v>258</v>
      </c>
      <c r="C456" s="8" t="s">
        <v>249</v>
      </c>
      <c r="D456" s="8" t="s">
        <v>158</v>
      </c>
      <c r="E456" s="8" t="s">
        <v>177</v>
      </c>
      <c r="F456" s="15">
        <v>0.25</v>
      </c>
      <c r="G456" s="8" t="s">
        <v>54</v>
      </c>
      <c r="H456" s="8">
        <f>(10356.83*($H$3))</f>
        <v>55409.040499999996</v>
      </c>
      <c r="I456" s="8">
        <f>(16369.27*($H$3))</f>
        <v>87575.594499999992</v>
      </c>
      <c r="J456" s="8">
        <f>(16369.27*($H$3))</f>
        <v>87575.594499999992</v>
      </c>
      <c r="K456" s="8">
        <f>(20546.34*($H$3))</f>
        <v>109922.91899999999</v>
      </c>
      <c r="L456" s="16"/>
      <c r="M456" s="16"/>
      <c r="N456" s="16"/>
      <c r="O456" s="16"/>
      <c r="P456" s="16"/>
    </row>
    <row r="457" spans="1:16" x14ac:dyDescent="0.2">
      <c r="A457" s="2"/>
      <c r="B457" s="7" t="s">
        <v>259</v>
      </c>
      <c r="C457" s="8" t="s">
        <v>251</v>
      </c>
      <c r="D457" s="8" t="s">
        <v>158</v>
      </c>
      <c r="E457" s="8" t="s">
        <v>177</v>
      </c>
      <c r="F457" s="15">
        <v>0.25</v>
      </c>
      <c r="G457" s="8" t="s">
        <v>34</v>
      </c>
      <c r="H457" s="8">
        <f>(10780.22*($H$3))</f>
        <v>57674.176999999996</v>
      </c>
      <c r="I457" s="8">
        <f>(17151.56*($H$3))</f>
        <v>91760.846000000005</v>
      </c>
      <c r="J457" s="8">
        <f>(17151.56*($H$3))</f>
        <v>91760.846000000005</v>
      </c>
      <c r="K457" s="8">
        <f>(21577.96*($H$3))</f>
        <v>115442.08599999998</v>
      </c>
    </row>
    <row r="458" spans="1:16" ht="23.25" x14ac:dyDescent="0.35">
      <c r="A458" s="2"/>
      <c r="B458" s="69" t="s">
        <v>308</v>
      </c>
      <c r="C458" s="69"/>
      <c r="D458" s="69"/>
      <c r="E458" s="69"/>
      <c r="F458" s="69"/>
      <c r="G458" s="69"/>
      <c r="H458" s="69"/>
      <c r="I458" s="69"/>
      <c r="J458" s="69"/>
      <c r="K458" s="69"/>
    </row>
    <row r="459" spans="1:16" x14ac:dyDescent="0.2">
      <c r="A459" s="2"/>
      <c r="B459" s="9" t="s">
        <v>4</v>
      </c>
      <c r="C459" s="9" t="s">
        <v>5</v>
      </c>
      <c r="D459" s="9" t="s">
        <v>6</v>
      </c>
      <c r="E459" s="9" t="s">
        <v>7</v>
      </c>
      <c r="F459" s="9" t="s">
        <v>8</v>
      </c>
      <c r="G459" s="9" t="s">
        <v>9</v>
      </c>
      <c r="H459" s="5" t="s">
        <v>345</v>
      </c>
      <c r="I459" s="9" t="s">
        <v>11</v>
      </c>
      <c r="J459" s="9" t="s">
        <v>12</v>
      </c>
      <c r="K459" s="9" t="s">
        <v>13</v>
      </c>
    </row>
    <row r="460" spans="1:16" x14ac:dyDescent="0.2">
      <c r="A460" s="2"/>
      <c r="B460" s="7" t="s">
        <v>265</v>
      </c>
      <c r="C460" s="8" t="s">
        <v>167</v>
      </c>
      <c r="D460" s="8" t="s">
        <v>261</v>
      </c>
      <c r="E460" s="8" t="s">
        <v>180</v>
      </c>
      <c r="F460" s="8" t="s">
        <v>63</v>
      </c>
      <c r="G460" s="8" t="s">
        <v>82</v>
      </c>
      <c r="H460" s="8">
        <f>(4439.63*($H$3))</f>
        <v>23752.020499999999</v>
      </c>
      <c r="I460" s="8">
        <f>(5061.85*($H$3))</f>
        <v>27080.897499999999</v>
      </c>
      <c r="J460" s="8">
        <f>(5195.19*($H$3))</f>
        <v>27794.266499999994</v>
      </c>
      <c r="K460" s="8">
        <f>(5384.07*($H$3))</f>
        <v>28804.774499999996</v>
      </c>
    </row>
    <row r="461" spans="1:16" x14ac:dyDescent="0.2">
      <c r="A461" s="2"/>
      <c r="B461" s="7" t="s">
        <v>260</v>
      </c>
      <c r="C461" s="8" t="s">
        <v>67</v>
      </c>
      <c r="D461" s="8" t="s">
        <v>261</v>
      </c>
      <c r="E461" s="8" t="s">
        <v>180</v>
      </c>
      <c r="F461" s="8" t="s">
        <v>63</v>
      </c>
      <c r="G461" s="8" t="s">
        <v>91</v>
      </c>
      <c r="H461" s="8">
        <f>(6298.45*($H$3))</f>
        <v>33696.707499999997</v>
      </c>
      <c r="I461" s="8">
        <f>(7356.22*($H$3))</f>
        <v>39355.777000000002</v>
      </c>
      <c r="J461" s="8">
        <f>(7582.89*($H$3))</f>
        <v>40568.461499999998</v>
      </c>
      <c r="K461" s="8">
        <f>(7904*($H$3))</f>
        <v>42286.399999999994</v>
      </c>
    </row>
    <row r="462" spans="1:16" x14ac:dyDescent="0.2">
      <c r="A462" s="2"/>
      <c r="B462" s="18" t="s">
        <v>349</v>
      </c>
      <c r="C462" s="8" t="s">
        <v>67</v>
      </c>
      <c r="D462" s="8" t="s">
        <v>262</v>
      </c>
      <c r="E462" s="8" t="s">
        <v>180</v>
      </c>
      <c r="F462" s="8" t="s">
        <v>63</v>
      </c>
      <c r="G462" s="8" t="s">
        <v>222</v>
      </c>
      <c r="H462" s="8">
        <f>(10712.44*($H$3))</f>
        <v>57311.553999999996</v>
      </c>
      <c r="I462" s="8">
        <f>(12081.33*($H$3))</f>
        <v>64635.115499999993</v>
      </c>
      <c r="J462" s="8">
        <f>(12374.67*($H$3))</f>
        <v>66204.484499999991</v>
      </c>
      <c r="K462" s="8">
        <f>(12790.22*($H$3))</f>
        <v>68427.676999999996</v>
      </c>
    </row>
    <row r="463" spans="1:16" x14ac:dyDescent="0.2">
      <c r="A463" s="2"/>
      <c r="B463" s="7" t="s">
        <v>263</v>
      </c>
      <c r="C463" s="8" t="s">
        <v>167</v>
      </c>
      <c r="D463" s="8" t="s">
        <v>262</v>
      </c>
      <c r="E463" s="8" t="s">
        <v>264</v>
      </c>
      <c r="F463" s="8" t="s">
        <v>63</v>
      </c>
      <c r="G463" s="8" t="s">
        <v>125</v>
      </c>
      <c r="H463" s="8">
        <f>(3865.15*($H$3))</f>
        <v>20678.552499999998</v>
      </c>
      <c r="I463" s="8">
        <f>(4425.15*($H$3))</f>
        <v>23674.552499999998</v>
      </c>
      <c r="J463" s="8">
        <f>(4545.15*($H$3))</f>
        <v>24316.552499999998</v>
      </c>
      <c r="K463" s="8">
        <f>(4715.15*($H$3))</f>
        <v>25226.052499999998</v>
      </c>
    </row>
    <row r="464" spans="1:16" ht="23.25" x14ac:dyDescent="0.35">
      <c r="A464" s="2"/>
      <c r="B464" s="69" t="s">
        <v>309</v>
      </c>
      <c r="C464" s="69"/>
      <c r="D464" s="69"/>
      <c r="E464" s="69"/>
      <c r="F464" s="69"/>
      <c r="G464" s="69"/>
      <c r="H464" s="69"/>
      <c r="I464" s="69"/>
      <c r="J464" s="69"/>
      <c r="K464" s="69"/>
    </row>
    <row r="465" spans="1:16" x14ac:dyDescent="0.2">
      <c r="A465" s="5" t="s">
        <v>3</v>
      </c>
      <c r="B465" s="9" t="s">
        <v>4</v>
      </c>
      <c r="C465" s="9" t="s">
        <v>5</v>
      </c>
      <c r="D465" s="9" t="s">
        <v>6</v>
      </c>
      <c r="E465" s="9" t="s">
        <v>7</v>
      </c>
      <c r="F465" s="9" t="s">
        <v>8</v>
      </c>
      <c r="G465" s="9" t="s">
        <v>9</v>
      </c>
      <c r="H465" s="9" t="s">
        <v>10</v>
      </c>
      <c r="I465" s="9" t="s">
        <v>11</v>
      </c>
      <c r="J465" s="9" t="s">
        <v>12</v>
      </c>
      <c r="K465" s="9" t="s">
        <v>13</v>
      </c>
      <c r="L465" s="16"/>
      <c r="M465" s="16"/>
      <c r="N465" s="16"/>
      <c r="O465" s="16"/>
      <c r="P465" s="16"/>
    </row>
    <row r="466" spans="1:16" x14ac:dyDescent="0.2">
      <c r="A466" s="2"/>
      <c r="B466" s="7" t="s">
        <v>266</v>
      </c>
      <c r="C466" s="8" t="s">
        <v>267</v>
      </c>
      <c r="D466" s="8" t="s">
        <v>268</v>
      </c>
      <c r="E466" s="8" t="s">
        <v>151</v>
      </c>
      <c r="F466" s="8" t="s">
        <v>21</v>
      </c>
      <c r="G466" s="8" t="s">
        <v>153</v>
      </c>
      <c r="H466" s="8">
        <f>(4748.81*($H$3))</f>
        <v>25406.1335</v>
      </c>
      <c r="I466" s="8">
        <f>(5744.36*($H$3))</f>
        <v>30732.325999999997</v>
      </c>
      <c r="J466" s="8">
        <f>(5957.7*($H$3))</f>
        <v>31873.694999999996</v>
      </c>
      <c r="K466" s="8">
        <f>(6259.92*($H$3))</f>
        <v>33490.572</v>
      </c>
    </row>
    <row r="467" spans="1:16" x14ac:dyDescent="0.2">
      <c r="A467" s="2"/>
      <c r="B467" s="7" t="s">
        <v>269</v>
      </c>
      <c r="C467" s="8" t="s">
        <v>270</v>
      </c>
      <c r="D467" s="8" t="s">
        <v>268</v>
      </c>
      <c r="E467" s="8" t="s">
        <v>151</v>
      </c>
      <c r="F467" s="8" t="s">
        <v>21</v>
      </c>
      <c r="G467" s="8" t="s">
        <v>271</v>
      </c>
      <c r="H467" s="8">
        <f>(4914.12*($H$3))</f>
        <v>26290.541999999998</v>
      </c>
      <c r="I467" s="8">
        <f>(6034.12*($H$3))</f>
        <v>32282.541999999998</v>
      </c>
      <c r="J467" s="8">
        <f>(6274.12*($H$3))</f>
        <v>33566.541999999994</v>
      </c>
      <c r="K467" s="8">
        <f>(6614.12*($H$3))</f>
        <v>35385.541999999994</v>
      </c>
    </row>
    <row r="468" spans="1:16" x14ac:dyDescent="0.2">
      <c r="A468" s="2"/>
      <c r="B468" s="7" t="s">
        <v>272</v>
      </c>
      <c r="C468" s="8" t="s">
        <v>273</v>
      </c>
      <c r="D468" s="8" t="s">
        <v>268</v>
      </c>
      <c r="E468" s="8" t="s">
        <v>151</v>
      </c>
      <c r="F468" s="8" t="s">
        <v>21</v>
      </c>
      <c r="G468" s="8" t="s">
        <v>91</v>
      </c>
      <c r="H468" s="8">
        <f>(5067.16*($H$3))</f>
        <v>27109.305999999997</v>
      </c>
      <c r="I468" s="8">
        <f>(6249.39*($H$3))</f>
        <v>33434.236499999999</v>
      </c>
      <c r="J468" s="8">
        <f>(6502.72*($H$3))</f>
        <v>34789.551999999996</v>
      </c>
      <c r="K468" s="8">
        <f>(6861.61*($H$3))</f>
        <v>36709.613499999992</v>
      </c>
    </row>
    <row r="469" spans="1:16" x14ac:dyDescent="0.2">
      <c r="A469" s="2"/>
      <c r="B469" s="7" t="s">
        <v>274</v>
      </c>
      <c r="C469" s="8" t="s">
        <v>275</v>
      </c>
      <c r="D469" s="8" t="s">
        <v>268</v>
      </c>
      <c r="E469" s="8" t="s">
        <v>151</v>
      </c>
      <c r="F469" s="8" t="s">
        <v>21</v>
      </c>
      <c r="G469" s="8" t="s">
        <v>96</v>
      </c>
      <c r="H469" s="8">
        <f>(5232.79*($H$3))</f>
        <v>27995.426499999998</v>
      </c>
      <c r="I469" s="8">
        <f>(6477.23*($H$3))</f>
        <v>34653.180499999995</v>
      </c>
      <c r="J469" s="8">
        <f>(6743.9*($H$3))</f>
        <v>36079.864999999998</v>
      </c>
      <c r="K469" s="8">
        <f>(7121.67*($H$3))</f>
        <v>38100.934499999996</v>
      </c>
    </row>
    <row r="470" spans="1:16" x14ac:dyDescent="0.2">
      <c r="A470" s="2"/>
      <c r="B470" s="7" t="s">
        <v>276</v>
      </c>
      <c r="C470" s="8" t="s">
        <v>277</v>
      </c>
      <c r="D470" s="8" t="s">
        <v>268</v>
      </c>
      <c r="E470" s="8" t="s">
        <v>151</v>
      </c>
      <c r="F470" s="8" t="s">
        <v>21</v>
      </c>
      <c r="G470" s="8" t="s">
        <v>100</v>
      </c>
      <c r="H470" s="8">
        <f>(5392.47*($H$3))</f>
        <v>28849.714499999998</v>
      </c>
      <c r="I470" s="8">
        <f>(6699.14*($H$3))</f>
        <v>35840.398999999998</v>
      </c>
      <c r="J470" s="8">
        <f>(6979.14*($H$3))</f>
        <v>37338.398999999998</v>
      </c>
      <c r="K470" s="8">
        <f>(7375.81*($H$3))</f>
        <v>39460.583500000001</v>
      </c>
    </row>
    <row r="471" spans="1:16" x14ac:dyDescent="0.2">
      <c r="A471" s="5" t="s">
        <v>3</v>
      </c>
      <c r="B471" s="7" t="s">
        <v>278</v>
      </c>
      <c r="C471" s="8" t="s">
        <v>93</v>
      </c>
      <c r="D471" s="8" t="s">
        <v>268</v>
      </c>
      <c r="E471" s="8" t="s">
        <v>151</v>
      </c>
      <c r="F471" s="8" t="s">
        <v>21</v>
      </c>
      <c r="G471" s="8" t="s">
        <v>279</v>
      </c>
      <c r="H471" s="8">
        <f>(6980.72*($H$3))</f>
        <v>37346.851999999999</v>
      </c>
      <c r="I471" s="8">
        <f>(8971.84*($H$3))</f>
        <v>47999.343999999997</v>
      </c>
      <c r="J471" s="8">
        <f>(9398.5*($H$3))</f>
        <v>50281.974999999999</v>
      </c>
      <c r="K471" s="8">
        <f>(10002.95*($H$3))</f>
        <v>53515.782500000001</v>
      </c>
      <c r="L471" s="16"/>
      <c r="M471" s="16"/>
      <c r="N471" s="16"/>
      <c r="O471" s="16"/>
      <c r="P471" s="16"/>
    </row>
    <row r="472" spans="1:16" x14ac:dyDescent="0.2">
      <c r="A472" s="2"/>
      <c r="B472" s="7" t="s">
        <v>280</v>
      </c>
      <c r="C472" s="8" t="s">
        <v>18</v>
      </c>
      <c r="D472" s="8" t="s">
        <v>268</v>
      </c>
      <c r="E472" s="8" t="s">
        <v>151</v>
      </c>
      <c r="F472" s="8" t="s">
        <v>21</v>
      </c>
      <c r="G472" s="8" t="s">
        <v>281</v>
      </c>
      <c r="H472" s="8">
        <f>(7316.21*($H$3))</f>
        <v>39141.7235</v>
      </c>
      <c r="I472" s="8">
        <f>(9431.77*($H$3))</f>
        <v>50459.969499999999</v>
      </c>
      <c r="J472" s="8">
        <f>(9885.1*($H$3))</f>
        <v>52885.284999999996</v>
      </c>
      <c r="K472" s="8">
        <f>(10527.32*($H$3))</f>
        <v>56321.161999999997</v>
      </c>
    </row>
    <row r="473" spans="1:16" x14ac:dyDescent="0.2">
      <c r="A473" s="2"/>
      <c r="B473" s="7" t="s">
        <v>282</v>
      </c>
      <c r="C473" s="8" t="s">
        <v>24</v>
      </c>
      <c r="D473" s="8" t="s">
        <v>268</v>
      </c>
      <c r="E473" s="8" t="s">
        <v>151</v>
      </c>
      <c r="F473" s="8" t="s">
        <v>21</v>
      </c>
      <c r="G473" s="8" t="s">
        <v>283</v>
      </c>
      <c r="H473" s="8">
        <f>(7653.04*($H$3))</f>
        <v>40943.763999999996</v>
      </c>
      <c r="I473" s="8">
        <f>(9893.04*($H$3))</f>
        <v>52927.764000000003</v>
      </c>
      <c r="J473" s="8">
        <f>(10373.04*($H$3))</f>
        <v>55495.764000000003</v>
      </c>
      <c r="K473" s="8">
        <f>(11053.04*($H$3))</f>
        <v>59133.764000000003</v>
      </c>
    </row>
    <row r="474" spans="1:16" x14ac:dyDescent="0.2">
      <c r="A474" s="2"/>
      <c r="B474" s="7" t="s">
        <v>284</v>
      </c>
      <c r="C474" s="8" t="s">
        <v>27</v>
      </c>
      <c r="D474" s="8" t="s">
        <v>268</v>
      </c>
      <c r="E474" s="8" t="s">
        <v>151</v>
      </c>
      <c r="F474" s="8" t="s">
        <v>21</v>
      </c>
      <c r="G474" s="8" t="s">
        <v>90</v>
      </c>
      <c r="H474" s="8">
        <f>(8039.43*($H$3))</f>
        <v>43010.950499999999</v>
      </c>
      <c r="I474" s="8">
        <f>(10466.09*($H$3))</f>
        <v>55993.5815</v>
      </c>
      <c r="J474" s="8">
        <f>(10986.09*($H$3))</f>
        <v>58775.5815</v>
      </c>
      <c r="K474" s="8">
        <f>(11722.76*($H$3))</f>
        <v>62716.765999999996</v>
      </c>
    </row>
    <row r="475" spans="1:16" x14ac:dyDescent="0.2">
      <c r="A475" s="2"/>
      <c r="B475" s="7" t="s">
        <v>285</v>
      </c>
      <c r="C475" s="8" t="s">
        <v>30</v>
      </c>
      <c r="D475" s="8" t="s">
        <v>268</v>
      </c>
      <c r="E475" s="8" t="s">
        <v>151</v>
      </c>
      <c r="F475" s="8" t="s">
        <v>21</v>
      </c>
      <c r="G475" s="8" t="s">
        <v>98</v>
      </c>
      <c r="H475" s="8">
        <f>(8283.29*($H$3))</f>
        <v>44315.601500000004</v>
      </c>
      <c r="I475" s="8">
        <f>(10834.4*($H$3))</f>
        <v>57964.039999999994</v>
      </c>
      <c r="J475" s="8">
        <f>(11381.07*($H$3))</f>
        <v>60888.724499999997</v>
      </c>
      <c r="K475" s="8">
        <f>(12155.51*($H$3))</f>
        <v>65031.978499999997</v>
      </c>
    </row>
    <row r="476" spans="1:16" x14ac:dyDescent="0.2">
      <c r="A476" s="2"/>
      <c r="B476" s="7" t="s">
        <v>286</v>
      </c>
      <c r="C476" s="8" t="s">
        <v>267</v>
      </c>
      <c r="D476" s="8" t="s">
        <v>268</v>
      </c>
      <c r="E476" s="8" t="s">
        <v>151</v>
      </c>
      <c r="F476" s="8" t="s">
        <v>63</v>
      </c>
      <c r="G476" s="8" t="s">
        <v>91</v>
      </c>
      <c r="H476" s="8">
        <f>(4817.01*($H$3))</f>
        <v>25771.003499999999</v>
      </c>
      <c r="I476" s="8">
        <f>(5937.01*($H$3))</f>
        <v>31763.003499999999</v>
      </c>
      <c r="J476" s="8">
        <f>(6177.01*($H$3))</f>
        <v>33047.003499999999</v>
      </c>
      <c r="K476" s="8">
        <f>(6517.01*($H$3))</f>
        <v>34866.003499999999</v>
      </c>
    </row>
    <row r="477" spans="1:16" x14ac:dyDescent="0.2">
      <c r="A477" s="2"/>
      <c r="B477" s="7" t="s">
        <v>289</v>
      </c>
      <c r="C477" s="8" t="s">
        <v>151</v>
      </c>
      <c r="D477" s="8" t="s">
        <v>268</v>
      </c>
      <c r="E477" s="8" t="s">
        <v>151</v>
      </c>
      <c r="F477" s="8" t="s">
        <v>63</v>
      </c>
      <c r="G477" s="8" t="s">
        <v>163</v>
      </c>
      <c r="H477" s="8">
        <f>(3740.36*($H$3))</f>
        <v>20010.925999999999</v>
      </c>
      <c r="I477" s="8">
        <f>(4487.03*($H$3))</f>
        <v>24005.610499999995</v>
      </c>
      <c r="J477" s="8">
        <f>(4647.03*($H$3))</f>
        <v>24861.610499999995</v>
      </c>
      <c r="K477" s="8">
        <f>(4873.69*($H$3))</f>
        <v>26074.241499999996</v>
      </c>
    </row>
    <row r="478" spans="1:16" x14ac:dyDescent="0.2">
      <c r="A478" s="2"/>
      <c r="B478" s="7" t="s">
        <v>290</v>
      </c>
      <c r="C478" s="8" t="s">
        <v>170</v>
      </c>
      <c r="D478" s="8" t="s">
        <v>268</v>
      </c>
      <c r="E478" s="8" t="s">
        <v>151</v>
      </c>
      <c r="F478" s="8" t="s">
        <v>63</v>
      </c>
      <c r="G478" s="8" t="s">
        <v>148</v>
      </c>
      <c r="H478" s="8">
        <f>(3877.17*($H$3))</f>
        <v>20742.859499999999</v>
      </c>
      <c r="I478" s="8">
        <f>(4686.06*($H$3))</f>
        <v>25070.421000000002</v>
      </c>
      <c r="J478" s="8">
        <f>(4859.39*($H$3))</f>
        <v>25997.736499999999</v>
      </c>
      <c r="K478" s="8">
        <f>(5104.95*($H$3))</f>
        <v>27311.482499999998</v>
      </c>
    </row>
    <row r="479" spans="1:16" x14ac:dyDescent="0.2">
      <c r="A479" s="2"/>
      <c r="B479" s="7" t="s">
        <v>291</v>
      </c>
      <c r="C479" s="8" t="s">
        <v>167</v>
      </c>
      <c r="D479" s="8" t="s">
        <v>268</v>
      </c>
      <c r="E479" s="8" t="s">
        <v>151</v>
      </c>
      <c r="F479" s="8" t="s">
        <v>63</v>
      </c>
      <c r="G479" s="8" t="s">
        <v>292</v>
      </c>
      <c r="H479" s="8">
        <f>(4049.43*($H$3))</f>
        <v>21664.450499999999</v>
      </c>
      <c r="I479" s="8">
        <f>(4920.54*($H$3))</f>
        <v>26324.888999999999</v>
      </c>
      <c r="J479" s="8">
        <f>(5107.21*($H$3))</f>
        <v>27323.573499999999</v>
      </c>
      <c r="K479" s="8">
        <f>(5371.65*($H$3))</f>
        <v>28738.327499999996</v>
      </c>
    </row>
    <row r="480" spans="1:16" x14ac:dyDescent="0.2">
      <c r="A480" s="2"/>
      <c r="B480" s="7" t="s">
        <v>293</v>
      </c>
      <c r="C480" s="8" t="s">
        <v>173</v>
      </c>
      <c r="D480" s="8" t="s">
        <v>268</v>
      </c>
      <c r="E480" s="8" t="s">
        <v>151</v>
      </c>
      <c r="F480" s="8" t="s">
        <v>63</v>
      </c>
      <c r="G480" s="8" t="s">
        <v>239</v>
      </c>
      <c r="H480" s="8">
        <f>(4204.49*($H$3))</f>
        <v>22494.021499999999</v>
      </c>
      <c r="I480" s="8">
        <f>(5137.82*($H$3))</f>
        <v>27487.336999999996</v>
      </c>
      <c r="J480" s="8">
        <f>(5337.82*($H$3))</f>
        <v>28557.336999999996</v>
      </c>
      <c r="K480" s="8">
        <f>(5621.16*($H$3))</f>
        <v>30073.205999999998</v>
      </c>
    </row>
    <row r="481" spans="1:11" x14ac:dyDescent="0.2">
      <c r="A481" s="2"/>
      <c r="B481" s="7" t="s">
        <v>294</v>
      </c>
      <c r="C481" s="8" t="s">
        <v>295</v>
      </c>
      <c r="D481" s="8" t="s">
        <v>296</v>
      </c>
      <c r="E481" s="8" t="s">
        <v>151</v>
      </c>
      <c r="F481" s="8" t="s">
        <v>63</v>
      </c>
      <c r="G481" s="8" t="s">
        <v>153</v>
      </c>
      <c r="H481" s="8">
        <f>(4494.21*($H$3))</f>
        <v>24044.023499999999</v>
      </c>
      <c r="I481" s="8">
        <f>(5489.77*($H$3))</f>
        <v>29370.269500000002</v>
      </c>
      <c r="J481" s="8">
        <f>(5703.1*($H$3))</f>
        <v>30511.584999999999</v>
      </c>
      <c r="K481" s="8">
        <f>(6005.32*($H$3))</f>
        <v>32128.461999999996</v>
      </c>
    </row>
    <row r="482" spans="1:11" x14ac:dyDescent="0.2">
      <c r="A482" s="2"/>
      <c r="B482" s="7" t="s">
        <v>287</v>
      </c>
      <c r="C482" s="8" t="s">
        <v>267</v>
      </c>
      <c r="D482" s="8" t="s">
        <v>268</v>
      </c>
      <c r="E482" s="8" t="s">
        <v>288</v>
      </c>
      <c r="F482" s="8" t="s">
        <v>63</v>
      </c>
      <c r="G482" s="8" t="s">
        <v>239</v>
      </c>
      <c r="H482" s="8">
        <f>(2953.24*($H$3))</f>
        <v>15799.833999999997</v>
      </c>
      <c r="I482" s="8">
        <f>(3363.91*($H$3))</f>
        <v>17996.9185</v>
      </c>
      <c r="J482" s="8">
        <f>(3451.91*($H$3))</f>
        <v>18467.718499999999</v>
      </c>
      <c r="K482" s="8">
        <f>(3576.57*($H$3))</f>
        <v>19134.6495</v>
      </c>
    </row>
    <row r="483" spans="1:11" x14ac:dyDescent="0.2">
      <c r="A483" s="2"/>
    </row>
    <row r="484" spans="1:11" x14ac:dyDescent="0.2">
      <c r="A484" s="2"/>
    </row>
    <row r="485" spans="1:11" x14ac:dyDescent="0.2">
      <c r="A485" s="2"/>
    </row>
    <row r="486" spans="1:11" x14ac:dyDescent="0.2">
      <c r="A486" s="2"/>
    </row>
    <row r="487" spans="1:11" x14ac:dyDescent="0.2">
      <c r="A487" s="2"/>
    </row>
    <row r="488" spans="1:11" x14ac:dyDescent="0.2">
      <c r="A488" s="2"/>
    </row>
  </sheetData>
  <sheetProtection algorithmName="SHA-512" hashValue="bIzBLgSdwASlqaybzOnUylkROBzPpMUXI3XJk0tFXk7yU+JlnhyJJMAJc3SV9VcY/r+a2NjaZXN1hASgkCO30w==" saltValue="2rXApeKjKkcGv+YffTgHoQ==" spinCount="100000" sheet="1" objects="1" scenarios="1"/>
  <mergeCells count="64">
    <mergeCell ref="A4:K4"/>
    <mergeCell ref="B184:K184"/>
    <mergeCell ref="B253:K253"/>
    <mergeCell ref="A1:K1"/>
    <mergeCell ref="H2:K2"/>
    <mergeCell ref="H3:K3"/>
    <mergeCell ref="B170:K170"/>
    <mergeCell ref="B75:K75"/>
    <mergeCell ref="B71:K71"/>
    <mergeCell ref="B67:K67"/>
    <mergeCell ref="B61:K61"/>
    <mergeCell ref="B5:K5"/>
    <mergeCell ref="A2:G2"/>
    <mergeCell ref="A3:G3"/>
    <mergeCell ref="B156:K156"/>
    <mergeCell ref="B81:K81"/>
    <mergeCell ref="B464:K464"/>
    <mergeCell ref="B458:K458"/>
    <mergeCell ref="B449:K449"/>
    <mergeCell ref="B440:K440"/>
    <mergeCell ref="B337:K337"/>
    <mergeCell ref="B410:K410"/>
    <mergeCell ref="B437:K437"/>
    <mergeCell ref="B55:K55"/>
    <mergeCell ref="B11:K11"/>
    <mergeCell ref="B320:K320"/>
    <mergeCell ref="B323:H323"/>
    <mergeCell ref="I323:K323"/>
    <mergeCell ref="B309:K309"/>
    <mergeCell ref="B250:K250"/>
    <mergeCell ref="B17:K17"/>
    <mergeCell ref="B21:K21"/>
    <mergeCell ref="B25:K25"/>
    <mergeCell ref="B40:K40"/>
    <mergeCell ref="B85:K85"/>
    <mergeCell ref="B88:K88"/>
    <mergeCell ref="B91:K91"/>
    <mergeCell ref="B105:K105"/>
    <mergeCell ref="B111:K111"/>
    <mergeCell ref="B147:K147"/>
    <mergeCell ref="B150:K150"/>
    <mergeCell ref="B153:K153"/>
    <mergeCell ref="B244:K244"/>
    <mergeCell ref="B117:K117"/>
    <mergeCell ref="B124:K124"/>
    <mergeCell ref="B131:K131"/>
    <mergeCell ref="B137:K137"/>
    <mergeCell ref="B144:K144"/>
    <mergeCell ref="B210:K210"/>
    <mergeCell ref="B227:K227"/>
    <mergeCell ref="B331:K331"/>
    <mergeCell ref="B334:K334"/>
    <mergeCell ref="B383:K383"/>
    <mergeCell ref="B247:K247"/>
    <mergeCell ref="B257:K257"/>
    <mergeCell ref="B280:K280"/>
    <mergeCell ref="B303:K303"/>
    <mergeCell ref="I304:K304"/>
    <mergeCell ref="I305:K305"/>
    <mergeCell ref="I306:K306"/>
    <mergeCell ref="I307:K307"/>
    <mergeCell ref="I308:K308"/>
    <mergeCell ref="B327:K327"/>
    <mergeCell ref="B324:K324"/>
  </mergeCells>
  <pageMargins left="0.78749999999999998" right="0.78749999999999998" top="1.0527777777777778" bottom="1.0527777777777778" header="0.78749999999999998" footer="0.78749999999999998"/>
  <pageSetup paperSize="9" scale="50" fitToHeight="0" orientation="portrait" r:id="rId1"/>
  <headerFooter alignWithMargins="0">
    <oddHeader>&amp;C&amp;"Times New Roman,Regular"&amp;12&amp;A</oddHeader>
    <oddFooter>&amp;C&amp;"Times New Roman,Regular"&amp;12Página &amp;P</oddFooter>
  </headerFooter>
  <rowBreaks count="7" manualBreakCount="7">
    <brk id="66" max="10" man="1"/>
    <brk id="136" max="10" man="1"/>
    <brk id="209" max="10" man="1"/>
    <brk id="279" max="10" man="1"/>
    <brk id="336" max="10" man="1"/>
    <brk id="409" max="10" man="1"/>
    <brk id="483" max="10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Planilha1</vt:lpstr>
      <vt:lpstr>Planilha1!Area_de_impressao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COMERCIAL</dc:creator>
  <cp:lastModifiedBy>Compras</cp:lastModifiedBy>
  <cp:lastPrinted>2022-12-08T14:29:10Z</cp:lastPrinted>
  <dcterms:created xsi:type="dcterms:W3CDTF">2020-05-27T12:30:29Z</dcterms:created>
  <dcterms:modified xsi:type="dcterms:W3CDTF">2024-06-17T15:09:57Z</dcterms:modified>
</cp:coreProperties>
</file>