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BRAZIL CONTEMPORANEO\"/>
    </mc:Choice>
  </mc:AlternateContent>
  <bookViews>
    <workbookView xWindow="0" yWindow="0" windowWidth="24000" windowHeight="9735" firstSheet="1" activeTab="1"/>
  </bookViews>
  <sheets>
    <sheet name="Mark Up " sheetId="2" state="hidden" r:id="rId1"/>
    <sheet name="Venda" sheetId="8" r:id="rId2"/>
    <sheet name="Fábrica" sheetId="7" state="hidden" r:id="rId3"/>
  </sheets>
  <definedNames>
    <definedName name="_xlnm.Print_Area" localSheetId="2">Fábrica!$A$1:$G$339</definedName>
    <definedName name="_xlnm.Print_Area" localSheetId="1">Venda!$A$1:$G$339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7" i="8" l="1"/>
  <c r="G338" i="8"/>
  <c r="G339" i="8"/>
  <c r="F337" i="8"/>
  <c r="F338" i="8"/>
  <c r="F339" i="8"/>
  <c r="E337" i="8"/>
  <c r="E338" i="8"/>
  <c r="E339" i="8"/>
  <c r="G336" i="8"/>
  <c r="F336" i="8"/>
  <c r="E336" i="8"/>
  <c r="G324" i="8"/>
  <c r="G325" i="8"/>
  <c r="F324" i="8"/>
  <c r="F325" i="8"/>
  <c r="E324" i="8"/>
  <c r="E325" i="8"/>
  <c r="G323" i="8"/>
  <c r="F323" i="8"/>
  <c r="E323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G280" i="8"/>
  <c r="F280" i="8"/>
  <c r="E280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62" i="8"/>
  <c r="E263" i="8"/>
  <c r="E264" i="8"/>
  <c r="E265" i="8"/>
  <c r="E266" i="8"/>
  <c r="E267" i="8"/>
  <c r="G202" i="8"/>
  <c r="F202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G163" i="8"/>
  <c r="F163" i="8"/>
  <c r="E163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G125" i="8"/>
  <c r="F125" i="8"/>
  <c r="E125" i="8"/>
  <c r="G112" i="8"/>
  <c r="G113" i="8"/>
  <c r="G114" i="8"/>
  <c r="G115" i="8"/>
  <c r="F112" i="8"/>
  <c r="F113" i="8"/>
  <c r="F114" i="8"/>
  <c r="F115" i="8"/>
  <c r="E112" i="8"/>
  <c r="E113" i="8"/>
  <c r="E114" i="8"/>
  <c r="E115" i="8"/>
  <c r="G111" i="8"/>
  <c r="F111" i="8"/>
  <c r="E111" i="8"/>
  <c r="G93" i="8"/>
  <c r="G94" i="8"/>
  <c r="G95" i="8"/>
  <c r="G96" i="8"/>
  <c r="G97" i="8"/>
  <c r="G98" i="8"/>
  <c r="G99" i="8"/>
  <c r="G100" i="8"/>
  <c r="F93" i="8"/>
  <c r="F94" i="8"/>
  <c r="F95" i="8"/>
  <c r="F96" i="8"/>
  <c r="F97" i="8"/>
  <c r="F98" i="8"/>
  <c r="F99" i="8"/>
  <c r="F100" i="8"/>
  <c r="E93" i="8"/>
  <c r="E94" i="8"/>
  <c r="E95" i="8"/>
  <c r="E96" i="8"/>
  <c r="E97" i="8"/>
  <c r="E98" i="8"/>
  <c r="E99" i="8"/>
  <c r="E100" i="8"/>
  <c r="G92" i="8"/>
  <c r="F92" i="8"/>
  <c r="E92" i="8"/>
  <c r="G74" i="8"/>
  <c r="G75" i="8"/>
  <c r="G76" i="8"/>
  <c r="G77" i="8"/>
  <c r="G78" i="8"/>
  <c r="G79" i="8"/>
  <c r="G80" i="8"/>
  <c r="G81" i="8"/>
  <c r="F74" i="8"/>
  <c r="F75" i="8"/>
  <c r="F76" i="8"/>
  <c r="F77" i="8"/>
  <c r="F78" i="8"/>
  <c r="F79" i="8"/>
  <c r="F80" i="8"/>
  <c r="F81" i="8"/>
  <c r="E77" i="8"/>
  <c r="E78" i="8"/>
  <c r="E79" i="8"/>
  <c r="E80" i="8"/>
  <c r="E81" i="8"/>
  <c r="G73" i="8"/>
  <c r="F73" i="8"/>
  <c r="G52" i="8"/>
  <c r="G53" i="8"/>
  <c r="G54" i="8"/>
  <c r="G55" i="8"/>
  <c r="G56" i="8"/>
  <c r="G57" i="8"/>
  <c r="G58" i="8"/>
  <c r="G59" i="8"/>
  <c r="G60" i="8"/>
  <c r="G61" i="8"/>
  <c r="G62" i="8"/>
  <c r="F52" i="8"/>
  <c r="F53" i="8"/>
  <c r="F54" i="8"/>
  <c r="F55" i="8"/>
  <c r="F56" i="8"/>
  <c r="F57" i="8"/>
  <c r="F58" i="8"/>
  <c r="F59" i="8"/>
  <c r="F60" i="8"/>
  <c r="F61" i="8"/>
  <c r="F62" i="8"/>
  <c r="E52" i="8"/>
  <c r="E53" i="8"/>
  <c r="E54" i="8"/>
  <c r="E55" i="8"/>
  <c r="E56" i="8"/>
  <c r="E57" i="8"/>
  <c r="E58" i="8"/>
  <c r="E59" i="8"/>
  <c r="E60" i="8"/>
  <c r="E61" i="8"/>
  <c r="E62" i="8"/>
  <c r="G51" i="8"/>
  <c r="F51" i="8"/>
  <c r="E51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13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14" i="8"/>
  <c r="E15" i="8"/>
  <c r="E16" i="8"/>
  <c r="E17" i="8"/>
  <c r="E13" i="8"/>
</calcChain>
</file>

<file path=xl/sharedStrings.xml><?xml version="1.0" encoding="utf-8"?>
<sst xmlns="http://schemas.openxmlformats.org/spreadsheetml/2006/main" count="1906" uniqueCount="514">
  <si>
    <t>Mesa Lateral Salento</t>
  </si>
  <si>
    <t>0,60 Ø 0,60 alt</t>
  </si>
  <si>
    <t>0,70 Ø 0,70 alt</t>
  </si>
  <si>
    <t>4668-8</t>
  </si>
  <si>
    <t>Mesa Lateral Cannes, haste metal</t>
  </si>
  <si>
    <t>0,30 Ø 0,61 alt</t>
  </si>
  <si>
    <t>10440-72</t>
  </si>
  <si>
    <t>1,80 x 1,00 x 0,76</t>
  </si>
  <si>
    <t>10440-76</t>
  </si>
  <si>
    <t>2,00 x 1,00 x 0,76</t>
  </si>
  <si>
    <t>10440-82</t>
  </si>
  <si>
    <t>2,20 x 1,10 x 0,76</t>
  </si>
  <si>
    <t>10440-88</t>
  </si>
  <si>
    <t>2,40 x 1,10 x 0,76</t>
  </si>
  <si>
    <t>10440-94</t>
  </si>
  <si>
    <t>2,70 x 1,10 x 0,76</t>
  </si>
  <si>
    <t>10440-96</t>
  </si>
  <si>
    <t>3,00 x 1,20 x 0,76</t>
  </si>
  <si>
    <t>10440-98</t>
  </si>
  <si>
    <t>3,20 x 1,20 x 0,76</t>
  </si>
  <si>
    <t>10500-72</t>
  </si>
  <si>
    <t>10500-76</t>
  </si>
  <si>
    <t>10500-82</t>
  </si>
  <si>
    <t>10500-88</t>
  </si>
  <si>
    <t>10500-94</t>
  </si>
  <si>
    <t>10500-96</t>
  </si>
  <si>
    <t>10500-98</t>
  </si>
  <si>
    <t>10480-72</t>
  </si>
  <si>
    <t>10480-76</t>
  </si>
  <si>
    <t>10480-82</t>
  </si>
  <si>
    <t>10480-88</t>
  </si>
  <si>
    <t>10480-94</t>
  </si>
  <si>
    <t>10480-96</t>
  </si>
  <si>
    <t>10480-98</t>
  </si>
  <si>
    <t>10720-72</t>
  </si>
  <si>
    <t>10720-76</t>
  </si>
  <si>
    <t>10720-82</t>
  </si>
  <si>
    <t>10720-88</t>
  </si>
  <si>
    <t>10720-94</t>
  </si>
  <si>
    <t>2,70 x 1,20 x 0,76</t>
  </si>
  <si>
    <t>10720-96</t>
  </si>
  <si>
    <t>10720-98</t>
  </si>
  <si>
    <t>10420-82</t>
  </si>
  <si>
    <t>10420-88</t>
  </si>
  <si>
    <t>10420-94</t>
  </si>
  <si>
    <t>10420-96</t>
  </si>
  <si>
    <t>10420-98</t>
  </si>
  <si>
    <t>10400-76</t>
  </si>
  <si>
    <t>2,00 x 1,10 x 0,76</t>
  </si>
  <si>
    <t>10400-82</t>
  </si>
  <si>
    <t>10400-88</t>
  </si>
  <si>
    <t>10400-94</t>
  </si>
  <si>
    <t>10400-96</t>
  </si>
  <si>
    <t>10400-98</t>
  </si>
  <si>
    <t>10740-72</t>
  </si>
  <si>
    <t>10740-76</t>
  </si>
  <si>
    <t>10740-82</t>
  </si>
  <si>
    <t>10740-88</t>
  </si>
  <si>
    <t>10740-94</t>
  </si>
  <si>
    <t>10740-96</t>
  </si>
  <si>
    <t>10740-98</t>
  </si>
  <si>
    <t>10540-72</t>
  </si>
  <si>
    <t>10540-76</t>
  </si>
  <si>
    <t>10540-82</t>
  </si>
  <si>
    <t>10540-88</t>
  </si>
  <si>
    <t>10540-94</t>
  </si>
  <si>
    <t>10540-96</t>
  </si>
  <si>
    <t>10540-98</t>
  </si>
  <si>
    <t>10560-76</t>
  </si>
  <si>
    <t>10560-82</t>
  </si>
  <si>
    <t>10560-88</t>
  </si>
  <si>
    <t>10560-94</t>
  </si>
  <si>
    <t>10560-96</t>
  </si>
  <si>
    <t>10560-98</t>
  </si>
  <si>
    <t>10520-72</t>
  </si>
  <si>
    <t>Mesa Jantar Santorini (canto garrafa)</t>
  </si>
  <si>
    <t>10520-76</t>
  </si>
  <si>
    <t>10520-82</t>
  </si>
  <si>
    <t>10520-88</t>
  </si>
  <si>
    <t>10520-94</t>
  </si>
  <si>
    <t>10520-96</t>
  </si>
  <si>
    <t>10520-98</t>
  </si>
  <si>
    <t>10710-10</t>
  </si>
  <si>
    <t>10710-12</t>
  </si>
  <si>
    <t>10710-15</t>
  </si>
  <si>
    <t>10710-18</t>
  </si>
  <si>
    <t>10670-10</t>
  </si>
  <si>
    <t>10670-12</t>
  </si>
  <si>
    <t>10670-14</t>
  </si>
  <si>
    <t>10670-18</t>
  </si>
  <si>
    <t>10650-10</t>
  </si>
  <si>
    <t>10650-12</t>
  </si>
  <si>
    <t>10650-14</t>
  </si>
  <si>
    <t>10650-18</t>
  </si>
  <si>
    <t>10690-10</t>
  </si>
  <si>
    <t>10690-12</t>
  </si>
  <si>
    <t>10690-15</t>
  </si>
  <si>
    <t>10690-18</t>
  </si>
  <si>
    <t>10630-10</t>
  </si>
  <si>
    <t>10630-12</t>
  </si>
  <si>
    <t>10630-14</t>
  </si>
  <si>
    <t>10630-18</t>
  </si>
  <si>
    <t>11065-1</t>
  </si>
  <si>
    <t>11065-2</t>
  </si>
  <si>
    <t>11065-3</t>
  </si>
  <si>
    <t>11065-4</t>
  </si>
  <si>
    <t>8696-0</t>
  </si>
  <si>
    <t>0,91 Ø 0,33 alt</t>
  </si>
  <si>
    <t>8697-2</t>
  </si>
  <si>
    <t>0,71 Ø 0,28 alt</t>
  </si>
  <si>
    <t>11033-2</t>
  </si>
  <si>
    <t>1,35 x 0,42 x 0,50</t>
  </si>
  <si>
    <t>11033-3</t>
  </si>
  <si>
    <t>1,60 x 0,42 x 0,50</t>
  </si>
  <si>
    <t>11033-4</t>
  </si>
  <si>
    <t>1,80 x 0,42 x 0,50</t>
  </si>
  <si>
    <t>11033-5</t>
  </si>
  <si>
    <t>2,20 x 0,42 x 0,50</t>
  </si>
  <si>
    <t>11140-1</t>
  </si>
  <si>
    <t>11140-2</t>
  </si>
  <si>
    <t>10634-1</t>
  </si>
  <si>
    <t>10634-2</t>
  </si>
  <si>
    <t>10634-3</t>
  </si>
  <si>
    <t>10634-4</t>
  </si>
  <si>
    <t>10926-0</t>
  </si>
  <si>
    <t>Mesa Centro Nantes</t>
  </si>
  <si>
    <t>0,70 Ø 0,33 alt</t>
  </si>
  <si>
    <t>10926-9</t>
  </si>
  <si>
    <t>0,90 Ø 0,33 alt</t>
  </si>
  <si>
    <t>10926-10</t>
  </si>
  <si>
    <t>10746-6</t>
  </si>
  <si>
    <t>1,23 Ø 0,33</t>
  </si>
  <si>
    <t>10746-5</t>
  </si>
  <si>
    <t>1,03 Ø 0,33</t>
  </si>
  <si>
    <t>10746-4</t>
  </si>
  <si>
    <t>1,03 Ø 0,30</t>
  </si>
  <si>
    <t>10746-3</t>
  </si>
  <si>
    <t>0,93 Ø 0,33</t>
  </si>
  <si>
    <t>10746-2</t>
  </si>
  <si>
    <t>0,93 Ø 0,30</t>
  </si>
  <si>
    <t>10746-0</t>
  </si>
  <si>
    <t>0,73 Ø 0,30</t>
  </si>
  <si>
    <t>11152-0</t>
  </si>
  <si>
    <t>0,50 x 0,45 x 0,60</t>
  </si>
  <si>
    <t>11152-2</t>
  </si>
  <si>
    <t>0,70 x 0,45 x 0,60</t>
  </si>
  <si>
    <t>11041-4</t>
  </si>
  <si>
    <t>11155-2</t>
  </si>
  <si>
    <t>11006-2</t>
  </si>
  <si>
    <t>11006-3</t>
  </si>
  <si>
    <t>11006-4</t>
  </si>
  <si>
    <t>10504-1</t>
  </si>
  <si>
    <t>1,35 x 0,45 x 0,76</t>
  </si>
  <si>
    <t>10504-2</t>
  </si>
  <si>
    <t>1,60 x 0,45 x 0,76</t>
  </si>
  <si>
    <t>10504-3</t>
  </si>
  <si>
    <t>1,80 x 0,45 x 0,76</t>
  </si>
  <si>
    <t>10504-4</t>
  </si>
  <si>
    <t>2,00 x 0,45 x 0,76</t>
  </si>
  <si>
    <t>11034-1</t>
  </si>
  <si>
    <t>1,46 x 0,45 x 0,76</t>
  </si>
  <si>
    <t>11034-2</t>
  </si>
  <si>
    <t>1,66 x 0,45 x 0,76</t>
  </si>
  <si>
    <t>11034-3</t>
  </si>
  <si>
    <t>1,86 x 0,45 x 0,76</t>
  </si>
  <si>
    <t>11034-4</t>
  </si>
  <si>
    <t>2,06 x 0,45 x 0,76</t>
  </si>
  <si>
    <t>10484-1</t>
  </si>
  <si>
    <t>1,40 x 0,45 x 0,76</t>
  </si>
  <si>
    <t>10484-2</t>
  </si>
  <si>
    <t>10484-3</t>
  </si>
  <si>
    <t>10484-4</t>
  </si>
  <si>
    <t>10984-1</t>
  </si>
  <si>
    <t>10984-2</t>
  </si>
  <si>
    <t>10984-3</t>
  </si>
  <si>
    <t>10984-4</t>
  </si>
  <si>
    <t>8117-0</t>
  </si>
  <si>
    <t>8117-1</t>
  </si>
  <si>
    <t>8117-2</t>
  </si>
  <si>
    <t>7261-0</t>
  </si>
  <si>
    <t>7261-2</t>
  </si>
  <si>
    <t>11070-3</t>
  </si>
  <si>
    <t>11070-4</t>
  </si>
  <si>
    <t>11070-5</t>
  </si>
  <si>
    <t>10742-6</t>
  </si>
  <si>
    <t>10636-1</t>
  </si>
  <si>
    <t>10636-2</t>
  </si>
  <si>
    <t>10636-3</t>
  </si>
  <si>
    <t>10636-4</t>
  </si>
  <si>
    <t>10940-2</t>
  </si>
  <si>
    <t>10940-3</t>
  </si>
  <si>
    <t>10940-4</t>
  </si>
  <si>
    <t>11128-1</t>
  </si>
  <si>
    <t>11128-2</t>
  </si>
  <si>
    <t>11128-3</t>
  </si>
  <si>
    <t>10644-1</t>
  </si>
  <si>
    <t>10644-2</t>
  </si>
  <si>
    <t>10644-3</t>
  </si>
  <si>
    <t>10644-4</t>
  </si>
  <si>
    <t>10808-1</t>
  </si>
  <si>
    <t>0,56 x 0,38 x 0,30</t>
  </si>
  <si>
    <t>10808-2</t>
  </si>
  <si>
    <t>0,56 x 0,38 x 0,35</t>
  </si>
  <si>
    <t>10808-3</t>
  </si>
  <si>
    <t>0,56 x 0,38 x 0,50</t>
  </si>
  <si>
    <t>10808-4</t>
  </si>
  <si>
    <t>10908-3</t>
  </si>
  <si>
    <t>0,90 x 0,37 x 0,60</t>
  </si>
  <si>
    <t>10908-1</t>
  </si>
  <si>
    <t>0,60 x 0,37 x 0,60</t>
  </si>
  <si>
    <t>10423-4</t>
  </si>
  <si>
    <t>0,41 Ø 1,00</t>
  </si>
  <si>
    <t>10968-0</t>
  </si>
  <si>
    <t>10968-1</t>
  </si>
  <si>
    <t>11019-6</t>
  </si>
  <si>
    <t>11032-0</t>
  </si>
  <si>
    <t>11032-2</t>
  </si>
  <si>
    <t>11042-0</t>
  </si>
  <si>
    <t>11042-2</t>
  </si>
  <si>
    <t>11106-1</t>
  </si>
  <si>
    <t>11106-2</t>
  </si>
  <si>
    <t>11166-18</t>
  </si>
  <si>
    <t>11165-18</t>
  </si>
  <si>
    <t>0,53 Ø 0,35</t>
  </si>
  <si>
    <t>0,30 Ø 0,60 alt</t>
  </si>
  <si>
    <t>0,30 Ø 0,65 alt</t>
  </si>
  <si>
    <t>0,30 Ø 0,70 alt</t>
  </si>
  <si>
    <t>11218-3</t>
  </si>
  <si>
    <t>11218-4</t>
  </si>
  <si>
    <t>11218-5</t>
  </si>
  <si>
    <t>11088-10</t>
  </si>
  <si>
    <t>0,50 Ø 0,60 alt</t>
  </si>
  <si>
    <t>11088-8</t>
  </si>
  <si>
    <t>0,50 Ø 0,50 alt</t>
  </si>
  <si>
    <t>7046-2</t>
  </si>
  <si>
    <t>7046-1</t>
  </si>
  <si>
    <t>0,90 x 0,45 x 0,27</t>
  </si>
  <si>
    <t>10741-14</t>
  </si>
  <si>
    <t xml:space="preserve">1,35 Ø 0,76 alt </t>
  </si>
  <si>
    <t>10741-18</t>
  </si>
  <si>
    <t>1,48 Ø 0,76 alt</t>
  </si>
  <si>
    <t>10741-22</t>
  </si>
  <si>
    <t xml:space="preserve">1,60 Ø 0,76 alt </t>
  </si>
  <si>
    <t>10741-24</t>
  </si>
  <si>
    <t xml:space="preserve">1,80 Ø 0,76 alt </t>
  </si>
  <si>
    <t>*Qualquer móvel com ou sem vidro comum pintado e colado no tampo permanecerá o mesmo valor;</t>
  </si>
  <si>
    <t>*Informar no pedido quando for com ou sem vidro;</t>
  </si>
  <si>
    <t>COLUNA 1</t>
  </si>
  <si>
    <t>COLUNA 2</t>
  </si>
  <si>
    <t>COLUNA 3</t>
  </si>
  <si>
    <t>COLEÇÃO</t>
  </si>
  <si>
    <t>REF</t>
  </si>
  <si>
    <r>
      <t xml:space="preserve">DESCRIÇÃO   </t>
    </r>
    <r>
      <rPr>
        <b/>
        <sz val="22"/>
        <color rgb="FFFF0000"/>
        <rFont val="Arial"/>
        <family val="2"/>
      </rPr>
      <t xml:space="preserve"> </t>
    </r>
  </si>
  <si>
    <t>COMP X PROF X ALT</t>
  </si>
  <si>
    <t>TODO LACA PADRÃO</t>
  </si>
  <si>
    <t>TODO:
- AMÊNDOA
- CARVALHO
- IMBUIA</t>
  </si>
  <si>
    <t>TODO NOGUEIRA OU TODO LOURO FREIJÓ E BASE METAL EM LACA PADRÃO</t>
  </si>
  <si>
    <r>
      <rPr>
        <b/>
        <sz val="14"/>
        <color rgb="FFFF0000"/>
        <rFont val="Arial"/>
        <family val="2"/>
      </rPr>
      <t xml:space="preserve">TAMPO: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BASE:
</t>
    </r>
    <r>
      <rPr>
        <b/>
        <sz val="10"/>
        <color theme="1"/>
        <rFont val="Arial"/>
        <family val="2"/>
      </rPr>
      <t xml:space="preserve">- AMÊNDOA
- IMBUIA
- CARVALHO
- LOURO  FREIJÓ
- NOGUEIRA
-  LACA METALIZADA PADRÃO                                                                                                  </t>
    </r>
  </si>
  <si>
    <t>CARVALHO N 109 METALIZADO 
CARVALHO ÔNIX METALIZADO</t>
  </si>
  <si>
    <t>CONCRETO</t>
  </si>
  <si>
    <r>
      <rPr>
        <b/>
        <sz val="10"/>
        <color rgb="FFFF0000"/>
        <rFont val="Arial"/>
        <family val="2"/>
      </rPr>
      <t xml:space="preserve">TODO METALIZADO:
</t>
    </r>
    <r>
      <rPr>
        <b/>
        <sz val="10"/>
        <rFont val="Arial"/>
        <family val="2"/>
      </rPr>
      <t xml:space="preserve">- BRONZE
- CHUMBO
- NEW GOLDEN
- ÔNIX METALIZADO
- N 109 METALIZADO  </t>
    </r>
  </si>
  <si>
    <r>
      <rPr>
        <b/>
        <sz val="14"/>
        <color rgb="FFFF0000"/>
        <rFont val="Arial"/>
        <family val="2"/>
      </rPr>
      <t xml:space="preserve">CORPO: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 OU PORTAS:
</t>
    </r>
    <r>
      <rPr>
        <b/>
        <sz val="10"/>
        <color theme="1"/>
        <rFont val="Arial"/>
        <family val="2"/>
      </rPr>
      <t xml:space="preserve">- AMÊNDOA
- IMBUIA
- CARVALHO
- LOURO  FREIJÓ
- NOGUEIRA
-  LACA METALIZADA PADRÃO                                                                                                  </t>
    </r>
  </si>
  <si>
    <t>TODO:
- AMÊNDOA
- CARVALHO        
- IMBUIA</t>
  </si>
  <si>
    <r>
      <rPr>
        <b/>
        <sz val="14"/>
        <color rgb="FFFF0000"/>
        <rFont val="Arial"/>
        <family val="2"/>
      </rPr>
      <t xml:space="preserve">CORPO: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 OU PORTAS:
</t>
    </r>
    <r>
      <rPr>
        <b/>
        <sz val="10"/>
        <color theme="1"/>
        <rFont val="Arial"/>
        <family val="2"/>
      </rPr>
      <t xml:space="preserve">- AMÊNDOA          
- IMBUIA                      - CARVALHO                                   - LOURO  FREIJÓ                                                               - NOGUEIRA               -  LACA METALIZADA PADRÃO                                                                                                  </t>
    </r>
  </si>
  <si>
    <r>
      <rPr>
        <b/>
        <sz val="14"/>
        <color rgb="FFFF0000"/>
        <rFont val="Arial"/>
        <family val="2"/>
      </rPr>
      <t xml:space="preserve">TAMPO: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BASE:
</t>
    </r>
    <r>
      <rPr>
        <b/>
        <sz val="10"/>
        <color theme="1"/>
        <rFont val="Arial"/>
        <family val="2"/>
      </rPr>
      <t xml:space="preserve">- AMÊNDOA          
- IMBUIA                      - CARVALHO                                   - LOURO  FREIJÓ                                                               - NOGUEIRA               -  LACA METALIZADA PADRÃO                                                                                                  </t>
    </r>
  </si>
  <si>
    <t>*Para transformar mesa com canto reto em canto garrafa + 5%;</t>
  </si>
  <si>
    <t>*Para transformar mesa com canto reto ou canto garrafa em elíptico (oval), barril e oblongo + 15%;</t>
  </si>
  <si>
    <t>*Para transformar tampo redondo para quadrado, ou quadrado para redondo + 10%;</t>
  </si>
  <si>
    <t>*Qualquer tampo com ou sem vidro comum pintado e colado permanecerá o mesmo valor; Informar no pedido quando for com ou sem vidro;</t>
  </si>
  <si>
    <t>DESCRIÇÃO</t>
  </si>
  <si>
    <r>
      <rPr>
        <b/>
        <sz val="14"/>
        <color rgb="FFFF0000"/>
        <rFont val="Arial"/>
        <family val="2"/>
      </rPr>
      <t xml:space="preserve">TAMPO OU CORPO: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BASE:
</t>
    </r>
    <r>
      <rPr>
        <b/>
        <sz val="10"/>
        <color theme="1"/>
        <rFont val="Arial"/>
        <family val="2"/>
      </rPr>
      <t xml:space="preserve">- AMÊNDOA          
- IMBUIA                      - CARVALHO                                   - LOURO  FREIJÓ                                                               - NOGUEIRA               -  LACA METALIZADA PADRÃO                                                                                                  </t>
    </r>
  </si>
  <si>
    <t>LOS ANGELES</t>
  </si>
  <si>
    <t>SICILIANO</t>
  </si>
  <si>
    <t>TRENTO</t>
  </si>
  <si>
    <t>TÓQUIO</t>
  </si>
  <si>
    <t>IBIZA</t>
  </si>
  <si>
    <t>GRANADA</t>
  </si>
  <si>
    <t>VARSÓVIA</t>
  </si>
  <si>
    <t>BELMONTE</t>
  </si>
  <si>
    <t>MADAGASCAR</t>
  </si>
  <si>
    <t>PRINCETON</t>
  </si>
  <si>
    <t>BRAGANÇA</t>
  </si>
  <si>
    <t>BRAGA</t>
  </si>
  <si>
    <t>DAKAR</t>
  </si>
  <si>
    <t>BADEN</t>
  </si>
  <si>
    <t>BRUXELAS</t>
  </si>
  <si>
    <t>PALERMO</t>
  </si>
  <si>
    <t>LIVERPOOL</t>
  </si>
  <si>
    <t>STANFORD</t>
  </si>
  <si>
    <t>RHONE</t>
  </si>
  <si>
    <t>ANGRA</t>
  </si>
  <si>
    <t>ARIZONA</t>
  </si>
  <si>
    <t>ARLES</t>
  </si>
  <si>
    <t>BAHAMAS</t>
  </si>
  <si>
    <t>CANNES</t>
  </si>
  <si>
    <t>GRASSE</t>
  </si>
  <si>
    <t xml:space="preserve">Mesa Lateral Salento  </t>
  </si>
  <si>
    <t>9187-2</t>
  </si>
  <si>
    <t>9187-3</t>
  </si>
  <si>
    <t>LE MANS</t>
  </si>
  <si>
    <t>MAIA</t>
  </si>
  <si>
    <t>MARSELHA</t>
  </si>
  <si>
    <t>NANTES</t>
  </si>
  <si>
    <t>PARLA</t>
  </si>
  <si>
    <t>PETRUS</t>
  </si>
  <si>
    <t>SALENTO</t>
  </si>
  <si>
    <t>ZIGGY</t>
  </si>
  <si>
    <t>BELIZE</t>
  </si>
  <si>
    <t>MENDONZA</t>
  </si>
  <si>
    <t>SINES</t>
  </si>
  <si>
    <t>VIGO</t>
  </si>
  <si>
    <t>11294-1</t>
  </si>
  <si>
    <t>11294-2</t>
  </si>
  <si>
    <t>11294-3</t>
  </si>
  <si>
    <t>11294-4</t>
  </si>
  <si>
    <t>MARACATU</t>
  </si>
  <si>
    <t>INFINITY</t>
  </si>
  <si>
    <t>X</t>
  </si>
  <si>
    <t>Gaveteiro Los Angeles (2 gav.;c/ pux.cava), pés metal</t>
  </si>
  <si>
    <t>Gaveteiro Siciliano (1 gav.;c/ pux.cava), pés metal</t>
  </si>
  <si>
    <t>Mesa Lateral Angra (tp orgânico) pés metal</t>
  </si>
  <si>
    <t>Mesa Lateral Arles, pés de metal</t>
  </si>
  <si>
    <t>Mesa de Centro Bahamas (tp orgânico) pés metal</t>
  </si>
  <si>
    <t>Mesa de Centro Grasse, base cilindro</t>
  </si>
  <si>
    <t>Mesa de Centro Infinity (tp orgânico), base cilindro</t>
  </si>
  <si>
    <t>Mesa de Centro Maia (tp orgânico) pés em mad.</t>
  </si>
  <si>
    <t>Mesa de Centro Petrus</t>
  </si>
  <si>
    <t>Mesa de Centro Trento, (tp redondo), pés mad.</t>
  </si>
  <si>
    <t>Mesa Bistrô Belmonte</t>
  </si>
  <si>
    <t>Mesa Jantar Madagascar (canto garrafa)</t>
  </si>
  <si>
    <t>Rack Ibiza 3 Gavetas,pés de metal</t>
  </si>
  <si>
    <t>SANTORINI</t>
  </si>
  <si>
    <t>1,80 x 0,47 x 0,76</t>
  </si>
  <si>
    <t>2,00 x 0,47 x 0,76</t>
  </si>
  <si>
    <t>2,25 x 0,47 x 0,76</t>
  </si>
  <si>
    <t>2,50 x 0,47 x 0,76</t>
  </si>
  <si>
    <t>1,40 x 0,41 x 0,76</t>
  </si>
  <si>
    <t>1,60 x 0,41 x 0,76</t>
  </si>
  <si>
    <t>1,80 x 0,41 x 0,76</t>
  </si>
  <si>
    <t>2,00 x 0,41 x 0,76</t>
  </si>
  <si>
    <t>0,92 x 0,46 x 0,27</t>
  </si>
  <si>
    <t>0,92 x 0,46 x 0,35</t>
  </si>
  <si>
    <t>1,40 x 0,60 x 0,31</t>
  </si>
  <si>
    <t>1,60 x 0,60 x 0,31</t>
  </si>
  <si>
    <t>1,80 x 0,60 x 0,31</t>
  </si>
  <si>
    <t>1,20 Ø 0,33 alt</t>
  </si>
  <si>
    <t>Sofá Table Granada (Tp Oblongo), pés mad.</t>
  </si>
  <si>
    <t>10421-82</t>
  </si>
  <si>
    <t>10421-88</t>
  </si>
  <si>
    <t>10421-94</t>
  </si>
  <si>
    <t>10421-96</t>
  </si>
  <si>
    <t>10421-98</t>
  </si>
  <si>
    <t>10401-76</t>
  </si>
  <si>
    <t>10401-82</t>
  </si>
  <si>
    <t>10401-88</t>
  </si>
  <si>
    <t>10401-94</t>
  </si>
  <si>
    <t>10401-96</t>
  </si>
  <si>
    <t>10401-98</t>
  </si>
  <si>
    <t>1,60 x 0,45 x 0,42</t>
  </si>
  <si>
    <t>1,80 x 0,45 x 0,42</t>
  </si>
  <si>
    <t>2,00 x 0,45 x 0,42</t>
  </si>
  <si>
    <t>0,70 x 0,50 x 0,33</t>
  </si>
  <si>
    <t>0,70 x 0,50 x 0,30</t>
  </si>
  <si>
    <r>
      <rPr>
        <b/>
        <sz val="14"/>
        <color rgb="FFFF0000"/>
        <rFont val="Arial"/>
        <family val="2"/>
      </rPr>
      <t xml:space="preserve">CORPO: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GAVETAS:
</t>
    </r>
    <r>
      <rPr>
        <b/>
        <sz val="10"/>
        <color theme="1"/>
        <rFont val="Arial"/>
        <family val="2"/>
      </rPr>
      <t xml:space="preserve">- AMÊNDOA          
- IMBUIA                      - CARVALHO                                   - LOURO  FREIJÓ                                                               - NOGUEIRA                -  LACA METALIZADA PADRÃO                                                                                                  </t>
    </r>
  </si>
  <si>
    <t>11166-22</t>
  </si>
  <si>
    <t>1,60 x 0,68 x 0,30</t>
  </si>
  <si>
    <t>11166-20</t>
  </si>
  <si>
    <t>1,80 x 0,68 x 0,30</t>
  </si>
  <si>
    <t>Aparador Princeton ( c/ 3 gavetas), pés metal</t>
  </si>
  <si>
    <t>Gaveteiro toquio  (2 gav.;c/ puxador), pés metal</t>
  </si>
  <si>
    <t>Aparador Granada (tp oblongo), pés mad. (se laca brilho somente c/ VD)</t>
  </si>
  <si>
    <t>Aparador Bruxelas (tp oblongo), pés metal (se laca brilho somente c/ VD)</t>
  </si>
  <si>
    <t>Mesa Lateral Le Mans, pés metal</t>
  </si>
  <si>
    <t>Aparador  Maracatu, c/ 3 gavetas (se laca brilho somente c/ VD)</t>
  </si>
  <si>
    <r>
      <t>Buffet Baden (5 P, 2 Prat Pq, 1 Gav.),pés de metal</t>
    </r>
    <r>
      <rPr>
        <b/>
        <sz val="14"/>
        <rFont val="Arial"/>
        <family val="2"/>
      </rPr>
      <t xml:space="preserve"> (se laca brilho somente c/ VD)</t>
    </r>
  </si>
  <si>
    <t xml:space="preserve">Mesa de Centro Infinity (tp orgânico), base cilindro  </t>
  </si>
  <si>
    <r>
      <t xml:space="preserve">Buffet Palermo (5 P, 2 Prat Pq, 1 Gav.) , pés de metal </t>
    </r>
    <r>
      <rPr>
        <b/>
        <sz val="16"/>
        <rFont val="Arial"/>
        <family val="2"/>
      </rPr>
      <t>(somente s/ VD)</t>
    </r>
  </si>
  <si>
    <r>
      <t xml:space="preserve">Gaveteiro Rhone (1 gav.;c/ pux.cava), pés metal </t>
    </r>
    <r>
      <rPr>
        <b/>
        <sz val="16"/>
        <rFont val="Arial"/>
        <family val="2"/>
      </rPr>
      <t>(se laca brilho somente c/ VD)</t>
    </r>
  </si>
  <si>
    <r>
      <t xml:space="preserve">Gaveteiro Trento (1 gav. c/ pux.), pés mad. </t>
    </r>
    <r>
      <rPr>
        <b/>
        <sz val="16"/>
        <rFont val="Arial"/>
        <family val="2"/>
      </rPr>
      <t>(se laca brilho somente c/ VD)</t>
    </r>
  </si>
  <si>
    <r>
      <t xml:space="preserve">Estante Granada, Pés Madeira </t>
    </r>
    <r>
      <rPr>
        <b/>
        <sz val="16"/>
        <rFont val="Arial"/>
        <family val="2"/>
      </rPr>
      <t>( somente s/ VD)</t>
    </r>
  </si>
  <si>
    <r>
      <t xml:space="preserve">Banco Parla (tp oblongo chanfrado), pés mad. </t>
    </r>
    <r>
      <rPr>
        <b/>
        <sz val="16"/>
        <rFont val="Arial"/>
        <family val="2"/>
      </rPr>
      <t>(somente sem VD)</t>
    </r>
  </si>
  <si>
    <r>
      <t xml:space="preserve">Mesa Lateral Capri, haste metal  </t>
    </r>
    <r>
      <rPr>
        <b/>
        <sz val="16"/>
        <rFont val="Arial"/>
        <family val="2"/>
      </rPr>
      <t xml:space="preserve">(somente s/ VD)  </t>
    </r>
  </si>
  <si>
    <r>
      <t xml:space="preserve">Coluna Marselha Red Tp c/ Borda </t>
    </r>
    <r>
      <rPr>
        <b/>
        <sz val="16"/>
        <rFont val="Arial"/>
        <family val="2"/>
      </rPr>
      <t>( se laca brilho somente c/ VD)</t>
    </r>
  </si>
  <si>
    <r>
      <t xml:space="preserve">Mesa de Centro Palermo (tp oblongo), pés metal </t>
    </r>
    <r>
      <rPr>
        <b/>
        <sz val="16"/>
        <rFont val="Arial"/>
        <family val="2"/>
      </rPr>
      <t>(se laca brilho somente c/ VD)</t>
    </r>
  </si>
  <si>
    <r>
      <t xml:space="preserve">Mesa Centro Ziggy (somente reduzir medidas) </t>
    </r>
    <r>
      <rPr>
        <b/>
        <sz val="16"/>
        <rFont val="Arial"/>
        <family val="2"/>
      </rPr>
      <t>( laca somente c/ VD)</t>
    </r>
  </si>
  <si>
    <r>
      <t xml:space="preserve">Mesa de Jantar Belize  </t>
    </r>
    <r>
      <rPr>
        <b/>
        <sz val="16"/>
        <rFont val="Arial"/>
        <family val="2"/>
      </rPr>
      <t>(base somente laminado)</t>
    </r>
  </si>
  <si>
    <r>
      <t>Mesa Jantar Trento (canto garrafa)</t>
    </r>
    <r>
      <rPr>
        <sz val="16"/>
        <color rgb="FFFF0000"/>
        <rFont val="Arial"/>
        <family val="2"/>
      </rPr>
      <t xml:space="preserve"> </t>
    </r>
    <r>
      <rPr>
        <b/>
        <sz val="16"/>
        <rFont val="Arial"/>
        <family val="2"/>
      </rPr>
      <t>(base somente laminado)</t>
    </r>
  </si>
  <si>
    <r>
      <rPr>
        <sz val="72"/>
        <color theme="1"/>
        <rFont val="Calibri"/>
        <family val="2"/>
        <scheme val="minor"/>
      </rPr>
      <t xml:space="preserve">LANÇAMENTOS 2023 </t>
    </r>
    <r>
      <rPr>
        <sz val="50"/>
        <color theme="1"/>
        <rFont val="Calibri"/>
        <family val="2"/>
        <scheme val="minor"/>
      </rPr>
      <t xml:space="preserve">    </t>
    </r>
  </si>
  <si>
    <r>
      <t xml:space="preserve">Buffet Liverpool (5 P, 2 Prat Pq, 1 Gav.), pés de mad.  </t>
    </r>
    <r>
      <rPr>
        <b/>
        <sz val="16"/>
        <rFont val="Arial"/>
        <family val="2"/>
      </rPr>
      <t>(laca somente c/ VD)</t>
    </r>
  </si>
  <si>
    <t>1,80 x 0,47 x 0,78</t>
  </si>
  <si>
    <t>2,00 x 0,47 x 0,78</t>
  </si>
  <si>
    <t>2,25 x 0,47 x 0,78</t>
  </si>
  <si>
    <t>2,50 x 0,47 x 0,78</t>
  </si>
  <si>
    <r>
      <t xml:space="preserve">Balcão Rhone (1 prateleira), pés metal </t>
    </r>
    <r>
      <rPr>
        <b/>
        <sz val="16"/>
        <rFont val="Arial"/>
        <family val="2"/>
      </rPr>
      <t>(se laca brilho somente c/ VD)</t>
    </r>
  </si>
  <si>
    <t>Buffet Stanford, Pé de Metal (5 P, 2 Prat Pq, 1 Gav.)</t>
  </si>
  <si>
    <t>Mesa Jantar Braga (canto reto),(1ª col.base laqueada/2ª e 3ª col. base laminada)</t>
  </si>
  <si>
    <t>Mesa Centro/Lateral Angra (tp orgânico) pés metal</t>
  </si>
  <si>
    <r>
      <t>Mesa de Centro Parla (tp oblongo), pés mad.</t>
    </r>
    <r>
      <rPr>
        <b/>
        <sz val="16"/>
        <rFont val="Arial"/>
        <family val="2"/>
      </rPr>
      <t xml:space="preserve"> </t>
    </r>
  </si>
  <si>
    <r>
      <rPr>
        <b/>
        <sz val="14"/>
        <color rgb="FFFF0000"/>
        <rFont val="Arial"/>
        <family val="2"/>
      </rPr>
      <t xml:space="preserve">CORPO:
</t>
    </r>
    <r>
      <rPr>
        <b/>
        <sz val="10"/>
        <color theme="1"/>
        <rFont val="Arial"/>
        <family val="2"/>
      </rPr>
      <t xml:space="preserve">- LACA PADRÃO
- AMÊNDOA
- IMBUIA
- CARVALHO
</t>
    </r>
    <r>
      <rPr>
        <b/>
        <sz val="14"/>
        <color rgb="FFFF0000"/>
        <rFont val="Arial"/>
        <family val="2"/>
      </rPr>
      <t xml:space="preserve">C/ BASE  
</t>
    </r>
    <r>
      <rPr>
        <b/>
        <sz val="10"/>
        <color theme="1"/>
        <rFont val="Arial"/>
        <family val="2"/>
      </rPr>
      <t xml:space="preserve">- AMÊNDOA          
- IMBUIA                      - CARVALHO                                   - LOURO  FREIJÓ                                                               - NOGUEIRA               -  LACA METALIZADA PADRÃO                                                                                                  </t>
    </r>
  </si>
  <si>
    <t>Aparador Madagascar (tp oblongo), pés metal; (com tampo sobreposto)</t>
  </si>
  <si>
    <t>1,60 x 0,40 x 0,76</t>
  </si>
  <si>
    <t>1,80 x 0,40 x 0,76</t>
  </si>
  <si>
    <t>2,00 x 0,40 x 0,76</t>
  </si>
  <si>
    <t>1,51 x 0,46 x 0,78</t>
  </si>
  <si>
    <t>1,71 x 0,46 x 0,78</t>
  </si>
  <si>
    <t>1,91 x 0,46 x 0,78</t>
  </si>
  <si>
    <t>2,11 x 0,46 x 0,78</t>
  </si>
  <si>
    <t>1,41 x 0,46 x 0,77</t>
  </si>
  <si>
    <t>1,61 x 0,46 x 0,77</t>
  </si>
  <si>
    <t>1,81 x 0,46 x 0,77</t>
  </si>
  <si>
    <t>2,01 x 0,46 x 0,77</t>
  </si>
  <si>
    <t>1,80 x 0,48 x 0,76</t>
  </si>
  <si>
    <t>2,00 x 0,48 x 0,76</t>
  </si>
  <si>
    <t>2,25 x 0,48 x 0,76</t>
  </si>
  <si>
    <t>2,50 x 0,48 x 0,76</t>
  </si>
  <si>
    <t>1,80 x 0,50 x 0,76</t>
  </si>
  <si>
    <t>2,00 x 0,50 x 0,76</t>
  </si>
  <si>
    <t>2,25 x 0,50 x 0,76</t>
  </si>
  <si>
    <t>2,50 x 0,50 x 0,76</t>
  </si>
  <si>
    <t>1,25 x 0,36 x 1,03</t>
  </si>
  <si>
    <t>1,00 x 0,47 x 0,81</t>
  </si>
  <si>
    <t>0,96 x 0,36 x 1,60</t>
  </si>
  <si>
    <t>0,54 x 0,45 x 0,60</t>
  </si>
  <si>
    <t>0,74 x 0,45 x 0,60</t>
  </si>
  <si>
    <t>0,54 x 0,47 x 0,60</t>
  </si>
  <si>
    <t>0,54 Ø 0,61</t>
  </si>
  <si>
    <t>0,56 x 0,38 x 0,60</t>
  </si>
  <si>
    <t>2,40 x 1,20 x 0,76</t>
  </si>
  <si>
    <t>2,00 x 0,47 x 0,55</t>
  </si>
  <si>
    <t>2,20 x 0,47 x 0,55</t>
  </si>
  <si>
    <t>2,50 x 0,47 x 0,55</t>
  </si>
  <si>
    <t>1,40 x 0,40 x 0,76</t>
  </si>
  <si>
    <t>1,35 x 0,68 x 0,30</t>
  </si>
  <si>
    <t>1,41 x 0,62 x 0,33</t>
  </si>
  <si>
    <t>1,61 x 0,62 x 0,33</t>
  </si>
  <si>
    <t>1,81 x 0,62 x 0,33</t>
  </si>
  <si>
    <t>1,20 x 0,45 x 0,31</t>
  </si>
  <si>
    <t>1,40 x 0,45 x 0,31</t>
  </si>
  <si>
    <t>1,60 x 0,45 x 0,31</t>
  </si>
  <si>
    <t>1,80 x 0,45 x 0,31</t>
  </si>
  <si>
    <t>1,20 x 0,52 x 0,33</t>
  </si>
  <si>
    <t>1,40 x 0,52 x 0,33</t>
  </si>
  <si>
    <t>1,60 x 0,52 x 0,33</t>
  </si>
  <si>
    <t>1,80 x 0,52 x 0,33</t>
  </si>
  <si>
    <t xml:space="preserve">2,70 x 1,20 x 0,76 </t>
  </si>
  <si>
    <r>
      <t xml:space="preserve">Mesa Jantar Sines (canto garrafa) </t>
    </r>
    <r>
      <rPr>
        <sz val="14"/>
        <rFont val="Arial"/>
        <family val="2"/>
      </rPr>
      <t>(1ª col.base laqueada/2ª e 3ª col. base laminada)</t>
    </r>
  </si>
  <si>
    <r>
      <t xml:space="preserve">Mesa Jantar Bruxelas (canto garrafa) </t>
    </r>
    <r>
      <rPr>
        <sz val="14"/>
        <rFont val="Arial"/>
        <family val="2"/>
      </rPr>
      <t>(1ª col.base laqueada/2ª e 3ª col. base laminada)</t>
    </r>
  </si>
  <si>
    <t>Mesa Jantar Dakar (canto reto) (detalhe da base em metal)</t>
  </si>
  <si>
    <t>CAPRI</t>
  </si>
  <si>
    <t>MARK UP</t>
  </si>
  <si>
    <t>11250-14</t>
  </si>
  <si>
    <t>11250-18</t>
  </si>
  <si>
    <t>11250-22</t>
  </si>
  <si>
    <t>11250-24</t>
  </si>
  <si>
    <t>0,80 Ø 1,00 alt</t>
  </si>
  <si>
    <t xml:space="preserve">0,90 Ø 1,00 alt </t>
  </si>
  <si>
    <t>APARADORES    -   LANÇAMENTOS</t>
  </si>
  <si>
    <t>BUFFET   -   LANÇAMENTOS</t>
  </si>
  <si>
    <t>GAVETEIROS   -   LANÇAMENTOS</t>
  </si>
  <si>
    <t>COMPLEMENTOS    -   LANÇAMENTOS</t>
  </si>
  <si>
    <t>MESAS DE CENTRO E MESAS LATERAIS    -   LANÇAMENTOS</t>
  </si>
  <si>
    <t>MESAS DE JANTAR  -   LANÇAMENTOS</t>
  </si>
  <si>
    <t>RACK   -   LANÇAMENTOS</t>
  </si>
  <si>
    <t>SOFÁ TABLE  -   LANÇAMENTOS</t>
  </si>
  <si>
    <t>9181-5</t>
  </si>
  <si>
    <t>9181-8</t>
  </si>
  <si>
    <t>2,20 x 1,00 x 0,76</t>
  </si>
  <si>
    <t>9181-9</t>
  </si>
  <si>
    <t>9181-12</t>
  </si>
  <si>
    <t>9181-13</t>
  </si>
  <si>
    <t>9181-14</t>
  </si>
  <si>
    <t xml:space="preserve">Mesa Jantar Vigo (canto garrafa),base cilindríca - c/ aplique </t>
  </si>
  <si>
    <t>10561-76</t>
  </si>
  <si>
    <t>10561-82</t>
  </si>
  <si>
    <t>10561-88</t>
  </si>
  <si>
    <t>2,40 X 1,10 X 0,76</t>
  </si>
  <si>
    <t>10561-94</t>
  </si>
  <si>
    <t xml:space="preserve">2,70 X 1,20 X 0,76 </t>
  </si>
  <si>
    <t>10561-96</t>
  </si>
  <si>
    <t>3,00 X 1,20 X 0,76</t>
  </si>
  <si>
    <t>10561-98</t>
  </si>
  <si>
    <t>3,20 X 1,20 X 0,76</t>
  </si>
  <si>
    <t xml:space="preserve">Mesa de Jantar Biondo  (Tampo Orgânico) </t>
  </si>
  <si>
    <t>10968-16</t>
  </si>
  <si>
    <t>1,20 X 0,60 X 0,33</t>
  </si>
  <si>
    <t>10968-18</t>
  </si>
  <si>
    <t>1,40 X 0,70 X 0,33</t>
  </si>
  <si>
    <t>10968-20</t>
  </si>
  <si>
    <t>1,60 X 0,80 X 0,33</t>
  </si>
  <si>
    <t>Mesa Jantar Vigo (canto garrafa),base cilindríca  - s/aplique</t>
  </si>
  <si>
    <t>BIONDO</t>
  </si>
  <si>
    <t>Mesa Jantar Belmonte (base elíptica, tp ponta arredondada)</t>
  </si>
  <si>
    <r>
      <t>Buffet Baden (4 P, 1 Prat Pq, 1 Gav.),pés de metal</t>
    </r>
    <r>
      <rPr>
        <b/>
        <sz val="14"/>
        <rFont val="Arial"/>
        <family val="2"/>
      </rPr>
      <t xml:space="preserve"> (se laca brilho somente c/ VD)</t>
    </r>
  </si>
  <si>
    <r>
      <t xml:space="preserve">Buffet Liverpool (4 P, 1 Prat Pq, 1 Gav.), pés de mad.  </t>
    </r>
    <r>
      <rPr>
        <b/>
        <sz val="16"/>
        <rFont val="Arial"/>
        <family val="2"/>
      </rPr>
      <t>(laca somente c/ VD)</t>
    </r>
  </si>
  <si>
    <r>
      <t xml:space="preserve">Buffet Palermo (4 P, 1 Prat Pq, 1 Gav.) , pés de metal </t>
    </r>
    <r>
      <rPr>
        <b/>
        <sz val="16"/>
        <rFont val="Arial"/>
        <family val="2"/>
      </rPr>
      <t>(somente s/ VD)</t>
    </r>
  </si>
  <si>
    <r>
      <t xml:space="preserve">Buffet Princeton (4 P, 1 Prat Pq, 1Gav.) ,pés de metal </t>
    </r>
    <r>
      <rPr>
        <b/>
        <sz val="16"/>
        <rFont val="Arial"/>
        <family val="2"/>
      </rPr>
      <t>(Somente Laminado)</t>
    </r>
  </si>
  <si>
    <t>Buffet Stanford, Pé de Metal (4 P, 1 Prat Pq, 1 Gav.)</t>
  </si>
  <si>
    <t xml:space="preserve">Mesa Lateral Arizona (tp orgânico) </t>
  </si>
  <si>
    <t>Mesa Jantar Bragança (tampo orgânico) com marchetaria</t>
  </si>
  <si>
    <t>Mesa Jantar Bragança (tampo orgânico) sem marchetaria</t>
  </si>
  <si>
    <t>Mesa Jantar Mendonza (tp orgânico) com marchetaria</t>
  </si>
  <si>
    <t>Mesa Jantar Mendonza (tp orgânico) sem marchetaria</t>
  </si>
  <si>
    <r>
      <t xml:space="preserve">Aparador Baden ,tp e bandeja canto garrafa, pés metal </t>
    </r>
    <r>
      <rPr>
        <sz val="14"/>
        <rFont val="Arial"/>
        <family val="2"/>
      </rPr>
      <t>(se laca brilho somente c/ VD</t>
    </r>
    <r>
      <rPr>
        <sz val="15"/>
        <rFont val="Arial"/>
        <family val="2"/>
      </rPr>
      <t>)</t>
    </r>
  </si>
  <si>
    <t>Aparador Palermo (tp oblongo, c/ 3 gav.) pés metal (se laca brilho somente c/ VD)</t>
  </si>
  <si>
    <r>
      <t xml:space="preserve">Buffet Princeton (5 P, 2 Prat Pq, 1Gav.) ,pés de metal </t>
    </r>
    <r>
      <rPr>
        <b/>
        <sz val="16"/>
        <rFont val="Arial"/>
        <family val="2"/>
      </rPr>
      <t>(Somente Laminado)</t>
    </r>
  </si>
  <si>
    <t>0,74 x 0,47 x 0,60</t>
  </si>
  <si>
    <t>2,20 x 1,20 x 0,76</t>
  </si>
  <si>
    <t>0,50 Ø 0,51</t>
  </si>
  <si>
    <t>0,60 Ø 0,61</t>
  </si>
  <si>
    <t>0,70 Ø 0,70</t>
  </si>
  <si>
    <t>0,90 x 0,45 x 0,30</t>
  </si>
  <si>
    <t>09 de Janeiro de 2023</t>
  </si>
  <si>
    <r>
      <t xml:space="preserve">Carrinho de Chá Varsóvia, tp. Inferior c/ VD incolor </t>
    </r>
    <r>
      <rPr>
        <b/>
        <sz val="10"/>
        <color theme="1"/>
        <rFont val="Arial"/>
        <family val="2"/>
      </rPr>
      <t>(bandeja se laca brilho somente c/ VD)</t>
    </r>
  </si>
  <si>
    <t>Aparador  Maracatu, c/ 2 gavetas (se laca brilho somente c/ VD)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</si>
</sst>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2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4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8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4" fillId="0" borderId="0" xfId="0" applyFont="1"/>
    <xf numFmtId="0" fontId="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Fill="1"/>
    <xf numFmtId="0" fontId="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44" fontId="17" fillId="2" borderId="1" xfId="1" applyFont="1" applyFill="1" applyBorder="1" applyAlignment="1">
      <alignment horizontal="center" vertical="center" wrapText="1"/>
    </xf>
    <xf numFmtId="44" fontId="16" fillId="2" borderId="1" xfId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left" vertical="center"/>
    </xf>
    <xf numFmtId="44" fontId="16" fillId="0" borderId="1" xfId="1" applyFont="1" applyFill="1" applyBorder="1" applyAlignment="1">
      <alignment horizontal="center" vertical="center" wrapText="1"/>
    </xf>
    <xf numFmtId="2" fontId="16" fillId="2" borderId="1" xfId="2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0" borderId="1" xfId="2" applyFont="1" applyFill="1" applyBorder="1" applyAlignment="1">
      <alignment horizontal="left" vertical="center"/>
    </xf>
    <xf numFmtId="0" fontId="16" fillId="0" borderId="1" xfId="2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44" fontId="16" fillId="2" borderId="7" xfId="1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2" fontId="16" fillId="0" borderId="1" xfId="2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 applyProtection="1">
      <alignment horizontal="center"/>
      <protection locked="0"/>
    </xf>
    <xf numFmtId="0" fontId="25" fillId="0" borderId="1" xfId="0" applyFont="1" applyFill="1" applyBorder="1" applyAlignment="1" applyProtection="1">
      <alignment horizontal="center"/>
      <protection locked="0"/>
    </xf>
    <xf numFmtId="0" fontId="4" fillId="0" borderId="0" xfId="0" applyFont="1" applyBorder="1"/>
    <xf numFmtId="0" fontId="16" fillId="0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4" fontId="26" fillId="0" borderId="0" xfId="1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Fill="1" applyBorder="1" applyAlignment="1">
      <alignment horizontal="center" vertical="top"/>
    </xf>
    <xf numFmtId="164" fontId="11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/>
    </xf>
    <xf numFmtId="44" fontId="17" fillId="2" borderId="7" xfId="1" applyFont="1" applyFill="1" applyBorder="1" applyAlignment="1">
      <alignment vertical="center" wrapText="1"/>
    </xf>
    <xf numFmtId="44" fontId="16" fillId="2" borderId="7" xfId="21" applyFont="1" applyFill="1" applyBorder="1" applyAlignment="1">
      <alignment vertical="center" wrapText="1"/>
    </xf>
    <xf numFmtId="44" fontId="16" fillId="2" borderId="1" xfId="21" applyFont="1" applyFill="1" applyBorder="1" applyAlignment="1">
      <alignment horizontal="center" vertical="center" wrapText="1"/>
    </xf>
    <xf numFmtId="0" fontId="4" fillId="0" borderId="0" xfId="0" applyFont="1" applyProtection="1">
      <protection hidden="1"/>
    </xf>
    <xf numFmtId="0" fontId="0" fillId="0" borderId="0" xfId="0" applyFill="1" applyAlignment="1" applyProtection="1">
      <alignment wrapText="1"/>
      <protection hidden="1"/>
    </xf>
    <xf numFmtId="0" fontId="0" fillId="0" borderId="0" xfId="0" applyFill="1" applyProtection="1"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left" vertical="center" wrapText="1"/>
      <protection hidden="1"/>
    </xf>
    <xf numFmtId="164" fontId="1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Fill="1" applyBorder="1" applyAlignment="1" applyProtection="1">
      <alignment horizontal="center" vertical="center"/>
      <protection hidden="1"/>
    </xf>
    <xf numFmtId="0" fontId="19" fillId="0" borderId="1" xfId="2" applyFont="1" applyFill="1" applyBorder="1" applyAlignment="1" applyProtection="1">
      <alignment horizontal="left" vertical="center"/>
      <protection hidden="1"/>
    </xf>
    <xf numFmtId="0" fontId="16" fillId="0" borderId="1" xfId="0" applyFont="1" applyFill="1" applyBorder="1" applyAlignment="1" applyProtection="1">
      <alignment horizontal="center" vertical="center" wrapText="1"/>
      <protection hidden="1"/>
    </xf>
    <xf numFmtId="44" fontId="16" fillId="0" borderId="1" xfId="1" applyFont="1" applyFill="1" applyBorder="1" applyAlignment="1" applyProtection="1">
      <alignment horizontal="center" vertical="center" wrapText="1"/>
      <protection hidden="1"/>
    </xf>
    <xf numFmtId="0" fontId="17" fillId="2" borderId="1" xfId="0" applyFont="1" applyFill="1" applyBorder="1" applyAlignment="1" applyProtection="1">
      <alignment horizontal="center" vertical="center"/>
      <protection hidden="1"/>
    </xf>
    <xf numFmtId="0" fontId="16" fillId="0" borderId="1" xfId="2" applyFont="1" applyFill="1" applyBorder="1" applyAlignment="1" applyProtection="1">
      <alignment horizontal="left" vertical="center"/>
      <protection hidden="1"/>
    </xf>
    <xf numFmtId="0" fontId="16" fillId="0" borderId="1" xfId="0" applyFont="1" applyFill="1" applyBorder="1" applyAlignment="1" applyProtection="1">
      <alignment horizontal="left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17" fillId="0" borderId="1" xfId="0" applyFont="1" applyFill="1" applyBorder="1" applyAlignment="1" applyProtection="1">
      <alignment horizontal="center" vertical="center"/>
      <protection hidden="1"/>
    </xf>
    <xf numFmtId="0" fontId="17" fillId="0" borderId="1" xfId="0" applyFont="1" applyFill="1" applyBorder="1" applyAlignment="1" applyProtection="1">
      <alignment vertical="center"/>
      <protection hidden="1"/>
    </xf>
    <xf numFmtId="0" fontId="16" fillId="0" borderId="1" xfId="2" applyFont="1" applyFill="1" applyBorder="1" applyAlignment="1" applyProtection="1">
      <alignment horizontal="center" vertical="center" wrapText="1"/>
      <protection hidden="1"/>
    </xf>
    <xf numFmtId="2" fontId="16" fillId="0" borderId="1" xfId="2" applyNumberFormat="1" applyFont="1" applyFill="1" applyBorder="1" applyAlignment="1" applyProtection="1">
      <alignment horizontal="center" vertical="center" wrapText="1"/>
      <protection hidden="1"/>
    </xf>
    <xf numFmtId="0" fontId="16" fillId="2" borderId="1" xfId="2" applyFont="1" applyFill="1" applyBorder="1" applyAlignment="1" applyProtection="1">
      <alignment horizontal="center" vertical="center" wrapText="1"/>
      <protection hidden="1"/>
    </xf>
    <xf numFmtId="2" fontId="16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16" fillId="0" borderId="1" xfId="2" applyFont="1" applyFill="1" applyBorder="1" applyAlignment="1" applyProtection="1">
      <alignment horizontal="left" vertical="center" wrapText="1"/>
      <protection hidden="1"/>
    </xf>
    <xf numFmtId="0" fontId="14" fillId="0" borderId="1" xfId="0" applyFont="1" applyFill="1" applyBorder="1" applyAlignment="1" applyProtection="1">
      <alignment horizontal="center" vertical="top"/>
      <protection hidden="1"/>
    </xf>
    <xf numFmtId="0" fontId="14" fillId="0" borderId="1" xfId="0" applyFont="1" applyBorder="1" applyAlignment="1" applyProtection="1">
      <alignment horizontal="center" vertical="top"/>
      <protection hidden="1"/>
    </xf>
    <xf numFmtId="0" fontId="17" fillId="0" borderId="1" xfId="0" applyFont="1" applyFill="1" applyBorder="1" applyAlignment="1" applyProtection="1">
      <alignment horizontal="left" vertical="center" wrapText="1"/>
      <protection hidden="1"/>
    </xf>
    <xf numFmtId="0" fontId="17" fillId="0" borderId="1" xfId="0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 applyProtection="1">
      <alignment horizontal="left" vertical="center"/>
      <protection hidden="1"/>
    </xf>
    <xf numFmtId="0" fontId="16" fillId="2" borderId="1" xfId="0" applyFont="1" applyFill="1" applyBorder="1" applyAlignment="1" applyProtection="1">
      <alignment horizontal="left" vertical="center"/>
      <protection hidden="1"/>
    </xf>
    <xf numFmtId="0" fontId="17" fillId="3" borderId="1" xfId="0" applyFont="1" applyFill="1" applyBorder="1" applyAlignment="1" applyProtection="1">
      <alignment horizontal="center" vertical="center"/>
      <protection hidden="1"/>
    </xf>
    <xf numFmtId="0" fontId="16" fillId="2" borderId="1" xfId="2" applyFont="1" applyFill="1" applyBorder="1" applyAlignment="1" applyProtection="1">
      <alignment horizontal="left" vertical="center"/>
      <protection hidden="1"/>
    </xf>
    <xf numFmtId="0" fontId="16" fillId="0" borderId="1" xfId="0" applyFont="1" applyFill="1" applyBorder="1" applyAlignment="1" applyProtection="1">
      <alignment horizontal="left" vertical="center" wrapText="1"/>
      <protection hidden="1"/>
    </xf>
    <xf numFmtId="0" fontId="17" fillId="3" borderId="1" xfId="0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 applyProtection="1">
      <alignment vertical="center"/>
      <protection hidden="1"/>
    </xf>
    <xf numFmtId="0" fontId="17" fillId="2" borderId="1" xfId="0" applyFont="1" applyFill="1" applyBorder="1" applyAlignment="1" applyProtection="1">
      <alignment horizontal="center"/>
      <protection hidden="1"/>
    </xf>
    <xf numFmtId="4" fontId="26" fillId="0" borderId="0" xfId="1" applyNumberFormat="1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Fill="1" applyBorder="1" applyAlignment="1" applyProtection="1">
      <alignment vertical="center"/>
      <protection hidden="1"/>
    </xf>
    <xf numFmtId="0" fontId="17" fillId="2" borderId="1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4" fillId="0" borderId="0" xfId="0" applyFont="1" applyBorder="1" applyProtection="1">
      <protection hidden="1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right" vertical="center"/>
      <protection hidden="1"/>
    </xf>
    <xf numFmtId="0" fontId="5" fillId="0" borderId="2" xfId="0" applyFont="1" applyFill="1" applyBorder="1" applyAlignment="1" applyProtection="1">
      <alignment horizontal="center" wrapText="1"/>
      <protection hidden="1"/>
    </xf>
    <xf numFmtId="0" fontId="5" fillId="0" borderId="4" xfId="0" applyFont="1" applyFill="1" applyBorder="1" applyAlignment="1" applyProtection="1">
      <alignment horizontal="center" wrapText="1"/>
      <protection hidden="1"/>
    </xf>
    <xf numFmtId="0" fontId="5" fillId="0" borderId="2" xfId="0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left" vertical="center"/>
      <protection hidden="1"/>
    </xf>
    <xf numFmtId="0" fontId="14" fillId="0" borderId="1" xfId="0" applyFont="1" applyBorder="1" applyAlignment="1" applyProtection="1">
      <alignment horizontal="center" vertical="top"/>
      <protection hidden="1"/>
    </xf>
    <xf numFmtId="164" fontId="1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horizontal="left" vertical="center" wrapText="1"/>
      <protection hidden="1"/>
    </xf>
    <xf numFmtId="164" fontId="11" fillId="2" borderId="1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1" xfId="0" applyFont="1" applyFill="1" applyBorder="1" applyAlignment="1" applyProtection="1">
      <alignment horizontal="center" vertical="top"/>
      <protection hidden="1"/>
    </xf>
    <xf numFmtId="0" fontId="4" fillId="0" borderId="1" xfId="0" applyFont="1" applyFill="1" applyBorder="1" applyAlignment="1" applyProtection="1">
      <alignment horizontal="center" vertical="top"/>
      <protection hidden="1"/>
    </xf>
    <xf numFmtId="0" fontId="14" fillId="0" borderId="5" xfId="0" applyFont="1" applyFill="1" applyBorder="1" applyAlignment="1" applyProtection="1">
      <alignment horizontal="center" vertical="top"/>
      <protection hidden="1"/>
    </xf>
    <xf numFmtId="0" fontId="14" fillId="0" borderId="6" xfId="0" applyFont="1" applyFill="1" applyBorder="1" applyAlignment="1" applyProtection="1">
      <alignment horizontal="center" vertical="top"/>
      <protection hidden="1"/>
    </xf>
    <xf numFmtId="0" fontId="14" fillId="0" borderId="7" xfId="0" applyFont="1" applyFill="1" applyBorder="1" applyAlignment="1" applyProtection="1">
      <alignment horizontal="center" vertical="top"/>
      <protection hidden="1"/>
    </xf>
    <xf numFmtId="0" fontId="14" fillId="0" borderId="5" xfId="0" applyFont="1" applyBorder="1" applyAlignment="1" applyProtection="1">
      <alignment horizontal="center" vertical="top"/>
      <protection hidden="1"/>
    </xf>
    <xf numFmtId="0" fontId="14" fillId="0" borderId="7" xfId="0" applyFont="1" applyBorder="1" applyAlignment="1" applyProtection="1">
      <alignment horizontal="center" vertical="top"/>
      <protection hidden="1"/>
    </xf>
    <xf numFmtId="0" fontId="14" fillId="0" borderId="6" xfId="0" applyFont="1" applyBorder="1" applyAlignment="1" applyProtection="1">
      <alignment horizontal="center" vertical="top"/>
      <protection hidden="1"/>
    </xf>
    <xf numFmtId="0" fontId="6" fillId="0" borderId="1" xfId="0" applyFont="1" applyBorder="1" applyAlignment="1" applyProtection="1">
      <alignment horizontal="center" vertical="top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center" vertical="top"/>
    </xf>
    <xf numFmtId="0" fontId="14" fillId="0" borderId="6" xfId="0" applyFont="1" applyFill="1" applyBorder="1" applyAlignment="1">
      <alignment horizontal="center" vertical="top"/>
    </xf>
    <xf numFmtId="0" fontId="14" fillId="0" borderId="7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</cellXfs>
  <cellStyles count="83">
    <cellStyle name="Moeda" xfId="1" builtinId="4"/>
    <cellStyle name="Moeda 10" xfId="21"/>
    <cellStyle name="Moeda 2" xfId="3"/>
    <cellStyle name="Moeda 2 2" xfId="7"/>
    <cellStyle name="Moeda 2 2 2" xfId="33"/>
    <cellStyle name="Moeda 2 3" xfId="12"/>
    <cellStyle name="Moeda 2 3 2" xfId="38"/>
    <cellStyle name="Moeda 2 4" xfId="17"/>
    <cellStyle name="Moeda 2 5" xfId="43"/>
    <cellStyle name="Moeda 2 6" xfId="29"/>
    <cellStyle name="Moeda 3" xfId="8"/>
    <cellStyle name="Moeda 3 2" xfId="14"/>
    <cellStyle name="Moeda 3 2 2" xfId="40"/>
    <cellStyle name="Moeda 3 3" xfId="18"/>
    <cellStyle name="Moeda 3 4" xfId="44"/>
    <cellStyle name="Moeda 3 5" xfId="34"/>
    <cellStyle name="Moeda 4" xfId="5"/>
    <cellStyle name="Moeda 4 2" xfId="42"/>
    <cellStyle name="Moeda 4 3" xfId="31"/>
    <cellStyle name="Moeda 5" xfId="10"/>
    <cellStyle name="Moeda 5 2" xfId="50"/>
    <cellStyle name="Moeda 5 3" xfId="53"/>
    <cellStyle name="Moeda 5 4" xfId="36"/>
    <cellStyle name="Moeda 6" xfId="15"/>
    <cellStyle name="Moeda 7" xfId="48"/>
    <cellStyle name="Moeda 8" xfId="51"/>
    <cellStyle name="Moeda 9" xfId="26"/>
    <cellStyle name="Normal" xfId="0" builtinId="0"/>
    <cellStyle name="Normal 10" xfId="70"/>
    <cellStyle name="Normal 11" xfId="55"/>
    <cellStyle name="Normal 12" xfId="57"/>
    <cellStyle name="Normal 13" xfId="54"/>
    <cellStyle name="Normal 14" xfId="59"/>
    <cellStyle name="Normal 15" xfId="58"/>
    <cellStyle name="Normal 16" xfId="77"/>
    <cellStyle name="Normal 17" xfId="56"/>
    <cellStyle name="Normal 18" xfId="68"/>
    <cellStyle name="Normal 19" xfId="73"/>
    <cellStyle name="Normal 2" xfId="9"/>
    <cellStyle name="Normal 2 2" xfId="45"/>
    <cellStyle name="Normal 20" xfId="66"/>
    <cellStyle name="Normal 21" xfId="62"/>
    <cellStyle name="Normal 22" xfId="82"/>
    <cellStyle name="Normal 23" xfId="76"/>
    <cellStyle name="Normal 24" xfId="80"/>
    <cellStyle name="Normal 25" xfId="72"/>
    <cellStyle name="Normal 26" xfId="81"/>
    <cellStyle name="Normal 27" xfId="67"/>
    <cellStyle name="Normal 28" xfId="78"/>
    <cellStyle name="Normal 29" xfId="64"/>
    <cellStyle name="Normal 3" xfId="46"/>
    <cellStyle name="Normal 30" xfId="79"/>
    <cellStyle name="Normal 31" xfId="61"/>
    <cellStyle name="Normal 32" xfId="65"/>
    <cellStyle name="Normal 33" xfId="74"/>
    <cellStyle name="Normal 34" xfId="63"/>
    <cellStyle name="Normal 35" xfId="75"/>
    <cellStyle name="Normal 4" xfId="25"/>
    <cellStyle name="Normal 5" xfId="27"/>
    <cellStyle name="Normal 6" xfId="71"/>
    <cellStyle name="Normal 7" xfId="35"/>
    <cellStyle name="Normal 8" xfId="69"/>
    <cellStyle name="Normal 9" xfId="60"/>
    <cellStyle name="Normal_Plan3" xfId="2"/>
    <cellStyle name="Porcentagem 2" xfId="47"/>
    <cellStyle name="Vírgula 2" xfId="4"/>
    <cellStyle name="Vírgula 2 2" xfId="13"/>
    <cellStyle name="Vírgula 2 2 2" xfId="39"/>
    <cellStyle name="Vírgula 2 3" xfId="30"/>
    <cellStyle name="Vírgula 2 4" xfId="23"/>
    <cellStyle name="Vírgula 3" xfId="6"/>
    <cellStyle name="Vírgula 3 2" xfId="32"/>
    <cellStyle name="Vírgula 3 3" xfId="24"/>
    <cellStyle name="Vírgula 4" xfId="11"/>
    <cellStyle name="Vírgula 4 2" xfId="37"/>
    <cellStyle name="Vírgula 4 3" xfId="22"/>
    <cellStyle name="Vírgula 5" xfId="16"/>
    <cellStyle name="Vírgula 5 2" xfId="41"/>
    <cellStyle name="Vírgula 6" xfId="19"/>
    <cellStyle name="Vírgula 6 2" xfId="49"/>
    <cellStyle name="Vírgula 7" xfId="52"/>
    <cellStyle name="Vírgula 8" xfId="28"/>
    <cellStyle name="Vírgula 9" xfId="2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63.jpeg"/><Relationship Id="rId37" Type="http://schemas.openxmlformats.org/officeDocument/2006/relationships/image" Target="../media/image6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61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65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0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62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299358</xdr:colOff>
      <xdr:row>139</xdr:row>
      <xdr:rowOff>299357</xdr:rowOff>
    </xdr:from>
    <xdr:ext cx="639536" cy="374445"/>
    <xdr:pic>
      <xdr:nvPicPr>
        <xdr:cNvPr id="2" name="Imagem 1" descr="C:\Users\Usuario\Documents\LANÇAMENTOS\CANNES.jpg">
          <a:extLst>
            <a:ext uri="{FF2B5EF4-FFF2-40B4-BE49-F238E27FC236}">
              <a16:creationId xmlns="" xmlns:a16="http://schemas.microsoft.com/office/drawing/2014/main" id="{3A11DC63-97AE-473C-A9C3-7D705CF0C31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3" t="11260" r="17801" b="17869"/>
        <a:stretch/>
      </xdr:blipFill>
      <xdr:spPr bwMode="auto">
        <a:xfrm>
          <a:off x="299358" y="60954557"/>
          <a:ext cx="639536" cy="3744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119063</xdr:colOff>
      <xdr:row>37</xdr:row>
      <xdr:rowOff>95249</xdr:rowOff>
    </xdr:from>
    <xdr:to>
      <xdr:col>0</xdr:col>
      <xdr:colOff>1179390</xdr:colOff>
      <xdr:row>39</xdr:row>
      <xdr:rowOff>49884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14716124"/>
          <a:ext cx="1060327" cy="564235"/>
        </a:xfrm>
        <a:prstGeom prst="rect">
          <a:avLst/>
        </a:prstGeom>
      </xdr:spPr>
    </xdr:pic>
    <xdr:clientData/>
  </xdr:twoCellAnchor>
  <xdr:twoCellAnchor editAs="oneCell">
    <xdr:from>
      <xdr:col>0</xdr:col>
      <xdr:colOff>71439</xdr:colOff>
      <xdr:row>51</xdr:row>
      <xdr:rowOff>106650</xdr:rowOff>
    </xdr:from>
    <xdr:to>
      <xdr:col>0</xdr:col>
      <xdr:colOff>1202533</xdr:colOff>
      <xdr:row>52</xdr:row>
      <xdr:rowOff>259173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21385500"/>
          <a:ext cx="1131094" cy="42874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71439</xdr:colOff>
      <xdr:row>55</xdr:row>
      <xdr:rowOff>71437</xdr:rowOff>
    </xdr:from>
    <xdr:to>
      <xdr:col>0</xdr:col>
      <xdr:colOff>1170047</xdr:colOff>
      <xdr:row>56</xdr:row>
      <xdr:rowOff>238124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22455187"/>
          <a:ext cx="1098608" cy="442912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59</xdr:row>
      <xdr:rowOff>11908</xdr:rowOff>
    </xdr:from>
    <xdr:to>
      <xdr:col>0</xdr:col>
      <xdr:colOff>1230995</xdr:colOff>
      <xdr:row>61</xdr:row>
      <xdr:rowOff>138209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9" y="23500558"/>
          <a:ext cx="1195276" cy="6787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73</xdr:row>
      <xdr:rowOff>68036</xdr:rowOff>
    </xdr:from>
    <xdr:to>
      <xdr:col>0</xdr:col>
      <xdr:colOff>1268506</xdr:colOff>
      <xdr:row>75</xdr:row>
      <xdr:rowOff>40822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0044572"/>
          <a:ext cx="1173256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76</xdr:row>
      <xdr:rowOff>192477</xdr:rowOff>
    </xdr:from>
    <xdr:to>
      <xdr:col>0</xdr:col>
      <xdr:colOff>1000125</xdr:colOff>
      <xdr:row>76</xdr:row>
      <xdr:rowOff>805908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1148727"/>
          <a:ext cx="714375" cy="61343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78</xdr:row>
      <xdr:rowOff>122464</xdr:rowOff>
    </xdr:from>
    <xdr:to>
      <xdr:col>1</xdr:col>
      <xdr:colOff>285</xdr:colOff>
      <xdr:row>80</xdr:row>
      <xdr:rowOff>51028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4429" y="32164564"/>
          <a:ext cx="1222206" cy="461964"/>
        </a:xfrm>
        <a:prstGeom prst="rect">
          <a:avLst/>
        </a:prstGeom>
      </xdr:spPr>
    </xdr:pic>
    <xdr:clientData/>
  </xdr:twoCellAnchor>
  <xdr:twoCellAnchor editAs="oneCell">
    <xdr:from>
      <xdr:col>0</xdr:col>
      <xdr:colOff>328273</xdr:colOff>
      <xdr:row>91</xdr:row>
      <xdr:rowOff>258536</xdr:rowOff>
    </xdr:from>
    <xdr:to>
      <xdr:col>0</xdr:col>
      <xdr:colOff>911680</xdr:colOff>
      <xdr:row>92</xdr:row>
      <xdr:rowOff>345281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72" b="1641"/>
        <a:stretch/>
      </xdr:blipFill>
      <xdr:spPr>
        <a:xfrm>
          <a:off x="328273" y="38685107"/>
          <a:ext cx="583407" cy="467745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312964</xdr:colOff>
      <xdr:row>93</xdr:row>
      <xdr:rowOff>268740</xdr:rowOff>
    </xdr:from>
    <xdr:to>
      <xdr:col>0</xdr:col>
      <xdr:colOff>896370</xdr:colOff>
      <xdr:row>94</xdr:row>
      <xdr:rowOff>342977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50216" b="-6011"/>
        <a:stretch/>
      </xdr:blipFill>
      <xdr:spPr>
        <a:xfrm>
          <a:off x="312964" y="39483165"/>
          <a:ext cx="583406" cy="512387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273844</xdr:colOff>
      <xdr:row>95</xdr:row>
      <xdr:rowOff>217806</xdr:rowOff>
    </xdr:from>
    <xdr:to>
      <xdr:col>0</xdr:col>
      <xdr:colOff>988219</xdr:colOff>
      <xdr:row>96</xdr:row>
      <xdr:rowOff>376427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4" y="40308531"/>
          <a:ext cx="714375" cy="596771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97</xdr:row>
      <xdr:rowOff>226219</xdr:rowOff>
    </xdr:from>
    <xdr:to>
      <xdr:col>0</xdr:col>
      <xdr:colOff>960084</xdr:colOff>
      <xdr:row>98</xdr:row>
      <xdr:rowOff>369094</xdr:rowOff>
    </xdr:to>
    <xdr:pic>
      <xdr:nvPicPr>
        <xdr:cNvPr id="13" name="Imagem 12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26" b="1385"/>
        <a:stretch/>
      </xdr:blipFill>
      <xdr:spPr>
        <a:xfrm>
          <a:off x="297656" y="41193244"/>
          <a:ext cx="662428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99</xdr:row>
      <xdr:rowOff>220856</xdr:rowOff>
    </xdr:from>
    <xdr:to>
      <xdr:col>0</xdr:col>
      <xdr:colOff>881062</xdr:colOff>
      <xdr:row>99</xdr:row>
      <xdr:rowOff>833437</xdr:rowOff>
    </xdr:to>
    <xdr:pic>
      <xdr:nvPicPr>
        <xdr:cNvPr id="14" name="Imagem 13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475" b="-126"/>
        <a:stretch/>
      </xdr:blipFill>
      <xdr:spPr>
        <a:xfrm>
          <a:off x="381000" y="42064181"/>
          <a:ext cx="500062" cy="612581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321468</xdr:colOff>
      <xdr:row>110</xdr:row>
      <xdr:rowOff>238125</xdr:rowOff>
    </xdr:from>
    <xdr:to>
      <xdr:col>0</xdr:col>
      <xdr:colOff>944763</xdr:colOff>
      <xdr:row>110</xdr:row>
      <xdr:rowOff>827056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8" y="48567975"/>
          <a:ext cx="623295" cy="58893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23814</xdr:colOff>
      <xdr:row>112</xdr:row>
      <xdr:rowOff>353527</xdr:rowOff>
    </xdr:from>
    <xdr:to>
      <xdr:col>0</xdr:col>
      <xdr:colOff>1250158</xdr:colOff>
      <xdr:row>114</xdr:row>
      <xdr:rowOff>258535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50550277"/>
          <a:ext cx="1226344" cy="609858"/>
        </a:xfrm>
        <a:prstGeom prst="rect">
          <a:avLst/>
        </a:prstGeom>
      </xdr:spPr>
    </xdr:pic>
    <xdr:clientData/>
  </xdr:twoCellAnchor>
  <xdr:twoCellAnchor editAs="oneCell">
    <xdr:from>
      <xdr:col>0</xdr:col>
      <xdr:colOff>76219</xdr:colOff>
      <xdr:row>125</xdr:row>
      <xdr:rowOff>83344</xdr:rowOff>
    </xdr:from>
    <xdr:to>
      <xdr:col>0</xdr:col>
      <xdr:colOff>1255239</xdr:colOff>
      <xdr:row>127</xdr:row>
      <xdr:rowOff>176879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219" y="57033319"/>
          <a:ext cx="1179020" cy="588835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353785</xdr:colOff>
      <xdr:row>128</xdr:row>
      <xdr:rowOff>250030</xdr:rowOff>
    </xdr:from>
    <xdr:to>
      <xdr:col>0</xdr:col>
      <xdr:colOff>972480</xdr:colOff>
      <xdr:row>130</xdr:row>
      <xdr:rowOff>186149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53785" y="57985137"/>
          <a:ext cx="618695" cy="453191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357189</xdr:colOff>
      <xdr:row>131</xdr:row>
      <xdr:rowOff>250031</xdr:rowOff>
    </xdr:from>
    <xdr:to>
      <xdr:col>0</xdr:col>
      <xdr:colOff>844831</xdr:colOff>
      <xdr:row>132</xdr:row>
      <xdr:rowOff>334423</xdr:rowOff>
    </xdr:to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9" y="58714481"/>
          <a:ext cx="487642" cy="436817"/>
        </a:xfrm>
        <a:prstGeom prst="rect">
          <a:avLst/>
        </a:prstGeom>
      </xdr:spPr>
    </xdr:pic>
    <xdr:clientData/>
  </xdr:twoCellAnchor>
  <xdr:twoCellAnchor editAs="oneCell">
    <xdr:from>
      <xdr:col>0</xdr:col>
      <xdr:colOff>110558</xdr:colOff>
      <xdr:row>135</xdr:row>
      <xdr:rowOff>8504</xdr:rowOff>
    </xdr:from>
    <xdr:to>
      <xdr:col>0</xdr:col>
      <xdr:colOff>1253557</xdr:colOff>
      <xdr:row>137</xdr:row>
      <xdr:rowOff>27215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58" y="59716647"/>
          <a:ext cx="1142999" cy="508568"/>
        </a:xfrm>
        <a:prstGeom prst="rect">
          <a:avLst/>
        </a:prstGeom>
      </xdr:spPr>
    </xdr:pic>
    <xdr:clientData/>
  </xdr:twoCellAnchor>
  <xdr:twoCellAnchor editAs="oneCell">
    <xdr:from>
      <xdr:col>0</xdr:col>
      <xdr:colOff>77704</xdr:colOff>
      <xdr:row>144</xdr:row>
      <xdr:rowOff>23813</xdr:rowOff>
    </xdr:from>
    <xdr:to>
      <xdr:col>0</xdr:col>
      <xdr:colOff>1249231</xdr:colOff>
      <xdr:row>145</xdr:row>
      <xdr:rowOff>186881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7704" y="62403038"/>
          <a:ext cx="1171527" cy="420243"/>
        </a:xfrm>
        <a:prstGeom prst="rect">
          <a:avLst/>
        </a:prstGeom>
      </xdr:spPr>
    </xdr:pic>
    <xdr:clientData/>
  </xdr:twoCellAnchor>
  <xdr:twoCellAnchor editAs="oneCell">
    <xdr:from>
      <xdr:col>0</xdr:col>
      <xdr:colOff>290373</xdr:colOff>
      <xdr:row>151</xdr:row>
      <xdr:rowOff>250031</xdr:rowOff>
    </xdr:from>
    <xdr:to>
      <xdr:col>0</xdr:col>
      <xdr:colOff>892969</xdr:colOff>
      <xdr:row>152</xdr:row>
      <xdr:rowOff>419384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0373" y="65239106"/>
          <a:ext cx="602596" cy="607503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202406</xdr:colOff>
      <xdr:row>163</xdr:row>
      <xdr:rowOff>29029</xdr:rowOff>
    </xdr:from>
    <xdr:to>
      <xdr:col>0</xdr:col>
      <xdr:colOff>976312</xdr:colOff>
      <xdr:row>164</xdr:row>
      <xdr:rowOff>193145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" y="71628454"/>
          <a:ext cx="773906" cy="459391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464345</xdr:colOff>
      <xdr:row>165</xdr:row>
      <xdr:rowOff>221020</xdr:rowOff>
    </xdr:from>
    <xdr:to>
      <xdr:col>0</xdr:col>
      <xdr:colOff>833437</xdr:colOff>
      <xdr:row>165</xdr:row>
      <xdr:rowOff>705514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5" y="72410995"/>
          <a:ext cx="369092" cy="484494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166</xdr:row>
      <xdr:rowOff>285750</xdr:rowOff>
    </xdr:from>
    <xdr:to>
      <xdr:col>0</xdr:col>
      <xdr:colOff>1078869</xdr:colOff>
      <xdr:row>168</xdr:row>
      <xdr:rowOff>255175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73209150"/>
          <a:ext cx="912181" cy="598075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</xdr:colOff>
      <xdr:row>170</xdr:row>
      <xdr:rowOff>32316</xdr:rowOff>
    </xdr:from>
    <xdr:to>
      <xdr:col>0</xdr:col>
      <xdr:colOff>1231446</xdr:colOff>
      <xdr:row>172</xdr:row>
      <xdr:rowOff>126122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" y="74232066"/>
          <a:ext cx="1190625" cy="665306"/>
        </a:xfrm>
        <a:prstGeom prst="rect">
          <a:avLst/>
        </a:prstGeom>
      </xdr:spPr>
    </xdr:pic>
    <xdr:clientData/>
  </xdr:twoCellAnchor>
  <xdr:twoCellAnchor editAs="oneCell">
    <xdr:from>
      <xdr:col>0</xdr:col>
      <xdr:colOff>124165</xdr:colOff>
      <xdr:row>174</xdr:row>
      <xdr:rowOff>23218</xdr:rowOff>
    </xdr:from>
    <xdr:to>
      <xdr:col>0</xdr:col>
      <xdr:colOff>1195728</xdr:colOff>
      <xdr:row>175</xdr:row>
      <xdr:rowOff>252768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65" y="75202682"/>
          <a:ext cx="1071563" cy="51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170089</xdr:colOff>
      <xdr:row>177</xdr:row>
      <xdr:rowOff>200705</xdr:rowOff>
    </xdr:from>
    <xdr:to>
      <xdr:col>0</xdr:col>
      <xdr:colOff>1165123</xdr:colOff>
      <xdr:row>178</xdr:row>
      <xdr:rowOff>372248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89" y="76114955"/>
          <a:ext cx="995034" cy="606972"/>
        </a:xfrm>
        <a:prstGeom prst="rect">
          <a:avLst/>
        </a:prstGeom>
      </xdr:spPr>
    </xdr:pic>
    <xdr:clientData/>
  </xdr:twoCellAnchor>
  <xdr:twoCellAnchor editAs="oneCell">
    <xdr:from>
      <xdr:col>0</xdr:col>
      <xdr:colOff>309573</xdr:colOff>
      <xdr:row>179</xdr:row>
      <xdr:rowOff>251732</xdr:rowOff>
    </xdr:from>
    <xdr:to>
      <xdr:col>0</xdr:col>
      <xdr:colOff>991620</xdr:colOff>
      <xdr:row>180</xdr:row>
      <xdr:rowOff>353786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73" y="77036839"/>
          <a:ext cx="682047" cy="510268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182</xdr:row>
      <xdr:rowOff>236423</xdr:rowOff>
    </xdr:from>
    <xdr:to>
      <xdr:col>0</xdr:col>
      <xdr:colOff>1211036</xdr:colOff>
      <xdr:row>185</xdr:row>
      <xdr:rowOff>13607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78123709"/>
          <a:ext cx="1143001" cy="634434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187</xdr:row>
      <xdr:rowOff>285751</xdr:rowOff>
    </xdr:from>
    <xdr:to>
      <xdr:col>0</xdr:col>
      <xdr:colOff>1143001</xdr:colOff>
      <xdr:row>188</xdr:row>
      <xdr:rowOff>388716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79295626"/>
          <a:ext cx="1071564" cy="560165"/>
        </a:xfrm>
        <a:prstGeom prst="rect">
          <a:avLst/>
        </a:prstGeom>
      </xdr:spPr>
    </xdr:pic>
    <xdr:clientData/>
  </xdr:twoCellAnchor>
  <xdr:twoCellAnchor editAs="oneCell">
    <xdr:from>
      <xdr:col>0</xdr:col>
      <xdr:colOff>49326</xdr:colOff>
      <xdr:row>202</xdr:row>
      <xdr:rowOff>64518</xdr:rowOff>
    </xdr:from>
    <xdr:to>
      <xdr:col>0</xdr:col>
      <xdr:colOff>1239951</xdr:colOff>
      <xdr:row>204</xdr:row>
      <xdr:rowOff>191929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26" y="86524304"/>
          <a:ext cx="1190625" cy="671696"/>
        </a:xfrm>
        <a:prstGeom prst="rect">
          <a:avLst/>
        </a:prstGeom>
      </xdr:spPr>
    </xdr:pic>
    <xdr:clientData/>
  </xdr:twoCellAnchor>
  <xdr:twoCellAnchor editAs="oneCell">
    <xdr:from>
      <xdr:col>0</xdr:col>
      <xdr:colOff>372496</xdr:colOff>
      <xdr:row>211</xdr:row>
      <xdr:rowOff>258537</xdr:rowOff>
    </xdr:from>
    <xdr:to>
      <xdr:col>0</xdr:col>
      <xdr:colOff>860547</xdr:colOff>
      <xdr:row>212</xdr:row>
      <xdr:rowOff>437920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96" y="89739108"/>
          <a:ext cx="488051" cy="669241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220</xdr:row>
      <xdr:rowOff>10539</xdr:rowOff>
    </xdr:from>
    <xdr:to>
      <xdr:col>0</xdr:col>
      <xdr:colOff>1250156</xdr:colOff>
      <xdr:row>222</xdr:row>
      <xdr:rowOff>25908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91717239"/>
          <a:ext cx="1166812" cy="52972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225</xdr:row>
      <xdr:rowOff>174856</xdr:rowOff>
    </xdr:from>
    <xdr:to>
      <xdr:col>0</xdr:col>
      <xdr:colOff>1261015</xdr:colOff>
      <xdr:row>227</xdr:row>
      <xdr:rowOff>204106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" y="93247713"/>
          <a:ext cx="1152158" cy="546321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230</xdr:row>
      <xdr:rowOff>69737</xdr:rowOff>
    </xdr:from>
    <xdr:to>
      <xdr:col>1</xdr:col>
      <xdr:colOff>1</xdr:colOff>
      <xdr:row>232</xdr:row>
      <xdr:rowOff>148858</xdr:rowOff>
    </xdr:to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94435273"/>
          <a:ext cx="1197429" cy="596193"/>
        </a:xfrm>
        <a:prstGeom prst="rect">
          <a:avLst/>
        </a:prstGeom>
      </xdr:spPr>
    </xdr:pic>
    <xdr:clientData/>
  </xdr:twoCellAnchor>
  <xdr:twoCellAnchor editAs="oneCell">
    <xdr:from>
      <xdr:col>0</xdr:col>
      <xdr:colOff>102054</xdr:colOff>
      <xdr:row>236</xdr:row>
      <xdr:rowOff>90148</xdr:rowOff>
    </xdr:from>
    <xdr:to>
      <xdr:col>0</xdr:col>
      <xdr:colOff>1273841</xdr:colOff>
      <xdr:row>238</xdr:row>
      <xdr:rowOff>237431</xdr:rowOff>
    </xdr:to>
    <xdr:pic>
      <xdr:nvPicPr>
        <xdr:cNvPr id="37" name="Imagem 36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4" y="96006898"/>
          <a:ext cx="1171787" cy="664354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243</xdr:row>
      <xdr:rowOff>117433</xdr:rowOff>
    </xdr:from>
    <xdr:to>
      <xdr:col>0</xdr:col>
      <xdr:colOff>1265463</xdr:colOff>
      <xdr:row>245</xdr:row>
      <xdr:rowOff>164807</xdr:rowOff>
    </xdr:to>
    <xdr:pic>
      <xdr:nvPicPr>
        <xdr:cNvPr id="38" name="Imagem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97843933"/>
          <a:ext cx="1183820" cy="564445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250</xdr:row>
      <xdr:rowOff>95250</xdr:rowOff>
    </xdr:from>
    <xdr:to>
      <xdr:col>0</xdr:col>
      <xdr:colOff>1253797</xdr:colOff>
      <xdr:row>252</xdr:row>
      <xdr:rowOff>171355</xdr:rowOff>
    </xdr:to>
    <xdr:pic>
      <xdr:nvPicPr>
        <xdr:cNvPr id="39" name="Imagem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99517200"/>
          <a:ext cx="1170453" cy="59045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257</xdr:row>
      <xdr:rowOff>137793</xdr:rowOff>
    </xdr:from>
    <xdr:to>
      <xdr:col>0</xdr:col>
      <xdr:colOff>1238250</xdr:colOff>
      <xdr:row>259</xdr:row>
      <xdr:rowOff>112775</xdr:rowOff>
    </xdr:to>
    <xdr:pic>
      <xdr:nvPicPr>
        <xdr:cNvPr id="40" name="Imagem 39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1359968"/>
          <a:ext cx="1190625" cy="489332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263</xdr:row>
      <xdr:rowOff>35719</xdr:rowOff>
    </xdr:from>
    <xdr:to>
      <xdr:col>0</xdr:col>
      <xdr:colOff>1258661</xdr:colOff>
      <xdr:row>265</xdr:row>
      <xdr:rowOff>10703</xdr:rowOff>
    </xdr:to>
    <xdr:pic>
      <xdr:nvPicPr>
        <xdr:cNvPr id="41" name="Imagem 40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02800944"/>
          <a:ext cx="1190625" cy="489333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281</xdr:row>
      <xdr:rowOff>77375</xdr:rowOff>
    </xdr:from>
    <xdr:to>
      <xdr:col>0</xdr:col>
      <xdr:colOff>1256959</xdr:colOff>
      <xdr:row>283</xdr:row>
      <xdr:rowOff>109252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" y="110703446"/>
          <a:ext cx="1202531" cy="54894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288</xdr:row>
      <xdr:rowOff>35720</xdr:rowOff>
    </xdr:from>
    <xdr:to>
      <xdr:col>0</xdr:col>
      <xdr:colOff>1272240</xdr:colOff>
      <xdr:row>290</xdr:row>
      <xdr:rowOff>129255</xdr:rowOff>
    </xdr:to>
    <xdr:pic>
      <xdr:nvPicPr>
        <xdr:cNvPr id="43" name="Imagem 42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2278320"/>
          <a:ext cx="1224615" cy="607885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295</xdr:row>
      <xdr:rowOff>71438</xdr:rowOff>
    </xdr:from>
    <xdr:to>
      <xdr:col>0</xdr:col>
      <xdr:colOff>1263752</xdr:colOff>
      <xdr:row>297</xdr:row>
      <xdr:rowOff>140588</xdr:rowOff>
    </xdr:to>
    <xdr:pic>
      <xdr:nvPicPr>
        <xdr:cNvPr id="44" name="Imagem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114114263"/>
          <a:ext cx="1204221" cy="583500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322</xdr:row>
      <xdr:rowOff>310169</xdr:rowOff>
    </xdr:from>
    <xdr:to>
      <xdr:col>0</xdr:col>
      <xdr:colOff>1265464</xdr:colOff>
      <xdr:row>324</xdr:row>
      <xdr:rowOff>74771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24706669"/>
          <a:ext cx="1197428" cy="472173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336</xdr:row>
      <xdr:rowOff>142875</xdr:rowOff>
    </xdr:from>
    <xdr:to>
      <xdr:col>0</xdr:col>
      <xdr:colOff>1223237</xdr:colOff>
      <xdr:row>338</xdr:row>
      <xdr:rowOff>5334</xdr:rowOff>
    </xdr:to>
    <xdr:pic>
      <xdr:nvPicPr>
        <xdr:cNvPr id="46" name="Imagem 4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131283075"/>
          <a:ext cx="1163706" cy="491108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392906</xdr:colOff>
      <xdr:row>111</xdr:row>
      <xdr:rowOff>285748</xdr:rowOff>
    </xdr:from>
    <xdr:to>
      <xdr:col>0</xdr:col>
      <xdr:colOff>863305</xdr:colOff>
      <xdr:row>111</xdr:row>
      <xdr:rowOff>1000981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49453798"/>
          <a:ext cx="470399" cy="715233"/>
        </a:xfrm>
        <a:prstGeom prst="rect">
          <a:avLst/>
        </a:prstGeom>
      </xdr:spPr>
    </xdr:pic>
    <xdr:clientData/>
  </xdr:twoCellAnchor>
  <xdr:twoCellAnchor editAs="oneCell">
    <xdr:from>
      <xdr:col>0</xdr:col>
      <xdr:colOff>123146</xdr:colOff>
      <xdr:row>13</xdr:row>
      <xdr:rowOff>35720</xdr:rowOff>
    </xdr:from>
    <xdr:to>
      <xdr:col>0</xdr:col>
      <xdr:colOff>1122615</xdr:colOff>
      <xdr:row>15</xdr:row>
      <xdr:rowOff>170091</xdr:rowOff>
    </xdr:to>
    <xdr:pic>
      <xdr:nvPicPr>
        <xdr:cNvPr id="48" name="Imagem 47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46" y="7341395"/>
          <a:ext cx="999469" cy="743971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107157</xdr:colOff>
      <xdr:row>17</xdr:row>
      <xdr:rowOff>0</xdr:rowOff>
    </xdr:from>
    <xdr:to>
      <xdr:col>0</xdr:col>
      <xdr:colOff>1224525</xdr:colOff>
      <xdr:row>19</xdr:row>
      <xdr:rowOff>239048</xdr:rowOff>
    </xdr:to>
    <xdr:pic>
      <xdr:nvPicPr>
        <xdr:cNvPr id="49" name="Imagem 48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7" y="8524875"/>
          <a:ext cx="1117368" cy="84864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21</xdr:row>
      <xdr:rowOff>7222</xdr:rowOff>
    </xdr:from>
    <xdr:to>
      <xdr:col>0</xdr:col>
      <xdr:colOff>1214438</xdr:colOff>
      <xdr:row>23</xdr:row>
      <xdr:rowOff>212665</xdr:rowOff>
    </xdr:to>
    <xdr:pic>
      <xdr:nvPicPr>
        <xdr:cNvPr id="50" name="Imagem 49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751297"/>
          <a:ext cx="1166813" cy="815043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25</xdr:row>
      <xdr:rowOff>32860</xdr:rowOff>
    </xdr:from>
    <xdr:to>
      <xdr:col>0</xdr:col>
      <xdr:colOff>1214437</xdr:colOff>
      <xdr:row>27</xdr:row>
      <xdr:rowOff>96174</xdr:rowOff>
    </xdr:to>
    <xdr:pic>
      <xdr:nvPicPr>
        <xdr:cNvPr id="51" name="Imagem 50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10996135"/>
          <a:ext cx="1095375" cy="672914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29</xdr:row>
      <xdr:rowOff>83344</xdr:rowOff>
    </xdr:from>
    <xdr:to>
      <xdr:col>0</xdr:col>
      <xdr:colOff>1061357</xdr:colOff>
      <xdr:row>31</xdr:row>
      <xdr:rowOff>49489</xdr:rowOff>
    </xdr:to>
    <xdr:pic>
      <xdr:nvPicPr>
        <xdr:cNvPr id="52" name="Imagem 51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2265819"/>
          <a:ext cx="882763" cy="57574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33</xdr:row>
      <xdr:rowOff>47624</xdr:rowOff>
    </xdr:from>
    <xdr:to>
      <xdr:col>0</xdr:col>
      <xdr:colOff>1209982</xdr:colOff>
      <xdr:row>35</xdr:row>
      <xdr:rowOff>254481</xdr:rowOff>
    </xdr:to>
    <xdr:pic>
      <xdr:nvPicPr>
        <xdr:cNvPr id="53" name="Imagem 52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3449299"/>
          <a:ext cx="1162357" cy="81645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140</xdr:row>
      <xdr:rowOff>231322</xdr:rowOff>
    </xdr:from>
    <xdr:to>
      <xdr:col>0</xdr:col>
      <xdr:colOff>869157</xdr:colOff>
      <xdr:row>142</xdr:row>
      <xdr:rowOff>163284</xdr:rowOff>
    </xdr:to>
    <xdr:pic>
      <xdr:nvPicPr>
        <xdr:cNvPr id="54" name="Imagem 5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76251" y="61610422"/>
          <a:ext cx="392906" cy="427262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146</xdr:row>
      <xdr:rowOff>238126</xdr:rowOff>
    </xdr:from>
    <xdr:to>
      <xdr:col>0</xdr:col>
      <xdr:colOff>1023937</xdr:colOff>
      <xdr:row>147</xdr:row>
      <xdr:rowOff>330909</xdr:rowOff>
    </xdr:to>
    <xdr:pic>
      <xdr:nvPicPr>
        <xdr:cNvPr id="55" name="Imagem 5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9062" y="63131701"/>
          <a:ext cx="904875" cy="51188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213</xdr:row>
      <xdr:rowOff>259897</xdr:rowOff>
    </xdr:from>
    <xdr:to>
      <xdr:col>0</xdr:col>
      <xdr:colOff>1102178</xdr:colOff>
      <xdr:row>216</xdr:row>
      <xdr:rowOff>68036</xdr:rowOff>
    </xdr:to>
    <xdr:pic>
      <xdr:nvPicPr>
        <xdr:cNvPr id="57" name="Imagem 56"/>
        <xdr:cNvPicPr/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90090172"/>
          <a:ext cx="966107" cy="636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449036</xdr:rowOff>
    </xdr:from>
    <xdr:to>
      <xdr:col>2</xdr:col>
      <xdr:colOff>37662</xdr:colOff>
      <xdr:row>3</xdr:row>
      <xdr:rowOff>13608</xdr:rowOff>
    </xdr:to>
    <xdr:pic>
      <xdr:nvPicPr>
        <xdr:cNvPr id="58" name="Imagem 57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2011"/>
          <a:ext cx="2285562" cy="114572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59" name="Imagem 5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3663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60" name="Imagem 5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3663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449036</xdr:rowOff>
    </xdr:from>
    <xdr:ext cx="2282841" cy="1143000"/>
    <xdr:pic>
      <xdr:nvPicPr>
        <xdr:cNvPr id="61" name="Imagem 60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84356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449036</xdr:rowOff>
    </xdr:from>
    <xdr:ext cx="2282841" cy="1143000"/>
    <xdr:pic>
      <xdr:nvPicPr>
        <xdr:cNvPr id="62" name="Imagem 61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84356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63" name="Imagem 62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3663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13607</xdr:colOff>
      <xdr:row>99</xdr:row>
      <xdr:rowOff>830036</xdr:rowOff>
    </xdr:from>
    <xdr:ext cx="2282841" cy="1143000"/>
    <xdr:pic>
      <xdr:nvPicPr>
        <xdr:cNvPr id="64" name="Imagem 6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4267336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449036</xdr:rowOff>
    </xdr:from>
    <xdr:ext cx="2282841" cy="1143000"/>
    <xdr:pic>
      <xdr:nvPicPr>
        <xdr:cNvPr id="65" name="Imagem 6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25538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449036</xdr:rowOff>
    </xdr:from>
    <xdr:ext cx="2282841" cy="1143000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25538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2841" cy="1143000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6537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2841" cy="1143000"/>
    <xdr:pic>
      <xdr:nvPicPr>
        <xdr:cNvPr id="68" name="Imagem 67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6537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449036</xdr:rowOff>
    </xdr:from>
    <xdr:ext cx="2282841" cy="1143000"/>
    <xdr:pic>
      <xdr:nvPicPr>
        <xdr:cNvPr id="69" name="Imagem 6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1611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449036</xdr:rowOff>
    </xdr:from>
    <xdr:ext cx="2282841" cy="1143000"/>
    <xdr:pic>
      <xdr:nvPicPr>
        <xdr:cNvPr id="70" name="Imagem 6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1611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68035</xdr:colOff>
      <xdr:row>267</xdr:row>
      <xdr:rowOff>1</xdr:rowOff>
    </xdr:from>
    <xdr:ext cx="2282841" cy="1143000"/>
    <xdr:pic>
      <xdr:nvPicPr>
        <xdr:cNvPr id="71" name="Imagem 70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104475644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2282841" cy="1143000"/>
    <xdr:pic>
      <xdr:nvPicPr>
        <xdr:cNvPr id="73" name="Imagem 72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45290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449036</xdr:rowOff>
    </xdr:from>
    <xdr:ext cx="2282841" cy="1143000"/>
    <xdr:pic>
      <xdr:nvPicPr>
        <xdr:cNvPr id="74" name="Imagem 7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18843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449036</xdr:rowOff>
    </xdr:from>
    <xdr:ext cx="2282841" cy="1143000"/>
    <xdr:pic>
      <xdr:nvPicPr>
        <xdr:cNvPr id="75" name="Imagem 7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188436"/>
          <a:ext cx="2282841" cy="1143000"/>
        </a:xfrm>
        <a:prstGeom prst="rect">
          <a:avLst/>
        </a:prstGeom>
      </xdr:spPr>
    </xdr:pic>
    <xdr:clientData/>
  </xdr:oneCellAnchor>
  <xdr:twoCellAnchor editAs="oneCell">
    <xdr:from>
      <xdr:col>0</xdr:col>
      <xdr:colOff>54428</xdr:colOff>
      <xdr:row>207</xdr:row>
      <xdr:rowOff>27212</xdr:rowOff>
    </xdr:from>
    <xdr:to>
      <xdr:col>0</xdr:col>
      <xdr:colOff>1229621</xdr:colOff>
      <xdr:row>208</xdr:row>
      <xdr:rowOff>231320</xdr:rowOff>
    </xdr:to>
    <xdr:pic>
      <xdr:nvPicPr>
        <xdr:cNvPr id="76" name="Imagem 75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4428" y="87742937"/>
          <a:ext cx="1175193" cy="48033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307</xdr:row>
      <xdr:rowOff>205133</xdr:rowOff>
    </xdr:from>
    <xdr:to>
      <xdr:col>0</xdr:col>
      <xdr:colOff>1183821</xdr:colOff>
      <xdr:row>309</xdr:row>
      <xdr:rowOff>255165</xdr:rowOff>
    </xdr:to>
    <xdr:pic>
      <xdr:nvPicPr>
        <xdr:cNvPr id="77" name="Imagem 76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36072" y="117593954"/>
          <a:ext cx="1047749" cy="567104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148</xdr:row>
      <xdr:rowOff>394607</xdr:rowOff>
    </xdr:from>
    <xdr:to>
      <xdr:col>0</xdr:col>
      <xdr:colOff>1222998</xdr:colOff>
      <xdr:row>150</xdr:row>
      <xdr:rowOff>136071</xdr:rowOff>
    </xdr:to>
    <xdr:pic>
      <xdr:nvPicPr>
        <xdr:cNvPr id="78" name="Imagem 77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8857" y="64126382"/>
          <a:ext cx="1114141" cy="57966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79" name="Imagem 7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0916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80" name="Imagem 7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0916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81" name="Imagem 80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309161"/>
          <a:ext cx="2282841" cy="1143000"/>
        </a:xfrm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302</xdr:row>
      <xdr:rowOff>68036</xdr:rowOff>
    </xdr:from>
    <xdr:to>
      <xdr:col>0</xdr:col>
      <xdr:colOff>1220620</xdr:colOff>
      <xdr:row>304</xdr:row>
      <xdr:rowOff>27214</xdr:rowOff>
    </xdr:to>
    <xdr:pic>
      <xdr:nvPicPr>
        <xdr:cNvPr id="56" name="Imagem 55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6123357"/>
          <a:ext cx="1125370" cy="517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299358</xdr:colOff>
      <xdr:row>139</xdr:row>
      <xdr:rowOff>299357</xdr:rowOff>
    </xdr:from>
    <xdr:ext cx="639536" cy="374445"/>
    <xdr:pic>
      <xdr:nvPicPr>
        <xdr:cNvPr id="2" name="Imagem 1" descr="C:\Users\Usuario\Documents\LANÇAMENTOS\CANNES.jpg">
          <a:extLst>
            <a:ext uri="{FF2B5EF4-FFF2-40B4-BE49-F238E27FC236}">
              <a16:creationId xmlns="" xmlns:a16="http://schemas.microsoft.com/office/drawing/2014/main" id="{3A11DC63-97AE-473C-A9C3-7D705CF0C31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3" t="11260" r="17801" b="17869"/>
        <a:stretch/>
      </xdr:blipFill>
      <xdr:spPr bwMode="auto">
        <a:xfrm>
          <a:off x="299358" y="54163232"/>
          <a:ext cx="639536" cy="3744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119063</xdr:colOff>
      <xdr:row>37</xdr:row>
      <xdr:rowOff>95249</xdr:rowOff>
    </xdr:from>
    <xdr:to>
      <xdr:col>0</xdr:col>
      <xdr:colOff>1179390</xdr:colOff>
      <xdr:row>39</xdr:row>
      <xdr:rowOff>49884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14954249"/>
          <a:ext cx="1060327" cy="556071"/>
        </a:xfrm>
        <a:prstGeom prst="rect">
          <a:avLst/>
        </a:prstGeom>
      </xdr:spPr>
    </xdr:pic>
    <xdr:clientData/>
  </xdr:twoCellAnchor>
  <xdr:twoCellAnchor editAs="oneCell">
    <xdr:from>
      <xdr:col>0</xdr:col>
      <xdr:colOff>71439</xdr:colOff>
      <xdr:row>51</xdr:row>
      <xdr:rowOff>106650</xdr:rowOff>
    </xdr:from>
    <xdr:to>
      <xdr:col>0</xdr:col>
      <xdr:colOff>1202533</xdr:colOff>
      <xdr:row>52</xdr:row>
      <xdr:rowOff>259173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21985575"/>
          <a:ext cx="1131094" cy="42874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71439</xdr:colOff>
      <xdr:row>55</xdr:row>
      <xdr:rowOff>71437</xdr:rowOff>
    </xdr:from>
    <xdr:to>
      <xdr:col>0</xdr:col>
      <xdr:colOff>1170047</xdr:colOff>
      <xdr:row>56</xdr:row>
      <xdr:rowOff>238124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9" y="23055262"/>
          <a:ext cx="1098608" cy="442912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59</xdr:row>
      <xdr:rowOff>11908</xdr:rowOff>
    </xdr:from>
    <xdr:to>
      <xdr:col>0</xdr:col>
      <xdr:colOff>1230995</xdr:colOff>
      <xdr:row>61</xdr:row>
      <xdr:rowOff>138209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9" y="24100633"/>
          <a:ext cx="1195276" cy="678752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</xdr:colOff>
      <xdr:row>73</xdr:row>
      <xdr:rowOff>107156</xdr:rowOff>
    </xdr:from>
    <xdr:to>
      <xdr:col>0</xdr:col>
      <xdr:colOff>1262988</xdr:colOff>
      <xdr:row>75</xdr:row>
      <xdr:rowOff>110395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" y="25293977"/>
          <a:ext cx="1235774" cy="60195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76</xdr:row>
      <xdr:rowOff>192477</xdr:rowOff>
    </xdr:from>
    <xdr:to>
      <xdr:col>0</xdr:col>
      <xdr:colOff>1000125</xdr:colOff>
      <xdr:row>76</xdr:row>
      <xdr:rowOff>805908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6290977"/>
          <a:ext cx="714375" cy="61343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78</xdr:row>
      <xdr:rowOff>122464</xdr:rowOff>
    </xdr:from>
    <xdr:to>
      <xdr:col>1</xdr:col>
      <xdr:colOff>285</xdr:colOff>
      <xdr:row>80</xdr:row>
      <xdr:rowOff>51028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4429" y="32085643"/>
          <a:ext cx="1224927" cy="472849"/>
        </a:xfrm>
        <a:prstGeom prst="rect">
          <a:avLst/>
        </a:prstGeom>
      </xdr:spPr>
    </xdr:pic>
    <xdr:clientData/>
  </xdr:twoCellAnchor>
  <xdr:twoCellAnchor editAs="oneCell">
    <xdr:from>
      <xdr:col>0</xdr:col>
      <xdr:colOff>328273</xdr:colOff>
      <xdr:row>91</xdr:row>
      <xdr:rowOff>201160</xdr:rowOff>
    </xdr:from>
    <xdr:to>
      <xdr:col>0</xdr:col>
      <xdr:colOff>911680</xdr:colOff>
      <xdr:row>92</xdr:row>
      <xdr:rowOff>345281</xdr:rowOff>
    </xdr:to>
    <xdr:pic>
      <xdr:nvPicPr>
        <xdr:cNvPr id="10" name="Imagem 9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72" b="1641"/>
        <a:stretch/>
      </xdr:blipFill>
      <xdr:spPr>
        <a:xfrm>
          <a:off x="328273" y="38627731"/>
          <a:ext cx="583407" cy="525121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312964</xdr:colOff>
      <xdr:row>93</xdr:row>
      <xdr:rowOff>268740</xdr:rowOff>
    </xdr:from>
    <xdr:to>
      <xdr:col>0</xdr:col>
      <xdr:colOff>896370</xdr:colOff>
      <xdr:row>94</xdr:row>
      <xdr:rowOff>342977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50216" b="-6011"/>
        <a:stretch/>
      </xdr:blipFill>
      <xdr:spPr>
        <a:xfrm>
          <a:off x="312964" y="39457311"/>
          <a:ext cx="583406" cy="509666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273844</xdr:colOff>
      <xdr:row>95</xdr:row>
      <xdr:rowOff>217806</xdr:rowOff>
    </xdr:from>
    <xdr:to>
      <xdr:col>0</xdr:col>
      <xdr:colOff>988219</xdr:colOff>
      <xdr:row>96</xdr:row>
      <xdr:rowOff>376427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844" y="34726881"/>
          <a:ext cx="714375" cy="596772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297656</xdr:colOff>
      <xdr:row>97</xdr:row>
      <xdr:rowOff>226219</xdr:rowOff>
    </xdr:from>
    <xdr:to>
      <xdr:col>0</xdr:col>
      <xdr:colOff>960084</xdr:colOff>
      <xdr:row>98</xdr:row>
      <xdr:rowOff>369094</xdr:rowOff>
    </xdr:to>
    <xdr:pic>
      <xdr:nvPicPr>
        <xdr:cNvPr id="13" name="Imagem 12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26" b="1385"/>
        <a:stretch/>
      </xdr:blipFill>
      <xdr:spPr>
        <a:xfrm>
          <a:off x="297656" y="35611594"/>
          <a:ext cx="662428" cy="5810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99</xdr:row>
      <xdr:rowOff>220856</xdr:rowOff>
    </xdr:from>
    <xdr:to>
      <xdr:col>0</xdr:col>
      <xdr:colOff>881062</xdr:colOff>
      <xdr:row>99</xdr:row>
      <xdr:rowOff>833437</xdr:rowOff>
    </xdr:to>
    <xdr:pic>
      <xdr:nvPicPr>
        <xdr:cNvPr id="14" name="Imagem 13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475" b="-126"/>
        <a:stretch/>
      </xdr:blipFill>
      <xdr:spPr>
        <a:xfrm>
          <a:off x="381000" y="36482531"/>
          <a:ext cx="500062" cy="612581"/>
        </a:xfrm>
        <a:prstGeom prst="rect">
          <a:avLst/>
        </a:prstGeom>
      </xdr:spPr>
    </xdr:pic>
    <xdr:clientData/>
  </xdr:twoCellAnchor>
  <xdr:twoCellAnchor editAs="oneCell">
    <xdr:from>
      <xdr:col>0</xdr:col>
      <xdr:colOff>321468</xdr:colOff>
      <xdr:row>110</xdr:row>
      <xdr:rowOff>238125</xdr:rowOff>
    </xdr:from>
    <xdr:to>
      <xdr:col>0</xdr:col>
      <xdr:colOff>944763</xdr:colOff>
      <xdr:row>110</xdr:row>
      <xdr:rowOff>827056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8" y="42262425"/>
          <a:ext cx="623295" cy="58893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23814</xdr:colOff>
      <xdr:row>112</xdr:row>
      <xdr:rowOff>353527</xdr:rowOff>
    </xdr:from>
    <xdr:to>
      <xdr:col>0</xdr:col>
      <xdr:colOff>1250158</xdr:colOff>
      <xdr:row>114</xdr:row>
      <xdr:rowOff>258535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50563884"/>
          <a:ext cx="1226344" cy="6125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76219</xdr:colOff>
      <xdr:row>125</xdr:row>
      <xdr:rowOff>83344</xdr:rowOff>
    </xdr:from>
    <xdr:to>
      <xdr:col>0</xdr:col>
      <xdr:colOff>1255239</xdr:colOff>
      <xdr:row>127</xdr:row>
      <xdr:rowOff>176879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219" y="50241994"/>
          <a:ext cx="1179020" cy="588836"/>
        </a:xfrm>
        <a:prstGeom prst="rect">
          <a:avLst/>
        </a:prstGeom>
      </xdr:spPr>
    </xdr:pic>
    <xdr:clientData/>
  </xdr:twoCellAnchor>
  <xdr:twoCellAnchor editAs="oneCell">
    <xdr:from>
      <xdr:col>0</xdr:col>
      <xdr:colOff>250028</xdr:colOff>
      <xdr:row>128</xdr:row>
      <xdr:rowOff>250030</xdr:rowOff>
    </xdr:from>
    <xdr:to>
      <xdr:col>0</xdr:col>
      <xdr:colOff>972481</xdr:colOff>
      <xdr:row>131</xdr:row>
      <xdr:rowOff>3616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50028" y="51151630"/>
          <a:ext cx="722453" cy="525111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357189</xdr:colOff>
      <xdr:row>131</xdr:row>
      <xdr:rowOff>250031</xdr:rowOff>
    </xdr:from>
    <xdr:to>
      <xdr:col>0</xdr:col>
      <xdr:colOff>844831</xdr:colOff>
      <xdr:row>132</xdr:row>
      <xdr:rowOff>334423</xdr:rowOff>
    </xdr:to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9" y="51923156"/>
          <a:ext cx="487642" cy="436817"/>
        </a:xfrm>
        <a:prstGeom prst="rect">
          <a:avLst/>
        </a:prstGeom>
      </xdr:spPr>
    </xdr:pic>
    <xdr:clientData/>
  </xdr:twoCellAnchor>
  <xdr:twoCellAnchor editAs="oneCell">
    <xdr:from>
      <xdr:col>0</xdr:col>
      <xdr:colOff>96951</xdr:colOff>
      <xdr:row>135</xdr:row>
      <xdr:rowOff>8504</xdr:rowOff>
    </xdr:from>
    <xdr:to>
      <xdr:col>0</xdr:col>
      <xdr:colOff>1239950</xdr:colOff>
      <xdr:row>137</xdr:row>
      <xdr:rowOff>27215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51" y="59716647"/>
          <a:ext cx="1142999" cy="508568"/>
        </a:xfrm>
        <a:prstGeom prst="rect">
          <a:avLst/>
        </a:prstGeom>
      </xdr:spPr>
    </xdr:pic>
    <xdr:clientData/>
  </xdr:twoCellAnchor>
  <xdr:twoCellAnchor editAs="oneCell">
    <xdr:from>
      <xdr:col>0</xdr:col>
      <xdr:colOff>77704</xdr:colOff>
      <xdr:row>144</xdr:row>
      <xdr:rowOff>23813</xdr:rowOff>
    </xdr:from>
    <xdr:to>
      <xdr:col>0</xdr:col>
      <xdr:colOff>1249231</xdr:colOff>
      <xdr:row>145</xdr:row>
      <xdr:rowOff>186881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7704" y="55611713"/>
          <a:ext cx="1171527" cy="420245"/>
        </a:xfrm>
        <a:prstGeom prst="rect">
          <a:avLst/>
        </a:prstGeom>
      </xdr:spPr>
    </xdr:pic>
    <xdr:clientData/>
  </xdr:twoCellAnchor>
  <xdr:twoCellAnchor editAs="oneCell">
    <xdr:from>
      <xdr:col>0</xdr:col>
      <xdr:colOff>290373</xdr:colOff>
      <xdr:row>151</xdr:row>
      <xdr:rowOff>250031</xdr:rowOff>
    </xdr:from>
    <xdr:to>
      <xdr:col>0</xdr:col>
      <xdr:colOff>892969</xdr:colOff>
      <xdr:row>152</xdr:row>
      <xdr:rowOff>419384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0373" y="60488852"/>
          <a:ext cx="602596" cy="604781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202406</xdr:colOff>
      <xdr:row>163</xdr:row>
      <xdr:rowOff>29029</xdr:rowOff>
    </xdr:from>
    <xdr:to>
      <xdr:col>0</xdr:col>
      <xdr:colOff>976312</xdr:colOff>
      <xdr:row>164</xdr:row>
      <xdr:rowOff>193145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" y="63094054"/>
          <a:ext cx="773906" cy="459390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464345</xdr:colOff>
      <xdr:row>165</xdr:row>
      <xdr:rowOff>221020</xdr:rowOff>
    </xdr:from>
    <xdr:to>
      <xdr:col>0</xdr:col>
      <xdr:colOff>833437</xdr:colOff>
      <xdr:row>165</xdr:row>
      <xdr:rowOff>705514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5" y="63876595"/>
          <a:ext cx="369092" cy="484494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166688</xdr:colOff>
      <xdr:row>166</xdr:row>
      <xdr:rowOff>285750</xdr:rowOff>
    </xdr:from>
    <xdr:to>
      <xdr:col>0</xdr:col>
      <xdr:colOff>1078869</xdr:colOff>
      <xdr:row>168</xdr:row>
      <xdr:rowOff>255175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8" y="64674750"/>
          <a:ext cx="912181" cy="5980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59530</xdr:rowOff>
    </xdr:from>
    <xdr:to>
      <xdr:col>0</xdr:col>
      <xdr:colOff>1190625</xdr:colOff>
      <xdr:row>172</xdr:row>
      <xdr:rowOff>234979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639155"/>
          <a:ext cx="1190625" cy="670751"/>
        </a:xfrm>
        <a:prstGeom prst="rect">
          <a:avLst/>
        </a:prstGeom>
      </xdr:spPr>
    </xdr:pic>
    <xdr:clientData/>
  </xdr:twoCellAnchor>
  <xdr:twoCellAnchor editAs="oneCell">
    <xdr:from>
      <xdr:col>0</xdr:col>
      <xdr:colOff>83343</xdr:colOff>
      <xdr:row>174</xdr:row>
      <xdr:rowOff>50432</xdr:rowOff>
    </xdr:from>
    <xdr:to>
      <xdr:col>0</xdr:col>
      <xdr:colOff>1154906</xdr:colOff>
      <xdr:row>176</xdr:row>
      <xdr:rowOff>75875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" y="66620657"/>
          <a:ext cx="1071563" cy="52074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177</xdr:row>
      <xdr:rowOff>214312</xdr:rowOff>
    </xdr:from>
    <xdr:to>
      <xdr:col>0</xdr:col>
      <xdr:colOff>1137909</xdr:colOff>
      <xdr:row>178</xdr:row>
      <xdr:rowOff>385855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7527487"/>
          <a:ext cx="995034" cy="600169"/>
        </a:xfrm>
        <a:prstGeom prst="rect">
          <a:avLst/>
        </a:prstGeom>
      </xdr:spPr>
    </xdr:pic>
    <xdr:clientData/>
  </xdr:twoCellAnchor>
  <xdr:twoCellAnchor editAs="oneCell">
    <xdr:from>
      <xdr:col>0</xdr:col>
      <xdr:colOff>297657</xdr:colOff>
      <xdr:row>179</xdr:row>
      <xdr:rowOff>238125</xdr:rowOff>
    </xdr:from>
    <xdr:to>
      <xdr:col>0</xdr:col>
      <xdr:colOff>1059657</xdr:colOff>
      <xdr:row>180</xdr:row>
      <xdr:rowOff>399995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57" y="72478446"/>
          <a:ext cx="762000" cy="57008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182</xdr:row>
      <xdr:rowOff>236423</xdr:rowOff>
    </xdr:from>
    <xdr:to>
      <xdr:col>0</xdr:col>
      <xdr:colOff>1211036</xdr:colOff>
      <xdr:row>184</xdr:row>
      <xdr:rowOff>231009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73538102"/>
          <a:ext cx="1143001" cy="484443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187</xdr:row>
      <xdr:rowOff>285751</xdr:rowOff>
    </xdr:from>
    <xdr:to>
      <xdr:col>0</xdr:col>
      <xdr:colOff>1143001</xdr:colOff>
      <xdr:row>188</xdr:row>
      <xdr:rowOff>388716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70761226"/>
          <a:ext cx="1071564" cy="560163"/>
        </a:xfrm>
        <a:prstGeom prst="rect">
          <a:avLst/>
        </a:prstGeom>
      </xdr:spPr>
    </xdr:pic>
    <xdr:clientData/>
  </xdr:twoCellAnchor>
  <xdr:twoCellAnchor editAs="oneCell">
    <xdr:from>
      <xdr:col>0</xdr:col>
      <xdr:colOff>35719</xdr:colOff>
      <xdr:row>202</xdr:row>
      <xdr:rowOff>64518</xdr:rowOff>
    </xdr:from>
    <xdr:to>
      <xdr:col>0</xdr:col>
      <xdr:colOff>1226344</xdr:colOff>
      <xdr:row>204</xdr:row>
      <xdr:rowOff>191929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9" y="77417043"/>
          <a:ext cx="1190625" cy="679860"/>
        </a:xfrm>
        <a:prstGeom prst="rect">
          <a:avLst/>
        </a:prstGeom>
      </xdr:spPr>
    </xdr:pic>
    <xdr:clientData/>
  </xdr:twoCellAnchor>
  <xdr:twoCellAnchor editAs="oneCell">
    <xdr:from>
      <xdr:col>0</xdr:col>
      <xdr:colOff>345282</xdr:colOff>
      <xdr:row>211</xdr:row>
      <xdr:rowOff>184930</xdr:rowOff>
    </xdr:from>
    <xdr:to>
      <xdr:col>0</xdr:col>
      <xdr:colOff>916781</xdr:colOff>
      <xdr:row>212</xdr:row>
      <xdr:rowOff>465134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2" y="78366130"/>
          <a:ext cx="571499" cy="785029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220</xdr:row>
      <xdr:rowOff>10539</xdr:rowOff>
    </xdr:from>
    <xdr:to>
      <xdr:col>0</xdr:col>
      <xdr:colOff>1250156</xdr:colOff>
      <xdr:row>222</xdr:row>
      <xdr:rowOff>25909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81992214"/>
          <a:ext cx="1166812" cy="529719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225</xdr:row>
      <xdr:rowOff>188464</xdr:rowOff>
    </xdr:from>
    <xdr:to>
      <xdr:col>0</xdr:col>
      <xdr:colOff>1233801</xdr:colOff>
      <xdr:row>227</xdr:row>
      <xdr:rowOff>217713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89886750"/>
          <a:ext cx="1152158" cy="546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83344</xdr:rowOff>
    </xdr:from>
    <xdr:to>
      <xdr:col>0</xdr:col>
      <xdr:colOff>1250156</xdr:colOff>
      <xdr:row>232</xdr:row>
      <xdr:rowOff>162466</xdr:rowOff>
    </xdr:to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636769"/>
          <a:ext cx="1250156" cy="59347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236</xdr:row>
      <xdr:rowOff>130969</xdr:rowOff>
    </xdr:from>
    <xdr:to>
      <xdr:col>0</xdr:col>
      <xdr:colOff>1219412</xdr:colOff>
      <xdr:row>239</xdr:row>
      <xdr:rowOff>19716</xdr:rowOff>
    </xdr:to>
    <xdr:pic>
      <xdr:nvPicPr>
        <xdr:cNvPr id="37" name="Imagem 36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86227444"/>
          <a:ext cx="1171787" cy="660272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243</xdr:row>
      <xdr:rowOff>117434</xdr:rowOff>
    </xdr:from>
    <xdr:to>
      <xdr:col>0</xdr:col>
      <xdr:colOff>1265464</xdr:colOff>
      <xdr:row>245</xdr:row>
      <xdr:rowOff>164808</xdr:rowOff>
    </xdr:to>
    <xdr:pic>
      <xdr:nvPicPr>
        <xdr:cNvPr id="38" name="Imagem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97843934"/>
          <a:ext cx="1197428" cy="564445"/>
        </a:xfrm>
        <a:prstGeom prst="rect">
          <a:avLst/>
        </a:prstGeom>
      </xdr:spPr>
    </xdr:pic>
    <xdr:clientData/>
  </xdr:twoCellAnchor>
  <xdr:twoCellAnchor editAs="oneCell">
    <xdr:from>
      <xdr:col>0</xdr:col>
      <xdr:colOff>83344</xdr:colOff>
      <xdr:row>250</xdr:row>
      <xdr:rowOff>95250</xdr:rowOff>
    </xdr:from>
    <xdr:to>
      <xdr:col>0</xdr:col>
      <xdr:colOff>1253797</xdr:colOff>
      <xdr:row>252</xdr:row>
      <xdr:rowOff>171355</xdr:rowOff>
    </xdr:to>
    <xdr:pic>
      <xdr:nvPicPr>
        <xdr:cNvPr id="39" name="Imagem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89792175"/>
          <a:ext cx="1170453" cy="59045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257</xdr:row>
      <xdr:rowOff>137793</xdr:rowOff>
    </xdr:from>
    <xdr:to>
      <xdr:col>0</xdr:col>
      <xdr:colOff>1238250</xdr:colOff>
      <xdr:row>259</xdr:row>
      <xdr:rowOff>112775</xdr:rowOff>
    </xdr:to>
    <xdr:pic>
      <xdr:nvPicPr>
        <xdr:cNvPr id="40" name="Imagem 39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1634943"/>
          <a:ext cx="1190625" cy="489332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263</xdr:row>
      <xdr:rowOff>35719</xdr:rowOff>
    </xdr:from>
    <xdr:to>
      <xdr:col>0</xdr:col>
      <xdr:colOff>1258661</xdr:colOff>
      <xdr:row>265</xdr:row>
      <xdr:rowOff>10702</xdr:rowOff>
    </xdr:to>
    <xdr:pic>
      <xdr:nvPicPr>
        <xdr:cNvPr id="41" name="Imagem 40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03858219"/>
          <a:ext cx="1190625" cy="492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77375</xdr:rowOff>
    </xdr:from>
    <xdr:to>
      <xdr:col>0</xdr:col>
      <xdr:colOff>1202531</xdr:colOff>
      <xdr:row>283</xdr:row>
      <xdr:rowOff>109252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660625"/>
          <a:ext cx="1202531" cy="54622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288</xdr:row>
      <xdr:rowOff>35720</xdr:rowOff>
    </xdr:from>
    <xdr:to>
      <xdr:col>0</xdr:col>
      <xdr:colOff>1272240</xdr:colOff>
      <xdr:row>290</xdr:row>
      <xdr:rowOff>129255</xdr:rowOff>
    </xdr:to>
    <xdr:pic>
      <xdr:nvPicPr>
        <xdr:cNvPr id="43" name="Imagem 42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2105620"/>
          <a:ext cx="1224615" cy="607885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295</xdr:row>
      <xdr:rowOff>71438</xdr:rowOff>
    </xdr:from>
    <xdr:to>
      <xdr:col>0</xdr:col>
      <xdr:colOff>1263752</xdr:colOff>
      <xdr:row>297</xdr:row>
      <xdr:rowOff>140588</xdr:rowOff>
    </xdr:to>
    <xdr:pic>
      <xdr:nvPicPr>
        <xdr:cNvPr id="44" name="Imagem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103941563"/>
          <a:ext cx="1204221" cy="58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322</xdr:row>
      <xdr:rowOff>310169</xdr:rowOff>
    </xdr:from>
    <xdr:to>
      <xdr:col>0</xdr:col>
      <xdr:colOff>1262062</xdr:colOff>
      <xdr:row>324</xdr:row>
      <xdr:rowOff>74771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000319"/>
          <a:ext cx="1262062" cy="469451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336</xdr:row>
      <xdr:rowOff>142875</xdr:rowOff>
    </xdr:from>
    <xdr:to>
      <xdr:col>0</xdr:col>
      <xdr:colOff>1223237</xdr:colOff>
      <xdr:row>338</xdr:row>
      <xdr:rowOff>5333</xdr:rowOff>
    </xdr:to>
    <xdr:pic>
      <xdr:nvPicPr>
        <xdr:cNvPr id="46" name="Imagem 4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118119525"/>
          <a:ext cx="1163706" cy="491109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392906</xdr:colOff>
      <xdr:row>111</xdr:row>
      <xdr:rowOff>285748</xdr:rowOff>
    </xdr:from>
    <xdr:to>
      <xdr:col>0</xdr:col>
      <xdr:colOff>863305</xdr:colOff>
      <xdr:row>111</xdr:row>
      <xdr:rowOff>1000981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43148248"/>
          <a:ext cx="470399" cy="715233"/>
        </a:xfrm>
        <a:prstGeom prst="rect">
          <a:avLst/>
        </a:prstGeom>
      </xdr:spPr>
    </xdr:pic>
    <xdr:clientData/>
  </xdr:twoCellAnchor>
  <xdr:twoCellAnchor editAs="oneCell">
    <xdr:from>
      <xdr:col>0</xdr:col>
      <xdr:colOff>123146</xdr:colOff>
      <xdr:row>13</xdr:row>
      <xdr:rowOff>35720</xdr:rowOff>
    </xdr:from>
    <xdr:to>
      <xdr:col>0</xdr:col>
      <xdr:colOff>1122615</xdr:colOff>
      <xdr:row>15</xdr:row>
      <xdr:rowOff>170091</xdr:rowOff>
    </xdr:to>
    <xdr:pic>
      <xdr:nvPicPr>
        <xdr:cNvPr id="48" name="Imagem 47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46" y="7350920"/>
          <a:ext cx="999469" cy="735807"/>
        </a:xfrm>
        <a:prstGeom prst="rect">
          <a:avLst/>
        </a:prstGeom>
      </xdr:spPr>
    </xdr:pic>
    <xdr:clientData/>
  </xdr:twoCellAnchor>
  <xdr:twoCellAnchor editAs="oneCell">
    <xdr:from>
      <xdr:col>0</xdr:col>
      <xdr:colOff>107157</xdr:colOff>
      <xdr:row>17</xdr:row>
      <xdr:rowOff>0</xdr:rowOff>
    </xdr:from>
    <xdr:to>
      <xdr:col>0</xdr:col>
      <xdr:colOff>1224525</xdr:colOff>
      <xdr:row>19</xdr:row>
      <xdr:rowOff>239048</xdr:rowOff>
    </xdr:to>
    <xdr:pic>
      <xdr:nvPicPr>
        <xdr:cNvPr id="49" name="Imagem 48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7" y="8572500"/>
          <a:ext cx="1117368" cy="84048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21</xdr:row>
      <xdr:rowOff>7222</xdr:rowOff>
    </xdr:from>
    <xdr:to>
      <xdr:col>0</xdr:col>
      <xdr:colOff>1214438</xdr:colOff>
      <xdr:row>23</xdr:row>
      <xdr:rowOff>212665</xdr:rowOff>
    </xdr:to>
    <xdr:pic>
      <xdr:nvPicPr>
        <xdr:cNvPr id="50" name="Imagem 49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837022"/>
          <a:ext cx="1166813" cy="806878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25</xdr:row>
      <xdr:rowOff>32860</xdr:rowOff>
    </xdr:from>
    <xdr:to>
      <xdr:col>0</xdr:col>
      <xdr:colOff>1214437</xdr:colOff>
      <xdr:row>27</xdr:row>
      <xdr:rowOff>96174</xdr:rowOff>
    </xdr:to>
    <xdr:pic>
      <xdr:nvPicPr>
        <xdr:cNvPr id="51" name="Imagem 50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11119960"/>
          <a:ext cx="1095375" cy="664750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29</xdr:row>
      <xdr:rowOff>83344</xdr:rowOff>
    </xdr:from>
    <xdr:to>
      <xdr:col>0</xdr:col>
      <xdr:colOff>1061357</xdr:colOff>
      <xdr:row>31</xdr:row>
      <xdr:rowOff>49489</xdr:rowOff>
    </xdr:to>
    <xdr:pic>
      <xdr:nvPicPr>
        <xdr:cNvPr id="52" name="Imagem 51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12411415"/>
          <a:ext cx="882763" cy="56485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33</xdr:row>
      <xdr:rowOff>47624</xdr:rowOff>
    </xdr:from>
    <xdr:to>
      <xdr:col>0</xdr:col>
      <xdr:colOff>1209982</xdr:colOff>
      <xdr:row>35</xdr:row>
      <xdr:rowOff>254481</xdr:rowOff>
    </xdr:to>
    <xdr:pic>
      <xdr:nvPicPr>
        <xdr:cNvPr id="53" name="Imagem 52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3649324"/>
          <a:ext cx="1162357" cy="80829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476251</xdr:colOff>
      <xdr:row>140</xdr:row>
      <xdr:rowOff>231322</xdr:rowOff>
    </xdr:from>
    <xdr:to>
      <xdr:col>0</xdr:col>
      <xdr:colOff>869157</xdr:colOff>
      <xdr:row>142</xdr:row>
      <xdr:rowOff>163284</xdr:rowOff>
    </xdr:to>
    <xdr:pic>
      <xdr:nvPicPr>
        <xdr:cNvPr id="54" name="Imagem 5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76251" y="54819097"/>
          <a:ext cx="392906" cy="427264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119062</xdr:colOff>
      <xdr:row>146</xdr:row>
      <xdr:rowOff>238126</xdr:rowOff>
    </xdr:from>
    <xdr:to>
      <xdr:col>0</xdr:col>
      <xdr:colOff>1023937</xdr:colOff>
      <xdr:row>147</xdr:row>
      <xdr:rowOff>330909</xdr:rowOff>
    </xdr:to>
    <xdr:pic>
      <xdr:nvPicPr>
        <xdr:cNvPr id="55" name="Imagem 5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9062" y="56340376"/>
          <a:ext cx="904875" cy="51188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213</xdr:row>
      <xdr:rowOff>259897</xdr:rowOff>
    </xdr:from>
    <xdr:to>
      <xdr:col>0</xdr:col>
      <xdr:colOff>1102178</xdr:colOff>
      <xdr:row>216</xdr:row>
      <xdr:rowOff>68035</xdr:rowOff>
    </xdr:to>
    <xdr:pic>
      <xdr:nvPicPr>
        <xdr:cNvPr id="57" name="Imagem 56"/>
        <xdr:cNvPicPr/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90175897"/>
          <a:ext cx="966107" cy="6245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</xdr:row>
      <xdr:rowOff>449036</xdr:rowOff>
    </xdr:from>
    <xdr:to>
      <xdr:col>2</xdr:col>
      <xdr:colOff>37662</xdr:colOff>
      <xdr:row>3</xdr:row>
      <xdr:rowOff>13608</xdr:rowOff>
    </xdr:to>
    <xdr:pic>
      <xdr:nvPicPr>
        <xdr:cNvPr id="58" name="Imagem 57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2011"/>
          <a:ext cx="2285562" cy="114572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59" name="Imagem 5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03336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60" name="Imagem 5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7929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449036</xdr:rowOff>
    </xdr:from>
    <xdr:ext cx="2282841" cy="1143000"/>
    <xdr:pic>
      <xdr:nvPicPr>
        <xdr:cNvPr id="62" name="Imagem 61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7929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449036</xdr:rowOff>
    </xdr:from>
    <xdr:ext cx="2282841" cy="1143000"/>
    <xdr:pic>
      <xdr:nvPicPr>
        <xdr:cNvPr id="65" name="Imagem 6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7929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449036</xdr:rowOff>
    </xdr:from>
    <xdr:ext cx="2282841" cy="1143000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7929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13607</xdr:colOff>
      <xdr:row>99</xdr:row>
      <xdr:rowOff>830036</xdr:rowOff>
    </xdr:from>
    <xdr:ext cx="2282841" cy="1143000"/>
    <xdr:pic>
      <xdr:nvPicPr>
        <xdr:cNvPr id="68" name="Imagem 67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3784146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449036</xdr:rowOff>
    </xdr:from>
    <xdr:ext cx="2282841" cy="1143000"/>
    <xdr:pic>
      <xdr:nvPicPr>
        <xdr:cNvPr id="69" name="Imagem 6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98581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449036</xdr:rowOff>
    </xdr:from>
    <xdr:ext cx="2282841" cy="1143000"/>
    <xdr:pic>
      <xdr:nvPicPr>
        <xdr:cNvPr id="70" name="Imagem 6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985811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2841" cy="1143000"/>
    <xdr:pic>
      <xdr:nvPicPr>
        <xdr:cNvPr id="71" name="Imagem 70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48200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2841" cy="1143000"/>
    <xdr:pic>
      <xdr:nvPicPr>
        <xdr:cNvPr id="72" name="Imagem 71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48200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449036</xdr:rowOff>
    </xdr:from>
    <xdr:ext cx="2282841" cy="1143000"/>
    <xdr:pic>
      <xdr:nvPicPr>
        <xdr:cNvPr id="73" name="Imagem 72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9322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449036</xdr:rowOff>
    </xdr:from>
    <xdr:ext cx="2282841" cy="1143000"/>
    <xdr:pic>
      <xdr:nvPicPr>
        <xdr:cNvPr id="74" name="Imagem 7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9322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2282841" cy="1143000"/>
    <xdr:pic>
      <xdr:nvPicPr>
        <xdr:cNvPr id="75" name="Imagem 7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41746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2282841" cy="1143000"/>
    <xdr:pic>
      <xdr:nvPicPr>
        <xdr:cNvPr id="76" name="Imagem 7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417465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2282841" cy="1143000"/>
    <xdr:pic>
      <xdr:nvPicPr>
        <xdr:cNvPr id="78" name="Imagem 77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58575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449036</xdr:rowOff>
    </xdr:from>
    <xdr:ext cx="2282841" cy="1143000"/>
    <xdr:pic>
      <xdr:nvPicPr>
        <xdr:cNvPr id="79" name="Imagem 78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401679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449036</xdr:rowOff>
    </xdr:from>
    <xdr:ext cx="2282841" cy="1143000"/>
    <xdr:pic>
      <xdr:nvPicPr>
        <xdr:cNvPr id="80" name="Imagem 79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401679"/>
          <a:ext cx="2282841" cy="1143000"/>
        </a:xfrm>
        <a:prstGeom prst="rect">
          <a:avLst/>
        </a:prstGeom>
      </xdr:spPr>
    </xdr:pic>
    <xdr:clientData/>
  </xdr:oneCellAnchor>
  <xdr:twoCellAnchor editAs="oneCell">
    <xdr:from>
      <xdr:col>0</xdr:col>
      <xdr:colOff>54428</xdr:colOff>
      <xdr:row>207</xdr:row>
      <xdr:rowOff>27212</xdr:rowOff>
    </xdr:from>
    <xdr:to>
      <xdr:col>0</xdr:col>
      <xdr:colOff>1229621</xdr:colOff>
      <xdr:row>208</xdr:row>
      <xdr:rowOff>231320</xdr:rowOff>
    </xdr:to>
    <xdr:pic>
      <xdr:nvPicPr>
        <xdr:cNvPr id="81" name="Imagem 8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4428" y="83547855"/>
          <a:ext cx="1175193" cy="47625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307</xdr:row>
      <xdr:rowOff>150705</xdr:rowOff>
    </xdr:from>
    <xdr:to>
      <xdr:col>0</xdr:col>
      <xdr:colOff>1238251</xdr:colOff>
      <xdr:row>309</xdr:row>
      <xdr:rowOff>244928</xdr:rowOff>
    </xdr:to>
    <xdr:pic>
      <xdr:nvPicPr>
        <xdr:cNvPr id="82" name="Imagem 8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8858" y="117539526"/>
          <a:ext cx="1129393" cy="611295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148</xdr:row>
      <xdr:rowOff>394607</xdr:rowOff>
    </xdr:from>
    <xdr:to>
      <xdr:col>0</xdr:col>
      <xdr:colOff>1222998</xdr:colOff>
      <xdr:row>150</xdr:row>
      <xdr:rowOff>136071</xdr:rowOff>
    </xdr:to>
    <xdr:pic>
      <xdr:nvPicPr>
        <xdr:cNvPr id="83" name="Imagem 8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8857" y="59612893"/>
          <a:ext cx="1114141" cy="58510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84" name="Imagem 8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7340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85" name="Imagem 8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73400"/>
          <a:ext cx="2282841" cy="1143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449036</xdr:rowOff>
    </xdr:from>
    <xdr:ext cx="2282841" cy="1143000"/>
    <xdr:pic>
      <xdr:nvPicPr>
        <xdr:cNvPr id="86" name="Imagem 8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73400"/>
          <a:ext cx="2282841" cy="1143000"/>
        </a:xfrm>
        <a:prstGeom prst="rect">
          <a:avLst/>
        </a:prstGeom>
      </xdr:spPr>
    </xdr:pic>
    <xdr:clientData/>
  </xdr:oneCellAnchor>
  <xdr:twoCellAnchor editAs="oneCell">
    <xdr:from>
      <xdr:col>0</xdr:col>
      <xdr:colOff>40822</xdr:colOff>
      <xdr:row>302</xdr:row>
      <xdr:rowOff>68037</xdr:rowOff>
    </xdr:from>
    <xdr:to>
      <xdr:col>0</xdr:col>
      <xdr:colOff>1247836</xdr:colOff>
      <xdr:row>304</xdr:row>
      <xdr:rowOff>27215</xdr:rowOff>
    </xdr:to>
    <xdr:pic>
      <xdr:nvPicPr>
        <xdr:cNvPr id="56" name="Imagem 55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2" y="116123358"/>
          <a:ext cx="1207014" cy="517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cols>
    <col min="1" max="1" width="13.85546875" customWidth="1"/>
    <col min="2" max="2" width="15.42578125" customWidth="1"/>
  </cols>
  <sheetData>
    <row r="1" spans="1:2" ht="18.75" x14ac:dyDescent="0.25">
      <c r="A1" s="90" t="s">
        <v>449</v>
      </c>
      <c r="B1" s="91"/>
    </row>
    <row r="2" spans="1:2" ht="15.75" x14ac:dyDescent="0.25">
      <c r="A2" s="34" t="s">
        <v>247</v>
      </c>
      <c r="B2" s="35">
        <v>4.62</v>
      </c>
    </row>
    <row r="3" spans="1:2" ht="15.75" x14ac:dyDescent="0.25">
      <c r="A3" s="34" t="s">
        <v>248</v>
      </c>
      <c r="B3" s="36">
        <v>4.62</v>
      </c>
    </row>
    <row r="4" spans="1:2" ht="15.75" x14ac:dyDescent="0.25">
      <c r="A4" s="34" t="s">
        <v>249</v>
      </c>
      <c r="B4" s="35">
        <v>4.62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tabSelected="1" view="pageBreakPreview" topLeftCell="A12" zoomScale="70" zoomScaleNormal="70" zoomScaleSheetLayoutView="70" workbookViewId="0">
      <selection activeCell="C15" sqref="C15"/>
    </sheetView>
  </sheetViews>
  <sheetFormatPr defaultRowHeight="18.75" x14ac:dyDescent="0.3"/>
  <cols>
    <col min="1" max="1" width="19.140625" style="89" customWidth="1"/>
    <col min="2" max="2" width="14.5703125" style="51" bestFit="1" customWidth="1"/>
    <col min="3" max="3" width="109" style="51" customWidth="1"/>
    <col min="4" max="4" width="27.28515625" style="51" customWidth="1"/>
    <col min="5" max="5" width="20.5703125" style="51" customWidth="1"/>
    <col min="6" max="6" width="22.5703125" style="51" customWidth="1"/>
    <col min="7" max="7" width="22" style="51" bestFit="1" customWidth="1"/>
    <col min="8" max="16384" width="9.140625" style="51"/>
  </cols>
  <sheetData>
    <row r="1" spans="1:7" ht="74.25" customHeight="1" x14ac:dyDescent="0.3">
      <c r="A1" s="98" t="s">
        <v>387</v>
      </c>
      <c r="B1" s="98"/>
      <c r="C1" s="98"/>
      <c r="D1" s="98"/>
      <c r="E1" s="98"/>
      <c r="F1" s="98"/>
      <c r="G1" s="98"/>
    </row>
    <row r="2" spans="1:7" ht="39.75" customHeight="1" x14ac:dyDescent="0.3">
      <c r="A2" s="99" t="s">
        <v>511</v>
      </c>
      <c r="B2" s="99"/>
      <c r="C2" s="99"/>
      <c r="D2" s="99"/>
      <c r="E2" s="99"/>
      <c r="F2" s="99"/>
      <c r="G2" s="99"/>
    </row>
    <row r="3" spans="1:7" s="52" customFormat="1" ht="84.75" customHeight="1" x14ac:dyDescent="0.4">
      <c r="A3" s="100"/>
      <c r="B3" s="101"/>
      <c r="C3" s="102" t="s">
        <v>456</v>
      </c>
      <c r="D3" s="103"/>
      <c r="E3" s="103"/>
      <c r="F3" s="103"/>
      <c r="G3" s="104"/>
    </row>
    <row r="4" spans="1:7" s="53" customFormat="1" ht="18" x14ac:dyDescent="0.25">
      <c r="A4" s="105" t="s">
        <v>245</v>
      </c>
      <c r="B4" s="105"/>
      <c r="C4" s="105"/>
      <c r="D4" s="105"/>
      <c r="E4" s="105"/>
      <c r="F4" s="105"/>
      <c r="G4" s="105"/>
    </row>
    <row r="5" spans="1:7" s="53" customFormat="1" ht="18" x14ac:dyDescent="0.25">
      <c r="A5" s="105" t="s">
        <v>246</v>
      </c>
      <c r="B5" s="105"/>
      <c r="C5" s="105"/>
      <c r="D5" s="105"/>
      <c r="E5" s="105"/>
      <c r="F5" s="105"/>
      <c r="G5" s="105"/>
    </row>
    <row r="6" spans="1:7" s="53" customFormat="1" ht="18" x14ac:dyDescent="0.25">
      <c r="A6" s="92"/>
      <c r="B6" s="92"/>
      <c r="C6" s="92"/>
      <c r="D6" s="92"/>
      <c r="E6" s="54" t="s">
        <v>247</v>
      </c>
      <c r="F6" s="54" t="s">
        <v>248</v>
      </c>
      <c r="G6" s="54" t="s">
        <v>249</v>
      </c>
    </row>
    <row r="7" spans="1:7" s="53" customFormat="1" ht="64.5" customHeight="1" x14ac:dyDescent="0.25">
      <c r="A7" s="93" t="s">
        <v>250</v>
      </c>
      <c r="B7" s="94" t="s">
        <v>251</v>
      </c>
      <c r="C7" s="95" t="s">
        <v>252</v>
      </c>
      <c r="D7" s="96" t="s">
        <v>253</v>
      </c>
      <c r="E7" s="97" t="s">
        <v>254</v>
      </c>
      <c r="F7" s="55" t="s">
        <v>255</v>
      </c>
      <c r="G7" s="107" t="s">
        <v>256</v>
      </c>
    </row>
    <row r="8" spans="1:7" s="53" customFormat="1" ht="15" x14ac:dyDescent="0.25">
      <c r="A8" s="93"/>
      <c r="B8" s="94"/>
      <c r="C8" s="95"/>
      <c r="D8" s="96"/>
      <c r="E8" s="97"/>
      <c r="F8" s="108" t="s">
        <v>257</v>
      </c>
      <c r="G8" s="107"/>
    </row>
    <row r="9" spans="1:7" s="53" customFormat="1" ht="81" customHeight="1" x14ac:dyDescent="0.25">
      <c r="A9" s="93"/>
      <c r="B9" s="94"/>
      <c r="C9" s="95"/>
      <c r="D9" s="96"/>
      <c r="E9" s="97"/>
      <c r="F9" s="108"/>
      <c r="G9" s="56" t="s">
        <v>258</v>
      </c>
    </row>
    <row r="10" spans="1:7" s="53" customFormat="1" ht="15" x14ac:dyDescent="0.25">
      <c r="A10" s="93"/>
      <c r="B10" s="94"/>
      <c r="C10" s="95"/>
      <c r="D10" s="96"/>
      <c r="E10" s="97"/>
      <c r="F10" s="108"/>
      <c r="G10" s="56" t="s">
        <v>259</v>
      </c>
    </row>
    <row r="11" spans="1:7" s="53" customFormat="1" ht="15" x14ac:dyDescent="0.25">
      <c r="A11" s="93"/>
      <c r="B11" s="94"/>
      <c r="C11" s="95"/>
      <c r="D11" s="96"/>
      <c r="E11" s="97"/>
      <c r="F11" s="108"/>
      <c r="G11" s="109" t="s">
        <v>260</v>
      </c>
    </row>
    <row r="12" spans="1:7" s="53" customFormat="1" ht="108" customHeight="1" x14ac:dyDescent="0.25">
      <c r="A12" s="93"/>
      <c r="B12" s="94"/>
      <c r="C12" s="95"/>
      <c r="D12" s="96"/>
      <c r="E12" s="97"/>
      <c r="F12" s="108"/>
      <c r="G12" s="109"/>
    </row>
    <row r="13" spans="1:7" ht="24" customHeight="1" x14ac:dyDescent="0.3">
      <c r="A13" s="110" t="s">
        <v>284</v>
      </c>
      <c r="B13" s="57" t="s">
        <v>172</v>
      </c>
      <c r="C13" s="58" t="s">
        <v>502</v>
      </c>
      <c r="D13" s="59" t="s">
        <v>431</v>
      </c>
      <c r="E13" s="60">
        <f>Fábrica!E13*'Mark Up '!$B$2</f>
        <v>9304.68</v>
      </c>
      <c r="F13" s="60">
        <f>Fábrica!F13*'Mark Up '!$B$3</f>
        <v>9623.4600000000009</v>
      </c>
      <c r="G13" s="60">
        <f>Fábrica!G13*'Mark Up '!$B$4</f>
        <v>11129.58</v>
      </c>
    </row>
    <row r="14" spans="1:7" ht="24" customHeight="1" x14ac:dyDescent="0.3">
      <c r="A14" s="110"/>
      <c r="B14" s="57" t="s">
        <v>173</v>
      </c>
      <c r="C14" s="58" t="s">
        <v>502</v>
      </c>
      <c r="D14" s="59" t="s">
        <v>400</v>
      </c>
      <c r="E14" s="60">
        <f>Fábrica!E14*'Mark Up '!$B$2</f>
        <v>9554.16</v>
      </c>
      <c r="F14" s="60">
        <f>Fábrica!F14*'Mark Up '!$B$3</f>
        <v>9993.06</v>
      </c>
      <c r="G14" s="60">
        <f>Fábrica!G14*'Mark Up '!$B$4</f>
        <v>11697.84</v>
      </c>
    </row>
    <row r="15" spans="1:7" ht="24" customHeight="1" x14ac:dyDescent="0.3">
      <c r="A15" s="110"/>
      <c r="B15" s="57" t="s">
        <v>174</v>
      </c>
      <c r="C15" s="58" t="s">
        <v>502</v>
      </c>
      <c r="D15" s="59" t="s">
        <v>401</v>
      </c>
      <c r="E15" s="60">
        <f>Fábrica!E15*'Mark Up '!$B$2</f>
        <v>10339.56</v>
      </c>
      <c r="F15" s="60">
        <f>Fábrica!F15*'Mark Up '!$B$3</f>
        <v>10690.68</v>
      </c>
      <c r="G15" s="60">
        <f>Fábrica!G15*'Mark Up '!$B$4</f>
        <v>12575.64</v>
      </c>
    </row>
    <row r="16" spans="1:7" ht="24" customHeight="1" x14ac:dyDescent="0.3">
      <c r="A16" s="110"/>
      <c r="B16" s="57" t="s">
        <v>175</v>
      </c>
      <c r="C16" s="58" t="s">
        <v>502</v>
      </c>
      <c r="D16" s="57" t="s">
        <v>402</v>
      </c>
      <c r="E16" s="60">
        <f>Fábrica!E16*'Mark Up '!$B$2</f>
        <v>10963.26</v>
      </c>
      <c r="F16" s="60">
        <f>Fábrica!F16*'Mark Up '!$B$3</f>
        <v>11480.7</v>
      </c>
      <c r="G16" s="60">
        <f>Fábrica!G16*'Mark Up '!$B$4</f>
        <v>13559.7</v>
      </c>
    </row>
    <row r="17" spans="1:7" ht="24" customHeight="1" x14ac:dyDescent="0.3">
      <c r="A17" s="106" t="s">
        <v>285</v>
      </c>
      <c r="B17" s="61" t="s">
        <v>151</v>
      </c>
      <c r="C17" s="62" t="s">
        <v>371</v>
      </c>
      <c r="D17" s="59" t="s">
        <v>152</v>
      </c>
      <c r="E17" s="60">
        <f>Fábrica!E17*'Mark Up '!$B$2</f>
        <v>7826.28</v>
      </c>
      <c r="F17" s="60">
        <f>Fábrica!F17*'Mark Up '!$B$3</f>
        <v>7974.12</v>
      </c>
      <c r="G17" s="60">
        <f>Fábrica!G17*'Mark Up '!$B$4</f>
        <v>8510.0400000000009</v>
      </c>
    </row>
    <row r="18" spans="1:7" ht="24" customHeight="1" x14ac:dyDescent="0.3">
      <c r="A18" s="106"/>
      <c r="B18" s="61" t="s">
        <v>153</v>
      </c>
      <c r="C18" s="62" t="s">
        <v>371</v>
      </c>
      <c r="D18" s="59" t="s">
        <v>154</v>
      </c>
      <c r="E18" s="60">
        <f>Fábrica!E18*'Mark Up '!$B$2</f>
        <v>8168.16</v>
      </c>
      <c r="F18" s="60">
        <f>Fábrica!F18*'Mark Up '!$B$3</f>
        <v>8436.1200000000008</v>
      </c>
      <c r="G18" s="60">
        <f>Fábrica!G18*'Mark Up '!$B$4</f>
        <v>8990.52</v>
      </c>
    </row>
    <row r="19" spans="1:7" ht="24" customHeight="1" x14ac:dyDescent="0.3">
      <c r="A19" s="106"/>
      <c r="B19" s="61" t="s">
        <v>155</v>
      </c>
      <c r="C19" s="62" t="s">
        <v>371</v>
      </c>
      <c r="D19" s="59" t="s">
        <v>156</v>
      </c>
      <c r="E19" s="60">
        <f>Fábrica!E19*'Mark Up '!$B$2</f>
        <v>8630.16</v>
      </c>
      <c r="F19" s="60">
        <f>Fábrica!F19*'Mark Up '!$B$3</f>
        <v>8879.64</v>
      </c>
      <c r="G19" s="60">
        <f>Fábrica!G19*'Mark Up '!$B$4</f>
        <v>9577.26</v>
      </c>
    </row>
    <row r="20" spans="1:7" ht="24" customHeight="1" x14ac:dyDescent="0.3">
      <c r="A20" s="106"/>
      <c r="B20" s="61" t="s">
        <v>157</v>
      </c>
      <c r="C20" s="62" t="s">
        <v>371</v>
      </c>
      <c r="D20" s="57" t="s">
        <v>158</v>
      </c>
      <c r="E20" s="60">
        <f>Fábrica!E20*'Mark Up '!$B$2</f>
        <v>8972.0400000000009</v>
      </c>
      <c r="F20" s="60">
        <f>Fábrica!F20*'Mark Up '!$B$3</f>
        <v>9526.44</v>
      </c>
      <c r="G20" s="60">
        <f>Fábrica!G20*'Mark Up '!$B$4</f>
        <v>10713.78</v>
      </c>
    </row>
    <row r="21" spans="1:7" ht="24" customHeight="1" x14ac:dyDescent="0.3">
      <c r="A21" s="106" t="s">
        <v>276</v>
      </c>
      <c r="B21" s="61" t="s">
        <v>159</v>
      </c>
      <c r="C21" s="63" t="s">
        <v>370</v>
      </c>
      <c r="D21" s="64" t="s">
        <v>160</v>
      </c>
      <c r="E21" s="60">
        <f>Fábrica!E21*'Mark Up '!$B$2</f>
        <v>6842.22</v>
      </c>
      <c r="F21" s="60">
        <f>Fábrica!F21*'Mark Up '!$B$3</f>
        <v>7304.22</v>
      </c>
      <c r="G21" s="60">
        <f>Fábrica!G21*'Mark Up '!$B$4</f>
        <v>8468.4600000000009</v>
      </c>
    </row>
    <row r="22" spans="1:7" ht="24" customHeight="1" x14ac:dyDescent="0.3">
      <c r="A22" s="106"/>
      <c r="B22" s="61" t="s">
        <v>161</v>
      </c>
      <c r="C22" s="63" t="s">
        <v>370</v>
      </c>
      <c r="D22" s="64" t="s">
        <v>162</v>
      </c>
      <c r="E22" s="60">
        <f>Fábrica!E22*'Mark Up '!$B$2</f>
        <v>7355.04</v>
      </c>
      <c r="F22" s="60">
        <f>Fábrica!F22*'Mark Up '!$B$3</f>
        <v>7890.96</v>
      </c>
      <c r="G22" s="60">
        <f>Fábrica!G22*'Mark Up '!$B$4</f>
        <v>9041.34</v>
      </c>
    </row>
    <row r="23" spans="1:7" ht="24" customHeight="1" x14ac:dyDescent="0.3">
      <c r="A23" s="106"/>
      <c r="B23" s="61" t="s">
        <v>163</v>
      </c>
      <c r="C23" s="63" t="s">
        <v>370</v>
      </c>
      <c r="D23" s="64" t="s">
        <v>164</v>
      </c>
      <c r="E23" s="60">
        <f>Fábrica!E23*'Mark Up '!$B$2</f>
        <v>7669.2</v>
      </c>
      <c r="F23" s="60">
        <f>Fábrica!F23*'Mark Up '!$B$3</f>
        <v>8283.66</v>
      </c>
      <c r="G23" s="60">
        <f>Fábrica!G23*'Mark Up '!$B$4</f>
        <v>9577.26</v>
      </c>
    </row>
    <row r="24" spans="1:7" ht="24" customHeight="1" x14ac:dyDescent="0.3">
      <c r="A24" s="106"/>
      <c r="B24" s="61" t="s">
        <v>165</v>
      </c>
      <c r="C24" s="63" t="s">
        <v>370</v>
      </c>
      <c r="D24" s="64" t="s">
        <v>166</v>
      </c>
      <c r="E24" s="60">
        <f>Fábrica!E24*'Mark Up '!$B$2</f>
        <v>8339.1</v>
      </c>
      <c r="F24" s="60">
        <f>Fábrica!F24*'Mark Up '!$B$3</f>
        <v>9022.86</v>
      </c>
      <c r="G24" s="60">
        <f>Fábrica!G24*'Mark Up '!$B$4</f>
        <v>10422.719999999999</v>
      </c>
    </row>
    <row r="25" spans="1:7" ht="24" customHeight="1" x14ac:dyDescent="0.3">
      <c r="A25" s="106" t="s">
        <v>279</v>
      </c>
      <c r="B25" s="64" t="s">
        <v>167</v>
      </c>
      <c r="C25" s="62" t="s">
        <v>399</v>
      </c>
      <c r="D25" s="65" t="s">
        <v>336</v>
      </c>
      <c r="E25" s="60">
        <f>Fábrica!E25*'Mark Up '!$B$2</f>
        <v>7720.02</v>
      </c>
      <c r="F25" s="60">
        <f>Fábrica!F25*'Mark Up '!$B$3</f>
        <v>8154.3</v>
      </c>
      <c r="G25" s="60">
        <f>Fábrica!G25*'Mark Up '!$B$4</f>
        <v>9087.5400000000009</v>
      </c>
    </row>
    <row r="26" spans="1:7" ht="24" customHeight="1" x14ac:dyDescent="0.3">
      <c r="A26" s="106"/>
      <c r="B26" s="64" t="s">
        <v>169</v>
      </c>
      <c r="C26" s="62" t="s">
        <v>399</v>
      </c>
      <c r="D26" s="65" t="s">
        <v>337</v>
      </c>
      <c r="E26" s="60">
        <f>Fábrica!E26*'Mark Up '!$B$2</f>
        <v>8255.94</v>
      </c>
      <c r="F26" s="60">
        <f>Fábrica!F26*'Mark Up '!$B$3</f>
        <v>9290.82</v>
      </c>
      <c r="G26" s="60">
        <f>Fábrica!G26*'Mark Up '!$B$4</f>
        <v>9872.94</v>
      </c>
    </row>
    <row r="27" spans="1:7" ht="24" customHeight="1" x14ac:dyDescent="0.3">
      <c r="A27" s="106"/>
      <c r="B27" s="64" t="s">
        <v>170</v>
      </c>
      <c r="C27" s="62" t="s">
        <v>399</v>
      </c>
      <c r="D27" s="65" t="s">
        <v>338</v>
      </c>
      <c r="E27" s="60">
        <f>Fábrica!E27*'Mark Up '!$B$2</f>
        <v>8676.36</v>
      </c>
      <c r="F27" s="60">
        <f>Fábrica!F27*'Mark Up '!$B$3</f>
        <v>9817.5</v>
      </c>
      <c r="G27" s="60">
        <f>Fábrica!G27*'Mark Up '!$B$4</f>
        <v>10334.94</v>
      </c>
    </row>
    <row r="28" spans="1:7" ht="24" customHeight="1" x14ac:dyDescent="0.3">
      <c r="A28" s="106"/>
      <c r="B28" s="64" t="s">
        <v>171</v>
      </c>
      <c r="C28" s="62" t="s">
        <v>399</v>
      </c>
      <c r="D28" s="64" t="s">
        <v>339</v>
      </c>
      <c r="E28" s="60">
        <f>Fábrica!E28*'Mark Up '!$B$2</f>
        <v>8985.9</v>
      </c>
      <c r="F28" s="60">
        <f>Fábrica!F28*'Mark Up '!$B$3</f>
        <v>10205.58</v>
      </c>
      <c r="G28" s="60">
        <f>Fábrica!G28*'Mark Up '!$B$4</f>
        <v>10750.74</v>
      </c>
    </row>
    <row r="29" spans="1:7" ht="24" customHeight="1" x14ac:dyDescent="0.3">
      <c r="A29" s="106" t="s">
        <v>315</v>
      </c>
      <c r="B29" s="66" t="s">
        <v>311</v>
      </c>
      <c r="C29" s="67" t="s">
        <v>513</v>
      </c>
      <c r="D29" s="59" t="s">
        <v>403</v>
      </c>
      <c r="E29" s="60">
        <f>Fábrica!E29*'Mark Up '!$B$2</f>
        <v>11988.9</v>
      </c>
      <c r="F29" s="60">
        <f>Fábrica!F29*'Mark Up '!$B$3</f>
        <v>13069.98</v>
      </c>
      <c r="G29" s="60">
        <f>Fábrica!G29*'Mark Up '!$B$4</f>
        <v>15370.74</v>
      </c>
    </row>
    <row r="30" spans="1:7" ht="24" customHeight="1" x14ac:dyDescent="0.3">
      <c r="A30" s="106"/>
      <c r="B30" s="66" t="s">
        <v>312</v>
      </c>
      <c r="C30" s="67" t="s">
        <v>513</v>
      </c>
      <c r="D30" s="59" t="s">
        <v>404</v>
      </c>
      <c r="E30" s="60">
        <f>Fábrica!E30*'Mark Up '!$B$2</f>
        <v>13314.84</v>
      </c>
      <c r="F30" s="60">
        <f>Fábrica!F30*'Mark Up '!$B$3</f>
        <v>14469.84</v>
      </c>
      <c r="G30" s="60">
        <f>Fábrica!G30*'Mark Up '!$B$4</f>
        <v>17107.86</v>
      </c>
    </row>
    <row r="31" spans="1:7" ht="24" customHeight="1" x14ac:dyDescent="0.3">
      <c r="A31" s="106"/>
      <c r="B31" s="66" t="s">
        <v>313</v>
      </c>
      <c r="C31" s="67" t="s">
        <v>513</v>
      </c>
      <c r="D31" s="59" t="s">
        <v>405</v>
      </c>
      <c r="E31" s="60">
        <f>Fábrica!E31*'Mark Up '!$B$2</f>
        <v>14936.460000000001</v>
      </c>
      <c r="F31" s="60">
        <f>Fábrica!F31*'Mark Up '!$B$3</f>
        <v>16096.08</v>
      </c>
      <c r="G31" s="60">
        <f>Fábrica!G31*'Mark Up '!$B$4</f>
        <v>18641.7</v>
      </c>
    </row>
    <row r="32" spans="1:7" ht="24" customHeight="1" x14ac:dyDescent="0.3">
      <c r="A32" s="106"/>
      <c r="B32" s="66" t="s">
        <v>314</v>
      </c>
      <c r="C32" s="67" t="s">
        <v>513</v>
      </c>
      <c r="D32" s="57" t="s">
        <v>406</v>
      </c>
      <c r="E32" s="60">
        <f>Fábrica!E32*'Mark Up '!$B$2</f>
        <v>15550.92</v>
      </c>
      <c r="F32" s="60">
        <f>Fábrica!F32*'Mark Up '!$B$3</f>
        <v>16987.740000000002</v>
      </c>
      <c r="G32" s="60">
        <f>Fábrica!G32*'Mark Up '!$B$4</f>
        <v>20115.48</v>
      </c>
    </row>
    <row r="33" spans="1:7" ht="24" customHeight="1" x14ac:dyDescent="0.3">
      <c r="A33" s="106" t="s">
        <v>286</v>
      </c>
      <c r="B33" s="64" t="s">
        <v>120</v>
      </c>
      <c r="C33" s="58" t="s">
        <v>503</v>
      </c>
      <c r="D33" s="59" t="s">
        <v>407</v>
      </c>
      <c r="E33" s="60">
        <f>Fábrica!E33*'Mark Up '!$B$2</f>
        <v>11129.58</v>
      </c>
      <c r="F33" s="60">
        <f>Fábrica!F33*'Mark Up '!$B$3</f>
        <v>12681.9</v>
      </c>
      <c r="G33" s="60">
        <f>Fábrica!G33*'Mark Up '!$B$4</f>
        <v>14271.18</v>
      </c>
    </row>
    <row r="34" spans="1:7" ht="24" customHeight="1" x14ac:dyDescent="0.3">
      <c r="A34" s="106"/>
      <c r="B34" s="64" t="s">
        <v>121</v>
      </c>
      <c r="C34" s="58" t="s">
        <v>503</v>
      </c>
      <c r="D34" s="59" t="s">
        <v>408</v>
      </c>
      <c r="E34" s="60">
        <f>Fábrica!E34*'Mark Up '!$B$2</f>
        <v>11563.86</v>
      </c>
      <c r="F34" s="60">
        <f>Fábrica!F34*'Mark Up '!$B$3</f>
        <v>13079.220000000001</v>
      </c>
      <c r="G34" s="60">
        <f>Fábrica!G34*'Mark Up '!$B$4</f>
        <v>14853.300000000001</v>
      </c>
    </row>
    <row r="35" spans="1:7" ht="24" customHeight="1" x14ac:dyDescent="0.3">
      <c r="A35" s="106"/>
      <c r="B35" s="64" t="s">
        <v>122</v>
      </c>
      <c r="C35" s="58" t="s">
        <v>503</v>
      </c>
      <c r="D35" s="59" t="s">
        <v>409</v>
      </c>
      <c r="E35" s="60">
        <f>Fábrica!E35*'Mark Up '!$B$2</f>
        <v>12187.56</v>
      </c>
      <c r="F35" s="60">
        <f>Fábrica!F35*'Mark Up '!$B$3</f>
        <v>13892.34</v>
      </c>
      <c r="G35" s="60">
        <f>Fábrica!G35*'Mark Up '!$B$4</f>
        <v>15883.56</v>
      </c>
    </row>
    <row r="36" spans="1:7" ht="24" customHeight="1" x14ac:dyDescent="0.3">
      <c r="A36" s="106"/>
      <c r="B36" s="57" t="s">
        <v>123</v>
      </c>
      <c r="C36" s="58" t="s">
        <v>503</v>
      </c>
      <c r="D36" s="57" t="s">
        <v>410</v>
      </c>
      <c r="E36" s="60">
        <f>Fábrica!E36*'Mark Up '!$B$2</f>
        <v>12986.82</v>
      </c>
      <c r="F36" s="60">
        <f>Fábrica!F36*'Mark Up '!$B$3</f>
        <v>14576.1</v>
      </c>
      <c r="G36" s="60">
        <f>Fábrica!G36*'Mark Up '!$B$4</f>
        <v>16932.3</v>
      </c>
    </row>
    <row r="37" spans="1:7" ht="24" customHeight="1" x14ac:dyDescent="0.3">
      <c r="A37" s="106" t="s">
        <v>280</v>
      </c>
      <c r="B37" s="64" t="s">
        <v>195</v>
      </c>
      <c r="C37" s="62" t="s">
        <v>368</v>
      </c>
      <c r="D37" s="59" t="s">
        <v>168</v>
      </c>
      <c r="E37" s="60">
        <f>Fábrica!E37*'Mark Up '!$B$2</f>
        <v>10967.880000000001</v>
      </c>
      <c r="F37" s="60">
        <f>Fábrica!F37*'Mark Up '!$B$3</f>
        <v>12058.2</v>
      </c>
      <c r="G37" s="60">
        <f>Fábrica!G37*'Mark Up '!$B$4</f>
        <v>13296.36</v>
      </c>
    </row>
    <row r="38" spans="1:7" ht="24" customHeight="1" x14ac:dyDescent="0.3">
      <c r="A38" s="106"/>
      <c r="B38" s="64" t="s">
        <v>196</v>
      </c>
      <c r="C38" s="62" t="s">
        <v>368</v>
      </c>
      <c r="D38" s="65" t="s">
        <v>154</v>
      </c>
      <c r="E38" s="60">
        <f>Fábrica!E38*'Mark Up '!$B$2</f>
        <v>11757.9</v>
      </c>
      <c r="F38" s="60">
        <f>Fábrica!F38*'Mark Up '!$B$3</f>
        <v>12996.06</v>
      </c>
      <c r="G38" s="60">
        <f>Fábrica!G38*'Mark Up '!$B$4</f>
        <v>14363.58</v>
      </c>
    </row>
    <row r="39" spans="1:7" ht="24" customHeight="1" x14ac:dyDescent="0.3">
      <c r="A39" s="106"/>
      <c r="B39" s="64" t="s">
        <v>197</v>
      </c>
      <c r="C39" s="62" t="s">
        <v>368</v>
      </c>
      <c r="D39" s="65" t="s">
        <v>156</v>
      </c>
      <c r="E39" s="60">
        <f>Fábrica!E39*'Mark Up '!$B$2</f>
        <v>12534.06</v>
      </c>
      <c r="F39" s="60">
        <f>Fábrica!F39*'Mark Up '!$B$3</f>
        <v>13998.6</v>
      </c>
      <c r="G39" s="60">
        <f>Fábrica!G39*'Mark Up '!$B$4</f>
        <v>15513.960000000001</v>
      </c>
    </row>
    <row r="40" spans="1:7" ht="24" customHeight="1" x14ac:dyDescent="0.3">
      <c r="A40" s="106"/>
      <c r="B40" s="64" t="s">
        <v>198</v>
      </c>
      <c r="C40" s="62" t="s">
        <v>368</v>
      </c>
      <c r="D40" s="64" t="s">
        <v>158</v>
      </c>
      <c r="E40" s="60">
        <f>Fábrica!E40*'Mark Up '!$B$2</f>
        <v>13273.26</v>
      </c>
      <c r="F40" s="60">
        <f>Fábrica!F40*'Mark Up '!$B$3</f>
        <v>14913.36</v>
      </c>
      <c r="G40" s="60">
        <f>Fábrica!G40*'Mark Up '!$B$4</f>
        <v>16525.740000000002</v>
      </c>
    </row>
    <row r="41" spans="1:7" s="52" customFormat="1" ht="84.75" customHeight="1" x14ac:dyDescent="0.4">
      <c r="A41" s="100"/>
      <c r="B41" s="101"/>
      <c r="C41" s="102" t="s">
        <v>457</v>
      </c>
      <c r="D41" s="103"/>
      <c r="E41" s="103"/>
      <c r="F41" s="103"/>
      <c r="G41" s="104"/>
    </row>
    <row r="42" spans="1:7" x14ac:dyDescent="0.3">
      <c r="A42" s="105" t="s">
        <v>245</v>
      </c>
      <c r="B42" s="105"/>
      <c r="C42" s="105"/>
      <c r="D42" s="105"/>
      <c r="E42" s="105"/>
      <c r="F42" s="105"/>
      <c r="G42" s="105"/>
    </row>
    <row r="43" spans="1:7" x14ac:dyDescent="0.3">
      <c r="A43" s="105" t="s">
        <v>246</v>
      </c>
      <c r="B43" s="105"/>
      <c r="C43" s="105"/>
      <c r="D43" s="105"/>
      <c r="E43" s="105"/>
      <c r="F43" s="105"/>
      <c r="G43" s="105"/>
    </row>
    <row r="44" spans="1:7" x14ac:dyDescent="0.3">
      <c r="A44" s="92"/>
      <c r="B44" s="92"/>
      <c r="C44" s="92"/>
      <c r="D44" s="92"/>
      <c r="E44" s="54" t="s">
        <v>247</v>
      </c>
      <c r="F44" s="54" t="s">
        <v>248</v>
      </c>
      <c r="G44" s="54" t="s">
        <v>249</v>
      </c>
    </row>
    <row r="45" spans="1:7" ht="63.75" customHeight="1" x14ac:dyDescent="0.3">
      <c r="A45" s="93" t="s">
        <v>250</v>
      </c>
      <c r="B45" s="94" t="s">
        <v>251</v>
      </c>
      <c r="C45" s="95" t="s">
        <v>252</v>
      </c>
      <c r="D45" s="96" t="s">
        <v>253</v>
      </c>
      <c r="E45" s="97" t="s">
        <v>254</v>
      </c>
      <c r="F45" s="55" t="s">
        <v>255</v>
      </c>
      <c r="G45" s="107" t="s">
        <v>256</v>
      </c>
    </row>
    <row r="46" spans="1:7" ht="7.5" customHeight="1" x14ac:dyDescent="0.3">
      <c r="A46" s="93"/>
      <c r="B46" s="94"/>
      <c r="C46" s="95"/>
      <c r="D46" s="96"/>
      <c r="E46" s="97"/>
      <c r="F46" s="108" t="s">
        <v>261</v>
      </c>
      <c r="G46" s="107"/>
    </row>
    <row r="47" spans="1:7" ht="70.5" customHeight="1" x14ac:dyDescent="0.3">
      <c r="A47" s="93"/>
      <c r="B47" s="94"/>
      <c r="C47" s="95"/>
      <c r="D47" s="96"/>
      <c r="E47" s="97"/>
      <c r="F47" s="108"/>
      <c r="G47" s="56" t="s">
        <v>258</v>
      </c>
    </row>
    <row r="48" spans="1:7" x14ac:dyDescent="0.3">
      <c r="A48" s="93"/>
      <c r="B48" s="94"/>
      <c r="C48" s="95"/>
      <c r="D48" s="96"/>
      <c r="E48" s="97"/>
      <c r="F48" s="108"/>
      <c r="G48" s="56" t="s">
        <v>259</v>
      </c>
    </row>
    <row r="49" spans="1:7" x14ac:dyDescent="0.3">
      <c r="A49" s="93"/>
      <c r="B49" s="94"/>
      <c r="C49" s="95"/>
      <c r="D49" s="96"/>
      <c r="E49" s="97"/>
      <c r="F49" s="108"/>
      <c r="G49" s="109" t="s">
        <v>260</v>
      </c>
    </row>
    <row r="50" spans="1:7" ht="110.25" customHeight="1" x14ac:dyDescent="0.3">
      <c r="A50" s="93"/>
      <c r="B50" s="94"/>
      <c r="C50" s="95"/>
      <c r="D50" s="96"/>
      <c r="E50" s="97"/>
      <c r="F50" s="108"/>
      <c r="G50" s="109"/>
    </row>
    <row r="51" spans="1:7" ht="21.95" customHeight="1" x14ac:dyDescent="0.3">
      <c r="A51" s="110" t="s">
        <v>284</v>
      </c>
      <c r="B51" s="68" t="s">
        <v>86</v>
      </c>
      <c r="C51" s="62" t="s">
        <v>492</v>
      </c>
      <c r="D51" s="69" t="s">
        <v>411</v>
      </c>
      <c r="E51" s="60">
        <f>Fábrica!E51*'Mark Up '!$B$2</f>
        <v>16978.5</v>
      </c>
      <c r="F51" s="60">
        <f>Fábrica!F51*'Mark Up '!$B$3</f>
        <v>21709.38</v>
      </c>
      <c r="G51" s="60">
        <f>Fábrica!G51*'Mark Up '!$B$4</f>
        <v>25918.2</v>
      </c>
    </row>
    <row r="52" spans="1:7" ht="21.95" customHeight="1" x14ac:dyDescent="0.3">
      <c r="A52" s="110"/>
      <c r="B52" s="68" t="s">
        <v>87</v>
      </c>
      <c r="C52" s="62" t="s">
        <v>492</v>
      </c>
      <c r="D52" s="69" t="s">
        <v>412</v>
      </c>
      <c r="E52" s="60">
        <f>Fábrica!E52*'Mark Up '!$B$2</f>
        <v>17920.98</v>
      </c>
      <c r="F52" s="60">
        <f>Fábrica!F52*'Mark Up '!$B$3</f>
        <v>22975.260000000002</v>
      </c>
      <c r="G52" s="60">
        <f>Fábrica!G52*'Mark Up '!$B$4</f>
        <v>26883.78</v>
      </c>
    </row>
    <row r="53" spans="1:7" ht="21.95" customHeight="1" x14ac:dyDescent="0.3">
      <c r="A53" s="110"/>
      <c r="B53" s="68" t="s">
        <v>88</v>
      </c>
      <c r="C53" s="62" t="s">
        <v>374</v>
      </c>
      <c r="D53" s="69" t="s">
        <v>413</v>
      </c>
      <c r="E53" s="60">
        <f>Fábrica!E53*'Mark Up '!$B$2</f>
        <v>19228.439999999999</v>
      </c>
      <c r="F53" s="60">
        <f>Fábrica!F53*'Mark Up '!$B$3</f>
        <v>24587.64</v>
      </c>
      <c r="G53" s="60">
        <f>Fábrica!G53*'Mark Up '!$B$4</f>
        <v>29022.84</v>
      </c>
    </row>
    <row r="54" spans="1:7" ht="21.95" customHeight="1" x14ac:dyDescent="0.3">
      <c r="A54" s="110"/>
      <c r="B54" s="68" t="s">
        <v>89</v>
      </c>
      <c r="C54" s="62" t="s">
        <v>374</v>
      </c>
      <c r="D54" s="69" t="s">
        <v>414</v>
      </c>
      <c r="E54" s="60">
        <f>Fábrica!E54*'Mark Up '!$B$2</f>
        <v>20517.420000000002</v>
      </c>
      <c r="F54" s="60">
        <f>Fábrica!F54*'Mark Up '!$B$3</f>
        <v>25442.34</v>
      </c>
      <c r="G54" s="60">
        <f>Fábrica!G54*'Mark Up '!$B$4</f>
        <v>29794.38</v>
      </c>
    </row>
    <row r="55" spans="1:7" ht="21.95" customHeight="1" x14ac:dyDescent="0.3">
      <c r="A55" s="106" t="s">
        <v>287</v>
      </c>
      <c r="B55" s="70" t="s">
        <v>82</v>
      </c>
      <c r="C55" s="62" t="s">
        <v>493</v>
      </c>
      <c r="D55" s="69" t="s">
        <v>332</v>
      </c>
      <c r="E55" s="60">
        <f>Fábrica!E55*'Mark Up '!$B$2</f>
        <v>19473.3</v>
      </c>
      <c r="F55" s="60">
        <f>Fábrica!F55*'Mark Up '!$B$3</f>
        <v>23746.799999999999</v>
      </c>
      <c r="G55" s="60">
        <f>Fábrica!G55*'Mark Up '!$B$4</f>
        <v>27525.96</v>
      </c>
    </row>
    <row r="56" spans="1:7" ht="21.95" customHeight="1" x14ac:dyDescent="0.3">
      <c r="A56" s="106"/>
      <c r="B56" s="70" t="s">
        <v>83</v>
      </c>
      <c r="C56" s="62" t="s">
        <v>493</v>
      </c>
      <c r="D56" s="71" t="s">
        <v>333</v>
      </c>
      <c r="E56" s="60">
        <f>Fábrica!E56*'Mark Up '!$B$2</f>
        <v>21270.48</v>
      </c>
      <c r="F56" s="60">
        <f>Fábrica!F56*'Mark Up '!$B$3</f>
        <v>25442.34</v>
      </c>
      <c r="G56" s="60">
        <f>Fábrica!G56*'Mark Up '!$B$4</f>
        <v>29831.34</v>
      </c>
    </row>
    <row r="57" spans="1:7" ht="21.95" customHeight="1" x14ac:dyDescent="0.3">
      <c r="A57" s="106"/>
      <c r="B57" s="70" t="s">
        <v>84</v>
      </c>
      <c r="C57" s="62" t="s">
        <v>388</v>
      </c>
      <c r="D57" s="69" t="s">
        <v>334</v>
      </c>
      <c r="E57" s="60">
        <f>Fábrica!E57*'Mark Up '!$B$2</f>
        <v>22975.260000000002</v>
      </c>
      <c r="F57" s="60">
        <f>Fábrica!F57*'Mark Up '!$B$3</f>
        <v>27368.880000000001</v>
      </c>
      <c r="G57" s="60">
        <f>Fábrica!G57*'Mark Up '!$B$4</f>
        <v>31614.66</v>
      </c>
    </row>
    <row r="58" spans="1:7" ht="21.95" customHeight="1" x14ac:dyDescent="0.3">
      <c r="A58" s="106"/>
      <c r="B58" s="70" t="s">
        <v>85</v>
      </c>
      <c r="C58" s="62" t="s">
        <v>388</v>
      </c>
      <c r="D58" s="69" t="s">
        <v>335</v>
      </c>
      <c r="E58" s="60">
        <f>Fábrica!E58*'Mark Up '!$B$2</f>
        <v>23871.54</v>
      </c>
      <c r="F58" s="60">
        <f>Fábrica!F58*'Mark Up '!$B$3</f>
        <v>28958.16</v>
      </c>
      <c r="G58" s="60">
        <f>Fábrica!G58*'Mark Up '!$B$4</f>
        <v>33083.82</v>
      </c>
    </row>
    <row r="59" spans="1:7" ht="21.95" customHeight="1" x14ac:dyDescent="0.3">
      <c r="A59" s="110" t="s">
        <v>286</v>
      </c>
      <c r="B59" s="68" t="s">
        <v>98</v>
      </c>
      <c r="C59" s="62" t="s">
        <v>494</v>
      </c>
      <c r="D59" s="69" t="s">
        <v>415</v>
      </c>
      <c r="E59" s="60">
        <f>Fábrica!E59*'Mark Up '!$B$2</f>
        <v>20489.7</v>
      </c>
      <c r="F59" s="60">
        <f>Fábrica!F59*'Mark Up '!$B$3</f>
        <v>27401.22</v>
      </c>
      <c r="G59" s="60">
        <f>Fábrica!G59*'Mark Up '!$B$4</f>
        <v>30898.560000000001</v>
      </c>
    </row>
    <row r="60" spans="1:7" ht="21.95" customHeight="1" x14ac:dyDescent="0.3">
      <c r="A60" s="110"/>
      <c r="B60" s="68" t="s">
        <v>99</v>
      </c>
      <c r="C60" s="62" t="s">
        <v>494</v>
      </c>
      <c r="D60" s="69" t="s">
        <v>416</v>
      </c>
      <c r="E60" s="60">
        <f>Fábrica!E60*'Mark Up '!$B$2</f>
        <v>21238.14</v>
      </c>
      <c r="F60" s="60">
        <f>Fábrica!F60*'Mark Up '!$B$3</f>
        <v>28611.66</v>
      </c>
      <c r="G60" s="60">
        <f>Fábrica!G60*'Mark Up '!$B$4</f>
        <v>32529.420000000002</v>
      </c>
    </row>
    <row r="61" spans="1:7" ht="21.95" customHeight="1" x14ac:dyDescent="0.3">
      <c r="A61" s="110"/>
      <c r="B61" s="68" t="s">
        <v>100</v>
      </c>
      <c r="C61" s="62" t="s">
        <v>376</v>
      </c>
      <c r="D61" s="69" t="s">
        <v>417</v>
      </c>
      <c r="E61" s="60">
        <f>Fábrica!E61*'Mark Up '!$B$2</f>
        <v>22836.66</v>
      </c>
      <c r="F61" s="60">
        <f>Fábrica!F61*'Mark Up '!$B$3</f>
        <v>30602.880000000001</v>
      </c>
      <c r="G61" s="60">
        <f>Fábrica!G61*'Mark Up '!$B$4</f>
        <v>34308.120000000003</v>
      </c>
    </row>
    <row r="62" spans="1:7" ht="21" customHeight="1" x14ac:dyDescent="0.3">
      <c r="A62" s="110"/>
      <c r="B62" s="68" t="s">
        <v>101</v>
      </c>
      <c r="C62" s="62" t="s">
        <v>376</v>
      </c>
      <c r="D62" s="69" t="s">
        <v>418</v>
      </c>
      <c r="E62" s="60">
        <f>Fábrica!E62*'Mark Up '!$B$2</f>
        <v>23668.260000000002</v>
      </c>
      <c r="F62" s="60">
        <f>Fábrica!F62*'Mark Up '!$B$3</f>
        <v>31314.36</v>
      </c>
      <c r="G62" s="60">
        <f>Fábrica!G62*'Mark Up '!$B$4</f>
        <v>35389.200000000004</v>
      </c>
    </row>
    <row r="63" spans="1:7" s="52" customFormat="1" ht="84.75" customHeight="1" x14ac:dyDescent="0.4">
      <c r="A63" s="100"/>
      <c r="B63" s="101"/>
      <c r="C63" s="102" t="s">
        <v>457</v>
      </c>
      <c r="D63" s="103"/>
      <c r="E63" s="103"/>
      <c r="F63" s="103"/>
      <c r="G63" s="104"/>
    </row>
    <row r="64" spans="1:7" x14ac:dyDescent="0.3">
      <c r="A64" s="105" t="s">
        <v>245</v>
      </c>
      <c r="B64" s="105"/>
      <c r="C64" s="105"/>
      <c r="D64" s="105"/>
      <c r="E64" s="105"/>
      <c r="F64" s="105"/>
      <c r="G64" s="105"/>
    </row>
    <row r="65" spans="1:7" x14ac:dyDescent="0.3">
      <c r="A65" s="105" t="s">
        <v>246</v>
      </c>
      <c r="B65" s="105"/>
      <c r="C65" s="105"/>
      <c r="D65" s="105"/>
      <c r="E65" s="105"/>
      <c r="F65" s="105"/>
      <c r="G65" s="105"/>
    </row>
    <row r="66" spans="1:7" x14ac:dyDescent="0.3">
      <c r="A66" s="92"/>
      <c r="B66" s="92"/>
      <c r="C66" s="92"/>
      <c r="D66" s="92"/>
      <c r="E66" s="54" t="s">
        <v>247</v>
      </c>
      <c r="F66" s="54" t="s">
        <v>248</v>
      </c>
      <c r="G66" s="54" t="s">
        <v>249</v>
      </c>
    </row>
    <row r="67" spans="1:7" ht="63.75" customHeight="1" x14ac:dyDescent="0.3">
      <c r="A67" s="93" t="s">
        <v>250</v>
      </c>
      <c r="B67" s="94" t="s">
        <v>251</v>
      </c>
      <c r="C67" s="95" t="s">
        <v>252</v>
      </c>
      <c r="D67" s="96" t="s">
        <v>253</v>
      </c>
      <c r="E67" s="97" t="s">
        <v>254</v>
      </c>
      <c r="F67" s="55" t="s">
        <v>255</v>
      </c>
      <c r="G67" s="107" t="s">
        <v>256</v>
      </c>
    </row>
    <row r="68" spans="1:7" ht="7.5" customHeight="1" x14ac:dyDescent="0.3">
      <c r="A68" s="93"/>
      <c r="B68" s="94"/>
      <c r="C68" s="95"/>
      <c r="D68" s="96"/>
      <c r="E68" s="97"/>
      <c r="F68" s="108" t="s">
        <v>261</v>
      </c>
      <c r="G68" s="107"/>
    </row>
    <row r="69" spans="1:7" ht="70.5" customHeight="1" x14ac:dyDescent="0.3">
      <c r="A69" s="93"/>
      <c r="B69" s="94"/>
      <c r="C69" s="95"/>
      <c r="D69" s="96"/>
      <c r="E69" s="97"/>
      <c r="F69" s="108"/>
      <c r="G69" s="56" t="s">
        <v>258</v>
      </c>
    </row>
    <row r="70" spans="1:7" x14ac:dyDescent="0.3">
      <c r="A70" s="93"/>
      <c r="B70" s="94"/>
      <c r="C70" s="95"/>
      <c r="D70" s="96"/>
      <c r="E70" s="97"/>
      <c r="F70" s="108"/>
      <c r="G70" s="56" t="s">
        <v>259</v>
      </c>
    </row>
    <row r="71" spans="1:7" x14ac:dyDescent="0.3">
      <c r="A71" s="93"/>
      <c r="B71" s="94"/>
      <c r="C71" s="95"/>
      <c r="D71" s="96"/>
      <c r="E71" s="97"/>
      <c r="F71" s="108"/>
      <c r="G71" s="109" t="s">
        <v>260</v>
      </c>
    </row>
    <row r="72" spans="1:7" ht="110.25" customHeight="1" x14ac:dyDescent="0.3">
      <c r="A72" s="93"/>
      <c r="B72" s="94"/>
      <c r="C72" s="95"/>
      <c r="D72" s="96"/>
      <c r="E72" s="97"/>
      <c r="F72" s="108"/>
      <c r="G72" s="109"/>
    </row>
    <row r="73" spans="1:7" ht="23.25" customHeight="1" x14ac:dyDescent="0.3">
      <c r="A73" s="110" t="s">
        <v>280</v>
      </c>
      <c r="B73" s="68" t="s">
        <v>90</v>
      </c>
      <c r="C73" s="72" t="s">
        <v>495</v>
      </c>
      <c r="D73" s="69" t="s">
        <v>389</v>
      </c>
      <c r="E73" s="60" t="s">
        <v>317</v>
      </c>
      <c r="F73" s="60">
        <f>Fábrica!F73*'Mark Up '!$B$3</f>
        <v>26634.3</v>
      </c>
      <c r="G73" s="60">
        <f>Fábrica!G73*'Mark Up '!$B$4</f>
        <v>29951.46</v>
      </c>
    </row>
    <row r="74" spans="1:7" ht="23.25" customHeight="1" x14ac:dyDescent="0.3">
      <c r="A74" s="110"/>
      <c r="B74" s="68" t="s">
        <v>91</v>
      </c>
      <c r="C74" s="72" t="s">
        <v>495</v>
      </c>
      <c r="D74" s="69" t="s">
        <v>390</v>
      </c>
      <c r="E74" s="60" t="s">
        <v>317</v>
      </c>
      <c r="F74" s="60">
        <f>Fábrica!F74*'Mark Up '!$B$3</f>
        <v>27184.080000000002</v>
      </c>
      <c r="G74" s="60">
        <f>Fábrica!G74*'Mark Up '!$B$4</f>
        <v>30796.920000000002</v>
      </c>
    </row>
    <row r="75" spans="1:7" ht="23.25" customHeight="1" x14ac:dyDescent="0.3">
      <c r="A75" s="110"/>
      <c r="B75" s="68" t="s">
        <v>92</v>
      </c>
      <c r="C75" s="72" t="s">
        <v>504</v>
      </c>
      <c r="D75" s="69" t="s">
        <v>391</v>
      </c>
      <c r="E75" s="60" t="s">
        <v>317</v>
      </c>
      <c r="F75" s="60">
        <f>Fábrica!F75*'Mark Up '!$B$3</f>
        <v>29868.3</v>
      </c>
      <c r="G75" s="60">
        <f>Fábrica!G75*'Mark Up '!$B$4</f>
        <v>33231.660000000003</v>
      </c>
    </row>
    <row r="76" spans="1:7" ht="23.25" customHeight="1" x14ac:dyDescent="0.3">
      <c r="A76" s="110"/>
      <c r="B76" s="68" t="s">
        <v>93</v>
      </c>
      <c r="C76" s="72" t="s">
        <v>504</v>
      </c>
      <c r="D76" s="69" t="s">
        <v>392</v>
      </c>
      <c r="E76" s="60" t="s">
        <v>317</v>
      </c>
      <c r="F76" s="60">
        <f>Fábrica!F76*'Mark Up '!$B$3</f>
        <v>31208.100000000002</v>
      </c>
      <c r="G76" s="60">
        <f>Fábrica!G76*'Mark Up '!$B$4</f>
        <v>33961.620000000003</v>
      </c>
    </row>
    <row r="77" spans="1:7" ht="64.5" customHeight="1" x14ac:dyDescent="0.3">
      <c r="A77" s="73" t="s">
        <v>289</v>
      </c>
      <c r="B77" s="66" t="s">
        <v>147</v>
      </c>
      <c r="C77" s="63" t="s">
        <v>393</v>
      </c>
      <c r="D77" s="57" t="s">
        <v>419</v>
      </c>
      <c r="E77" s="60">
        <f>Fábrica!E77*'Mark Up '!$B$2</f>
        <v>12058.2</v>
      </c>
      <c r="F77" s="60">
        <f>Fábrica!F77*'Mark Up '!$B$3</f>
        <v>14779.380000000001</v>
      </c>
      <c r="G77" s="60">
        <f>Fábrica!G77*'Mark Up '!$B$4</f>
        <v>17422.02</v>
      </c>
    </row>
    <row r="78" spans="1:7" ht="21" customHeight="1" x14ac:dyDescent="0.3">
      <c r="A78" s="110" t="s">
        <v>288</v>
      </c>
      <c r="B78" s="68" t="s">
        <v>94</v>
      </c>
      <c r="C78" s="62" t="s">
        <v>496</v>
      </c>
      <c r="D78" s="69" t="s">
        <v>389</v>
      </c>
      <c r="E78" s="60">
        <f>Fábrica!E78*'Mark Up '!$B$2</f>
        <v>17218.740000000002</v>
      </c>
      <c r="F78" s="60">
        <f>Fábrica!F78*'Mark Up '!$B$3</f>
        <v>20295.66</v>
      </c>
      <c r="G78" s="60">
        <f>Fábrica!G78*'Mark Up '!$B$4</f>
        <v>21931.14</v>
      </c>
    </row>
    <row r="79" spans="1:7" ht="21" customHeight="1" x14ac:dyDescent="0.3">
      <c r="A79" s="110"/>
      <c r="B79" s="68" t="s">
        <v>95</v>
      </c>
      <c r="C79" s="62" t="s">
        <v>496</v>
      </c>
      <c r="D79" s="69" t="s">
        <v>390</v>
      </c>
      <c r="E79" s="60">
        <f>Fábrica!E79*'Mark Up '!$B$2</f>
        <v>17805.48</v>
      </c>
      <c r="F79" s="60">
        <f>Fábrica!F79*'Mark Up '!$B$3</f>
        <v>21418.32</v>
      </c>
      <c r="G79" s="60">
        <f>Fábrica!G79*'Mark Up '!$B$4</f>
        <v>22804.32</v>
      </c>
    </row>
    <row r="80" spans="1:7" ht="21" customHeight="1" x14ac:dyDescent="0.3">
      <c r="A80" s="110"/>
      <c r="B80" s="68" t="s">
        <v>96</v>
      </c>
      <c r="C80" s="62" t="s">
        <v>394</v>
      </c>
      <c r="D80" s="69" t="s">
        <v>391</v>
      </c>
      <c r="E80" s="60">
        <f>Fábrica!E80*'Mark Up '!$B$2</f>
        <v>18419.939999999999</v>
      </c>
      <c r="F80" s="60">
        <f>Fábrica!F80*'Mark Up '!$B$3</f>
        <v>23233.98</v>
      </c>
      <c r="G80" s="60">
        <f>Fábrica!G80*'Mark Up '!$B$4</f>
        <v>25068.12</v>
      </c>
    </row>
    <row r="81" spans="1:7" ht="21" customHeight="1" x14ac:dyDescent="0.3">
      <c r="A81" s="110"/>
      <c r="B81" s="68" t="s">
        <v>97</v>
      </c>
      <c r="C81" s="62" t="s">
        <v>394</v>
      </c>
      <c r="D81" s="69" t="s">
        <v>392</v>
      </c>
      <c r="E81" s="60">
        <f>Fábrica!E81*'Mark Up '!$B$2</f>
        <v>20383.439999999999</v>
      </c>
      <c r="F81" s="60">
        <f>Fábrica!F81*'Mark Up '!$B$3</f>
        <v>24846.36</v>
      </c>
      <c r="G81" s="60">
        <f>Fábrica!G81*'Mark Up '!$B$4</f>
        <v>27756.959999999999</v>
      </c>
    </row>
    <row r="82" spans="1:7" s="52" customFormat="1" ht="84.75" customHeight="1" x14ac:dyDescent="0.4">
      <c r="A82" s="100"/>
      <c r="B82" s="101"/>
      <c r="C82" s="102" t="s">
        <v>458</v>
      </c>
      <c r="D82" s="103"/>
      <c r="E82" s="103"/>
      <c r="F82" s="103"/>
      <c r="G82" s="104"/>
    </row>
    <row r="83" spans="1:7" x14ac:dyDescent="0.3">
      <c r="A83" s="105" t="s">
        <v>245</v>
      </c>
      <c r="B83" s="105"/>
      <c r="C83" s="105"/>
      <c r="D83" s="105"/>
      <c r="E83" s="105"/>
      <c r="F83" s="105"/>
      <c r="G83" s="105"/>
    </row>
    <row r="84" spans="1:7" x14ac:dyDescent="0.3">
      <c r="A84" s="105" t="s">
        <v>246</v>
      </c>
      <c r="B84" s="105"/>
      <c r="C84" s="105"/>
      <c r="D84" s="105"/>
      <c r="E84" s="105"/>
      <c r="F84" s="105"/>
      <c r="G84" s="105"/>
    </row>
    <row r="85" spans="1:7" x14ac:dyDescent="0.3">
      <c r="A85" s="92"/>
      <c r="B85" s="92"/>
      <c r="C85" s="92"/>
      <c r="D85" s="92"/>
      <c r="E85" s="54" t="s">
        <v>247</v>
      </c>
      <c r="F85" s="54" t="s">
        <v>248</v>
      </c>
      <c r="G85" s="54" t="s">
        <v>249</v>
      </c>
    </row>
    <row r="86" spans="1:7" ht="60.75" customHeight="1" x14ac:dyDescent="0.3">
      <c r="A86" s="93" t="s">
        <v>250</v>
      </c>
      <c r="B86" s="94" t="s">
        <v>251</v>
      </c>
      <c r="C86" s="95" t="s">
        <v>252</v>
      </c>
      <c r="D86" s="96" t="s">
        <v>253</v>
      </c>
      <c r="E86" s="97" t="s">
        <v>254</v>
      </c>
      <c r="F86" s="55" t="s">
        <v>262</v>
      </c>
      <c r="G86" s="107" t="s">
        <v>256</v>
      </c>
    </row>
    <row r="87" spans="1:7" ht="18.75" customHeight="1" x14ac:dyDescent="0.3">
      <c r="A87" s="93"/>
      <c r="B87" s="94"/>
      <c r="C87" s="95"/>
      <c r="D87" s="96"/>
      <c r="E87" s="97"/>
      <c r="F87" s="108" t="s">
        <v>398</v>
      </c>
      <c r="G87" s="107"/>
    </row>
    <row r="88" spans="1:7" ht="84" customHeight="1" x14ac:dyDescent="0.3">
      <c r="A88" s="93"/>
      <c r="B88" s="94"/>
      <c r="C88" s="95"/>
      <c r="D88" s="96"/>
      <c r="E88" s="97"/>
      <c r="F88" s="108"/>
      <c r="G88" s="56" t="s">
        <v>258</v>
      </c>
    </row>
    <row r="89" spans="1:7" x14ac:dyDescent="0.3">
      <c r="A89" s="93"/>
      <c r="B89" s="94"/>
      <c r="C89" s="95"/>
      <c r="D89" s="96"/>
      <c r="E89" s="97"/>
      <c r="F89" s="108"/>
      <c r="G89" s="56" t="s">
        <v>259</v>
      </c>
    </row>
    <row r="90" spans="1:7" ht="18.75" customHeight="1" x14ac:dyDescent="0.3">
      <c r="A90" s="93"/>
      <c r="B90" s="94"/>
      <c r="C90" s="95"/>
      <c r="D90" s="96"/>
      <c r="E90" s="97"/>
      <c r="F90" s="108"/>
      <c r="G90" s="109" t="s">
        <v>260</v>
      </c>
    </row>
    <row r="91" spans="1:7" ht="99.75" customHeight="1" x14ac:dyDescent="0.3">
      <c r="A91" s="93"/>
      <c r="B91" s="94"/>
      <c r="C91" s="95"/>
      <c r="D91" s="96"/>
      <c r="E91" s="97"/>
      <c r="F91" s="108"/>
      <c r="G91" s="109"/>
    </row>
    <row r="92" spans="1:7" ht="30" customHeight="1" x14ac:dyDescent="0.3">
      <c r="A92" s="110" t="s">
        <v>271</v>
      </c>
      <c r="B92" s="66" t="s">
        <v>217</v>
      </c>
      <c r="C92" s="63" t="s">
        <v>318</v>
      </c>
      <c r="D92" s="57" t="s">
        <v>422</v>
      </c>
      <c r="E92" s="60">
        <f>Fábrica!E92*'Mark Up '!$B$2</f>
        <v>6186.18</v>
      </c>
      <c r="F92" s="60">
        <f>Fábrica!F92*'Mark Up '!$B$3</f>
        <v>7941.78</v>
      </c>
      <c r="G92" s="60">
        <f>Fábrica!G92*'Mark Up '!$B$4</f>
        <v>8801.1</v>
      </c>
    </row>
    <row r="93" spans="1:7" ht="30" customHeight="1" x14ac:dyDescent="0.3">
      <c r="A93" s="110"/>
      <c r="B93" s="66" t="s">
        <v>218</v>
      </c>
      <c r="C93" s="63" t="s">
        <v>318</v>
      </c>
      <c r="D93" s="66" t="s">
        <v>423</v>
      </c>
      <c r="E93" s="60">
        <f>Fábrica!E93*'Mark Up '!$B$2</f>
        <v>7017.78</v>
      </c>
      <c r="F93" s="60">
        <f>Fábrica!F93*'Mark Up '!$B$3</f>
        <v>9133.74</v>
      </c>
      <c r="G93" s="60">
        <f>Fábrica!G93*'Mark Up '!$B$4</f>
        <v>10214.82</v>
      </c>
    </row>
    <row r="94" spans="1:7" ht="35.1" customHeight="1" x14ac:dyDescent="0.3">
      <c r="A94" s="110" t="s">
        <v>289</v>
      </c>
      <c r="B94" s="66" t="s">
        <v>142</v>
      </c>
      <c r="C94" s="63" t="s">
        <v>377</v>
      </c>
      <c r="D94" s="57" t="s">
        <v>424</v>
      </c>
      <c r="E94" s="60">
        <f>Fábrica!E94*'Mark Up '!$B$2</f>
        <v>6782.16</v>
      </c>
      <c r="F94" s="60">
        <f>Fábrica!F94*'Mark Up '!$B$3</f>
        <v>8108.1</v>
      </c>
      <c r="G94" s="60">
        <f>Fábrica!G94*'Mark Up '!$B$4</f>
        <v>8972.0400000000009</v>
      </c>
    </row>
    <row r="95" spans="1:7" ht="35.1" customHeight="1" x14ac:dyDescent="0.3">
      <c r="A95" s="110"/>
      <c r="B95" s="66" t="s">
        <v>144</v>
      </c>
      <c r="C95" s="63" t="s">
        <v>377</v>
      </c>
      <c r="D95" s="66" t="s">
        <v>505</v>
      </c>
      <c r="E95" s="60">
        <f>Fábrica!E95*'Mark Up '!$B$2</f>
        <v>7512.12</v>
      </c>
      <c r="F95" s="60">
        <f>Fábrica!F95*'Mark Up '!$B$3</f>
        <v>9115.26</v>
      </c>
      <c r="G95" s="60">
        <f>Fábrica!G95*'Mark Up '!$B$4</f>
        <v>10395</v>
      </c>
    </row>
    <row r="96" spans="1:7" ht="35.1" customHeight="1" x14ac:dyDescent="0.3">
      <c r="A96" s="110" t="s">
        <v>272</v>
      </c>
      <c r="B96" s="66" t="s">
        <v>179</v>
      </c>
      <c r="C96" s="63" t="s">
        <v>319</v>
      </c>
      <c r="D96" s="57" t="s">
        <v>143</v>
      </c>
      <c r="E96" s="60">
        <f>Fábrica!E96*'Mark Up '!$B$2</f>
        <v>6412.56</v>
      </c>
      <c r="F96" s="60">
        <f>Fábrica!F96*'Mark Up '!$B$3</f>
        <v>7202.58</v>
      </c>
      <c r="G96" s="60">
        <f>Fábrica!G96*'Mark Up '!$B$4</f>
        <v>7733.88</v>
      </c>
    </row>
    <row r="97" spans="1:7" ht="35.1" customHeight="1" x14ac:dyDescent="0.3">
      <c r="A97" s="110"/>
      <c r="B97" s="66" t="s">
        <v>180</v>
      </c>
      <c r="C97" s="63" t="s">
        <v>319</v>
      </c>
      <c r="D97" s="66" t="s">
        <v>145</v>
      </c>
      <c r="E97" s="60">
        <f>Fábrica!E97*'Mark Up '!$B$2</f>
        <v>6962.34</v>
      </c>
      <c r="F97" s="60">
        <f>Fábrica!F97*'Mark Up '!$B$3</f>
        <v>7918.68</v>
      </c>
      <c r="G97" s="60">
        <f>Fábrica!G97*'Mark Up '!$B$4</f>
        <v>8583.9600000000009</v>
      </c>
    </row>
    <row r="98" spans="1:7" ht="35.1" customHeight="1" x14ac:dyDescent="0.3">
      <c r="A98" s="110" t="s">
        <v>274</v>
      </c>
      <c r="B98" s="66" t="s">
        <v>215</v>
      </c>
      <c r="C98" s="63" t="s">
        <v>369</v>
      </c>
      <c r="D98" s="57" t="s">
        <v>143</v>
      </c>
      <c r="E98" s="60">
        <f>Fábrica!E98*'Mark Up '!$B$2</f>
        <v>5710.32</v>
      </c>
      <c r="F98" s="60">
        <f>Fábrica!F98*'Mark Up '!$B$3</f>
        <v>7313.46</v>
      </c>
      <c r="G98" s="60">
        <f>Fábrica!G98*'Mark Up '!$B$4</f>
        <v>8177.4000000000005</v>
      </c>
    </row>
    <row r="99" spans="1:7" ht="35.1" customHeight="1" x14ac:dyDescent="0.3">
      <c r="A99" s="110"/>
      <c r="B99" s="66" t="s">
        <v>216</v>
      </c>
      <c r="C99" s="63" t="s">
        <v>369</v>
      </c>
      <c r="D99" s="66" t="s">
        <v>145</v>
      </c>
      <c r="E99" s="60">
        <f>Fábrica!E99*'Mark Up '!$B$2</f>
        <v>6135.3600000000006</v>
      </c>
      <c r="F99" s="60">
        <f>Fábrica!F99*'Mark Up '!$B$3</f>
        <v>8486.94</v>
      </c>
      <c r="G99" s="60">
        <f>Fábrica!G99*'Mark Up '!$B$4</f>
        <v>9526.44</v>
      </c>
    </row>
    <row r="100" spans="1:7" ht="67.5" customHeight="1" x14ac:dyDescent="0.3">
      <c r="A100" s="74" t="s">
        <v>273</v>
      </c>
      <c r="B100" s="66" t="s">
        <v>184</v>
      </c>
      <c r="C100" s="63" t="s">
        <v>378</v>
      </c>
      <c r="D100" s="57" t="s">
        <v>425</v>
      </c>
      <c r="E100" s="60">
        <f>Fábrica!E100*'Mark Up '!$B$2</f>
        <v>6042.96</v>
      </c>
      <c r="F100" s="60">
        <f>Fábrica!F100*'Mark Up '!$B$3</f>
        <v>7267.26</v>
      </c>
      <c r="G100" s="60">
        <f>Fábrica!G100*'Mark Up '!$B$4</f>
        <v>7941.78</v>
      </c>
    </row>
    <row r="101" spans="1:7" s="52" customFormat="1" ht="84.75" customHeight="1" x14ac:dyDescent="0.4">
      <c r="A101" s="100"/>
      <c r="B101" s="101"/>
      <c r="C101" s="102" t="s">
        <v>459</v>
      </c>
      <c r="D101" s="103"/>
      <c r="E101" s="103"/>
      <c r="F101" s="103"/>
      <c r="G101" s="104"/>
    </row>
    <row r="102" spans="1:7" x14ac:dyDescent="0.3">
      <c r="A102" s="105" t="s">
        <v>245</v>
      </c>
      <c r="B102" s="105"/>
      <c r="C102" s="105"/>
      <c r="D102" s="105"/>
      <c r="E102" s="105"/>
      <c r="F102" s="105"/>
      <c r="G102" s="105"/>
    </row>
    <row r="103" spans="1:7" x14ac:dyDescent="0.3">
      <c r="A103" s="105" t="s">
        <v>246</v>
      </c>
      <c r="B103" s="105"/>
      <c r="C103" s="105"/>
      <c r="D103" s="105"/>
      <c r="E103" s="105"/>
      <c r="F103" s="105"/>
      <c r="G103" s="105"/>
    </row>
    <row r="104" spans="1:7" x14ac:dyDescent="0.3">
      <c r="A104" s="92"/>
      <c r="B104" s="92"/>
      <c r="C104" s="92"/>
      <c r="D104" s="92"/>
      <c r="E104" s="54" t="s">
        <v>247</v>
      </c>
      <c r="F104" s="54" t="s">
        <v>248</v>
      </c>
      <c r="G104" s="54" t="s">
        <v>249</v>
      </c>
    </row>
    <row r="105" spans="1:7" ht="63.75" customHeight="1" x14ac:dyDescent="0.3">
      <c r="A105" s="93" t="s">
        <v>250</v>
      </c>
      <c r="B105" s="94" t="s">
        <v>251</v>
      </c>
      <c r="C105" s="95" t="s">
        <v>252</v>
      </c>
      <c r="D105" s="96" t="s">
        <v>253</v>
      </c>
      <c r="E105" s="97" t="s">
        <v>254</v>
      </c>
      <c r="F105" s="55" t="s">
        <v>262</v>
      </c>
      <c r="G105" s="107" t="s">
        <v>256</v>
      </c>
    </row>
    <row r="106" spans="1:7" ht="18.75" customHeight="1" x14ac:dyDescent="0.3">
      <c r="A106" s="93"/>
      <c r="B106" s="94"/>
      <c r="C106" s="95"/>
      <c r="D106" s="96"/>
      <c r="E106" s="97"/>
      <c r="F106" s="108" t="s">
        <v>263</v>
      </c>
      <c r="G106" s="107"/>
    </row>
    <row r="107" spans="1:7" ht="82.5" customHeight="1" x14ac:dyDescent="0.3">
      <c r="A107" s="93"/>
      <c r="B107" s="94"/>
      <c r="C107" s="95"/>
      <c r="D107" s="96"/>
      <c r="E107" s="97"/>
      <c r="F107" s="108"/>
      <c r="G107" s="56" t="s">
        <v>258</v>
      </c>
    </row>
    <row r="108" spans="1:7" x14ac:dyDescent="0.3">
      <c r="A108" s="93"/>
      <c r="B108" s="94"/>
      <c r="C108" s="95"/>
      <c r="D108" s="96"/>
      <c r="E108" s="97"/>
      <c r="F108" s="108"/>
      <c r="G108" s="56" t="s">
        <v>259</v>
      </c>
    </row>
    <row r="109" spans="1:7" ht="18.75" customHeight="1" x14ac:dyDescent="0.3">
      <c r="A109" s="93"/>
      <c r="B109" s="94"/>
      <c r="C109" s="95"/>
      <c r="D109" s="96"/>
      <c r="E109" s="97"/>
      <c r="F109" s="108"/>
      <c r="G109" s="109" t="s">
        <v>260</v>
      </c>
    </row>
    <row r="110" spans="1:7" ht="99.75" customHeight="1" x14ac:dyDescent="0.3">
      <c r="A110" s="93"/>
      <c r="B110" s="94"/>
      <c r="C110" s="95"/>
      <c r="D110" s="96"/>
      <c r="E110" s="97"/>
      <c r="F110" s="108"/>
      <c r="G110" s="109"/>
    </row>
    <row r="111" spans="1:7" ht="66" customHeight="1" x14ac:dyDescent="0.3">
      <c r="A111" s="74" t="s">
        <v>277</v>
      </c>
      <c r="B111" s="61" t="s">
        <v>214</v>
      </c>
      <c r="C111" s="75" t="s">
        <v>512</v>
      </c>
      <c r="D111" s="66" t="s">
        <v>420</v>
      </c>
      <c r="E111" s="60">
        <f>Fábrica!E111*'Mark Up '!$B$2</f>
        <v>9341.64</v>
      </c>
      <c r="F111" s="60">
        <f>Fábrica!F111*'Mark Up '!$B$3</f>
        <v>10436.58</v>
      </c>
      <c r="G111" s="60">
        <f>Fábrica!G111*'Mark Up '!$B$4</f>
        <v>10958.64</v>
      </c>
    </row>
    <row r="112" spans="1:7" ht="81" customHeight="1" x14ac:dyDescent="0.3">
      <c r="A112" s="74" t="s">
        <v>276</v>
      </c>
      <c r="B112" s="61" t="s">
        <v>146</v>
      </c>
      <c r="C112" s="63" t="s">
        <v>379</v>
      </c>
      <c r="D112" s="57" t="s">
        <v>421</v>
      </c>
      <c r="E112" s="60">
        <f>Fábrica!E112*'Mark Up '!$B$2</f>
        <v>7946.4000000000005</v>
      </c>
      <c r="F112" s="60">
        <f>Fábrica!F112*'Mark Up '!$B$3</f>
        <v>9817.5</v>
      </c>
      <c r="G112" s="60">
        <f>Fábrica!G112*'Mark Up '!$B$4</f>
        <v>11452.98</v>
      </c>
    </row>
    <row r="113" spans="1:7" ht="27.75" customHeight="1" x14ac:dyDescent="0.3">
      <c r="A113" s="110" t="s">
        <v>303</v>
      </c>
      <c r="B113" s="61" t="s">
        <v>181</v>
      </c>
      <c r="C113" s="63" t="s">
        <v>380</v>
      </c>
      <c r="D113" s="64" t="s">
        <v>358</v>
      </c>
      <c r="E113" s="60">
        <f>Fábrica!E113*'Mark Up '!$B$2</f>
        <v>5682.6</v>
      </c>
      <c r="F113" s="60">
        <f>Fábrica!F113*'Mark Up '!$B$3</f>
        <v>6939.24</v>
      </c>
      <c r="G113" s="60">
        <f>Fábrica!G113*'Mark Up '!$B$4</f>
        <v>7960.26</v>
      </c>
    </row>
    <row r="114" spans="1:7" ht="27.95" customHeight="1" x14ac:dyDescent="0.3">
      <c r="A114" s="111"/>
      <c r="B114" s="61" t="s">
        <v>182</v>
      </c>
      <c r="C114" s="63" t="s">
        <v>380</v>
      </c>
      <c r="D114" s="64" t="s">
        <v>359</v>
      </c>
      <c r="E114" s="60">
        <f>Fábrica!E114*'Mark Up '!$B$2</f>
        <v>5881.26</v>
      </c>
      <c r="F114" s="60">
        <f>Fábrica!F114*'Mark Up '!$B$3</f>
        <v>7239.54</v>
      </c>
      <c r="G114" s="60">
        <f>Fábrica!G114*'Mark Up '!$B$4</f>
        <v>8352.9600000000009</v>
      </c>
    </row>
    <row r="115" spans="1:7" ht="27.95" customHeight="1" x14ac:dyDescent="0.3">
      <c r="A115" s="111"/>
      <c r="B115" s="61" t="s">
        <v>183</v>
      </c>
      <c r="C115" s="63" t="s">
        <v>380</v>
      </c>
      <c r="D115" s="64" t="s">
        <v>360</v>
      </c>
      <c r="E115" s="60">
        <f>Fábrica!E115*'Mark Up '!$B$2</f>
        <v>6292.4400000000005</v>
      </c>
      <c r="F115" s="60">
        <f>Fábrica!F115*'Mark Up '!$B$3</f>
        <v>7789.3200000000006</v>
      </c>
      <c r="G115" s="60">
        <f>Fábrica!G115*'Mark Up '!$B$4</f>
        <v>8865.7800000000007</v>
      </c>
    </row>
    <row r="116" spans="1:7" s="52" customFormat="1" ht="84.75" customHeight="1" x14ac:dyDescent="0.4">
      <c r="A116" s="100"/>
      <c r="B116" s="101"/>
      <c r="C116" s="102" t="s">
        <v>460</v>
      </c>
      <c r="D116" s="103"/>
      <c r="E116" s="103"/>
      <c r="F116" s="103"/>
      <c r="G116" s="104"/>
    </row>
    <row r="117" spans="1:7" x14ac:dyDescent="0.3">
      <c r="A117" s="105" t="s">
        <v>245</v>
      </c>
      <c r="B117" s="105"/>
      <c r="C117" s="105"/>
      <c r="D117" s="105"/>
      <c r="E117" s="105"/>
      <c r="F117" s="105"/>
      <c r="G117" s="105"/>
    </row>
    <row r="118" spans="1:7" x14ac:dyDescent="0.3">
      <c r="A118" s="92"/>
      <c r="B118" s="92"/>
      <c r="C118" s="92"/>
      <c r="D118" s="92"/>
      <c r="E118" s="54" t="s">
        <v>247</v>
      </c>
      <c r="F118" s="54" t="s">
        <v>248</v>
      </c>
      <c r="G118" s="54" t="s">
        <v>249</v>
      </c>
    </row>
    <row r="119" spans="1:7" ht="62.25" customHeight="1" x14ac:dyDescent="0.3">
      <c r="A119" s="93" t="s">
        <v>250</v>
      </c>
      <c r="B119" s="94" t="s">
        <v>251</v>
      </c>
      <c r="C119" s="95" t="s">
        <v>252</v>
      </c>
      <c r="D119" s="96" t="s">
        <v>253</v>
      </c>
      <c r="E119" s="97" t="s">
        <v>254</v>
      </c>
      <c r="F119" s="55" t="s">
        <v>262</v>
      </c>
      <c r="G119" s="107" t="s">
        <v>256</v>
      </c>
    </row>
    <row r="120" spans="1:7" x14ac:dyDescent="0.3">
      <c r="A120" s="93"/>
      <c r="B120" s="94"/>
      <c r="C120" s="95"/>
      <c r="D120" s="96"/>
      <c r="E120" s="97"/>
      <c r="F120" s="108" t="s">
        <v>264</v>
      </c>
      <c r="G120" s="107"/>
    </row>
    <row r="121" spans="1:7" ht="79.5" customHeight="1" x14ac:dyDescent="0.3">
      <c r="A121" s="93"/>
      <c r="B121" s="94"/>
      <c r="C121" s="95"/>
      <c r="D121" s="96"/>
      <c r="E121" s="97"/>
      <c r="F121" s="108"/>
      <c r="G121" s="56" t="s">
        <v>258</v>
      </c>
    </row>
    <row r="122" spans="1:7" x14ac:dyDescent="0.3">
      <c r="A122" s="93"/>
      <c r="B122" s="94"/>
      <c r="C122" s="95"/>
      <c r="D122" s="96"/>
      <c r="E122" s="97"/>
      <c r="F122" s="108"/>
      <c r="G122" s="56" t="s">
        <v>259</v>
      </c>
    </row>
    <row r="123" spans="1:7" x14ac:dyDescent="0.3">
      <c r="A123" s="93"/>
      <c r="B123" s="94"/>
      <c r="C123" s="95"/>
      <c r="D123" s="96"/>
      <c r="E123" s="97"/>
      <c r="F123" s="108"/>
      <c r="G123" s="109" t="s">
        <v>260</v>
      </c>
    </row>
    <row r="124" spans="1:7" ht="108.75" customHeight="1" x14ac:dyDescent="0.3">
      <c r="A124" s="93"/>
      <c r="B124" s="94"/>
      <c r="C124" s="95"/>
      <c r="D124" s="96"/>
      <c r="E124" s="97"/>
      <c r="F124" s="108"/>
      <c r="G124" s="109"/>
    </row>
    <row r="125" spans="1:7" ht="19.5" customHeight="1" x14ac:dyDescent="0.3">
      <c r="A125" s="106" t="s">
        <v>290</v>
      </c>
      <c r="B125" s="61" t="s">
        <v>199</v>
      </c>
      <c r="C125" s="76" t="s">
        <v>396</v>
      </c>
      <c r="D125" s="61" t="s">
        <v>200</v>
      </c>
      <c r="E125" s="60">
        <f>Fábrica!E125*'Mark Up '!$B$2</f>
        <v>3007.62</v>
      </c>
      <c r="F125" s="60">
        <f>Fábrica!F125*'Mark Up '!$B$3</f>
        <v>3386.46</v>
      </c>
      <c r="G125" s="60">
        <f>Fábrica!G125*'Mark Up '!$B$4</f>
        <v>3562.02</v>
      </c>
    </row>
    <row r="126" spans="1:7" ht="19.5" customHeight="1" x14ac:dyDescent="0.3">
      <c r="A126" s="106"/>
      <c r="B126" s="61" t="s">
        <v>201</v>
      </c>
      <c r="C126" s="76" t="s">
        <v>396</v>
      </c>
      <c r="D126" s="66" t="s">
        <v>202</v>
      </c>
      <c r="E126" s="60">
        <f>Fábrica!E126*'Mark Up '!$B$2</f>
        <v>3086.16</v>
      </c>
      <c r="F126" s="60">
        <f>Fábrica!F126*'Mark Up '!$B$3</f>
        <v>3465</v>
      </c>
      <c r="G126" s="60">
        <f>Fábrica!G126*'Mark Up '!$B$4</f>
        <v>3640.56</v>
      </c>
    </row>
    <row r="127" spans="1:7" ht="19.5" customHeight="1" x14ac:dyDescent="0.3">
      <c r="A127" s="106"/>
      <c r="B127" s="61" t="s">
        <v>203</v>
      </c>
      <c r="C127" s="77" t="s">
        <v>320</v>
      </c>
      <c r="D127" s="66" t="s">
        <v>204</v>
      </c>
      <c r="E127" s="60">
        <f>Fábrica!E127*'Mark Up '!$B$2</f>
        <v>3164.7000000000003</v>
      </c>
      <c r="F127" s="60">
        <f>Fábrica!F127*'Mark Up '!$B$3</f>
        <v>3548.16</v>
      </c>
      <c r="G127" s="60">
        <f>Fábrica!G127*'Mark Up '!$B$4</f>
        <v>3723.7200000000003</v>
      </c>
    </row>
    <row r="128" spans="1:7" ht="19.5" customHeight="1" x14ac:dyDescent="0.3">
      <c r="A128" s="106"/>
      <c r="B128" s="61" t="s">
        <v>205</v>
      </c>
      <c r="C128" s="77" t="s">
        <v>320</v>
      </c>
      <c r="D128" s="66" t="s">
        <v>426</v>
      </c>
      <c r="E128" s="60">
        <f>Fábrica!E128*'Mark Up '!$B$2</f>
        <v>3243.2400000000002</v>
      </c>
      <c r="F128" s="60">
        <f>Fábrica!F128*'Mark Up '!$B$3</f>
        <v>3501.96</v>
      </c>
      <c r="G128" s="60">
        <f>Fábrica!G128*'Mark Up '!$B$4</f>
        <v>3797.64</v>
      </c>
    </row>
    <row r="129" spans="1:7" ht="20.25" customHeight="1" x14ac:dyDescent="0.3">
      <c r="A129" s="106" t="s">
        <v>291</v>
      </c>
      <c r="B129" s="61" t="s">
        <v>192</v>
      </c>
      <c r="C129" s="77" t="s">
        <v>497</v>
      </c>
      <c r="D129" s="57" t="s">
        <v>507</v>
      </c>
      <c r="E129" s="60">
        <f>Fábrica!E129*'Mark Up '!$B$2</f>
        <v>5497.8</v>
      </c>
      <c r="F129" s="60">
        <f>Fábrica!F129*'Mark Up '!$B$3</f>
        <v>6417.18</v>
      </c>
      <c r="G129" s="60">
        <f>Fábrica!G129*'Mark Up '!$B$4</f>
        <v>7059.3600000000006</v>
      </c>
    </row>
    <row r="130" spans="1:7" ht="20.25" customHeight="1" x14ac:dyDescent="0.3">
      <c r="A130" s="106"/>
      <c r="B130" s="61" t="s">
        <v>193</v>
      </c>
      <c r="C130" s="77" t="s">
        <v>497</v>
      </c>
      <c r="D130" s="57" t="s">
        <v>508</v>
      </c>
      <c r="E130" s="60">
        <f>Fábrica!E130*'Mark Up '!$B$2</f>
        <v>6315.54</v>
      </c>
      <c r="F130" s="60">
        <f>Fábrica!F130*'Mark Up '!$B$3</f>
        <v>7419.72</v>
      </c>
      <c r="G130" s="60">
        <f>Fábrica!G130*'Mark Up '!$B$4</f>
        <v>8274.42</v>
      </c>
    </row>
    <row r="131" spans="1:7" ht="20.25" customHeight="1" x14ac:dyDescent="0.3">
      <c r="A131" s="106"/>
      <c r="B131" s="61" t="s">
        <v>194</v>
      </c>
      <c r="C131" s="77" t="s">
        <v>497</v>
      </c>
      <c r="D131" s="57" t="s">
        <v>509</v>
      </c>
      <c r="E131" s="60">
        <f>Fábrica!E131*'Mark Up '!$B$2</f>
        <v>7318.08</v>
      </c>
      <c r="F131" s="60">
        <f>Fábrica!F131*'Mark Up '!$B$3</f>
        <v>8389.92</v>
      </c>
      <c r="G131" s="60">
        <f>Fábrica!G131*'Mark Up '!$B$4</f>
        <v>9350.880000000001</v>
      </c>
    </row>
    <row r="132" spans="1:7" ht="27.75" customHeight="1" x14ac:dyDescent="0.3">
      <c r="A132" s="106" t="s">
        <v>292</v>
      </c>
      <c r="B132" s="61" t="s">
        <v>206</v>
      </c>
      <c r="C132" s="78" t="s">
        <v>321</v>
      </c>
      <c r="D132" s="61" t="s">
        <v>207</v>
      </c>
      <c r="E132" s="60">
        <f>Fábrica!E132*'Mark Up '!$B$2</f>
        <v>5470.08</v>
      </c>
      <c r="F132" s="60">
        <f>Fábrica!F132*'Mark Up '!$B$3</f>
        <v>5955.18</v>
      </c>
      <c r="G132" s="60">
        <f>Fábrica!G132*'Mark Up '!$B$4</f>
        <v>6070.68</v>
      </c>
    </row>
    <row r="133" spans="1:7" ht="27.75" customHeight="1" x14ac:dyDescent="0.3">
      <c r="A133" s="106"/>
      <c r="B133" s="61" t="s">
        <v>208</v>
      </c>
      <c r="C133" s="78" t="s">
        <v>321</v>
      </c>
      <c r="D133" s="61" t="s">
        <v>209</v>
      </c>
      <c r="E133" s="60">
        <f>Fábrica!E133*'Mark Up '!$B$2</f>
        <v>5405.4000000000005</v>
      </c>
      <c r="F133" s="60">
        <f>Fábrica!F133*'Mark Up '!$B$3</f>
        <v>5645.64</v>
      </c>
      <c r="G133" s="60">
        <f>Fábrica!G133*'Mark Up '!$B$4</f>
        <v>5848.92</v>
      </c>
    </row>
    <row r="134" spans="1:7" ht="19.5" customHeight="1" x14ac:dyDescent="0.3">
      <c r="A134" s="110" t="s">
        <v>293</v>
      </c>
      <c r="B134" s="66" t="s">
        <v>219</v>
      </c>
      <c r="C134" s="63" t="s">
        <v>322</v>
      </c>
      <c r="D134" s="57" t="s">
        <v>340</v>
      </c>
      <c r="E134" s="60">
        <f>Fábrica!E134*'Mark Up '!$B$2</f>
        <v>4841.76</v>
      </c>
      <c r="F134" s="60">
        <f>Fábrica!F134*'Mark Up '!$B$3</f>
        <v>5151.3</v>
      </c>
      <c r="G134" s="60">
        <f>Fábrica!G134*'Mark Up '!$B$4</f>
        <v>5336.1</v>
      </c>
    </row>
    <row r="135" spans="1:7" ht="19.5" customHeight="1" x14ac:dyDescent="0.3">
      <c r="A135" s="110"/>
      <c r="B135" s="66" t="s">
        <v>220</v>
      </c>
      <c r="C135" s="63" t="s">
        <v>322</v>
      </c>
      <c r="D135" s="57" t="s">
        <v>341</v>
      </c>
      <c r="E135" s="60">
        <f>Fábrica!E135*'Mark Up '!$B$2</f>
        <v>5031.18</v>
      </c>
      <c r="F135" s="60">
        <f>Fábrica!F135*'Mark Up '!$B$3</f>
        <v>5276.04</v>
      </c>
      <c r="G135" s="60">
        <f>Fábrica!G135*'Mark Up '!$B$4</f>
        <v>5451.6</v>
      </c>
    </row>
    <row r="136" spans="1:7" ht="19.5" customHeight="1" x14ac:dyDescent="0.3">
      <c r="A136" s="110"/>
      <c r="B136" s="66" t="s">
        <v>221</v>
      </c>
      <c r="C136" s="63" t="s">
        <v>322</v>
      </c>
      <c r="D136" s="57" t="s">
        <v>432</v>
      </c>
      <c r="E136" s="60">
        <f>Fábrica!E136*'Mark Up '!$B$2</f>
        <v>6865.32</v>
      </c>
      <c r="F136" s="60">
        <f>Fábrica!F136*'Mark Up '!$B$3</f>
        <v>7364.28</v>
      </c>
      <c r="G136" s="60">
        <f>Fábrica!G136*'Mark Up '!$B$4</f>
        <v>8186.64</v>
      </c>
    </row>
    <row r="137" spans="1:7" ht="19.5" customHeight="1" x14ac:dyDescent="0.3">
      <c r="A137" s="110"/>
      <c r="B137" s="66" t="s">
        <v>366</v>
      </c>
      <c r="C137" s="63" t="s">
        <v>322</v>
      </c>
      <c r="D137" s="57" t="s">
        <v>365</v>
      </c>
      <c r="E137" s="60">
        <f>Fábrica!E137*'Mark Up '!$B$2</f>
        <v>7244.16</v>
      </c>
      <c r="F137" s="60">
        <f>Fábrica!F137*'Mark Up '!$B$3</f>
        <v>8006.46</v>
      </c>
      <c r="G137" s="60">
        <f>Fábrica!G137*'Mark Up '!$B$4</f>
        <v>8875.02</v>
      </c>
    </row>
    <row r="138" spans="1:7" ht="19.5" customHeight="1" x14ac:dyDescent="0.3">
      <c r="A138" s="110"/>
      <c r="B138" s="66" t="s">
        <v>364</v>
      </c>
      <c r="C138" s="63" t="s">
        <v>322</v>
      </c>
      <c r="D138" s="57" t="s">
        <v>367</v>
      </c>
      <c r="E138" s="60">
        <f>Fábrica!E138*'Mark Up '!$B$2</f>
        <v>8034.18</v>
      </c>
      <c r="F138" s="60">
        <f>Fábrica!F138*'Mark Up '!$B$3</f>
        <v>8634.7800000000007</v>
      </c>
      <c r="G138" s="60">
        <f>Fábrica!G138*'Mark Up '!$B$4</f>
        <v>9535.68</v>
      </c>
    </row>
    <row r="139" spans="1:7" ht="19.5" customHeight="1" x14ac:dyDescent="0.3">
      <c r="A139" s="110"/>
      <c r="B139" s="66" t="s">
        <v>222</v>
      </c>
      <c r="C139" s="63" t="s">
        <v>322</v>
      </c>
      <c r="D139" s="57" t="s">
        <v>223</v>
      </c>
      <c r="E139" s="60">
        <f>Fábrica!E139*'Mark Up '!$B$2</f>
        <v>3349.5</v>
      </c>
      <c r="F139" s="60">
        <f>Fábrica!F139*'Mark Up '!$B$3</f>
        <v>3566.64</v>
      </c>
      <c r="G139" s="60">
        <f>Fábrica!G139*'Mark Up '!$B$4</f>
        <v>3793.02</v>
      </c>
    </row>
    <row r="140" spans="1:7" ht="57" customHeight="1" x14ac:dyDescent="0.3">
      <c r="A140" s="73" t="s">
        <v>294</v>
      </c>
      <c r="B140" s="57" t="s">
        <v>3</v>
      </c>
      <c r="C140" s="63" t="s">
        <v>4</v>
      </c>
      <c r="D140" s="57" t="s">
        <v>5</v>
      </c>
      <c r="E140" s="60">
        <f>Fábrica!E140*'Mark Up '!$B$2</f>
        <v>2813.58</v>
      </c>
      <c r="F140" s="60">
        <f>Fábrica!F140*'Mark Up '!$B$3</f>
        <v>3307.92</v>
      </c>
      <c r="G140" s="60">
        <f>Fábrica!G140*'Mark Up '!$B$4</f>
        <v>3446.52</v>
      </c>
    </row>
    <row r="141" spans="1:7" ht="19.5" customHeight="1" x14ac:dyDescent="0.3">
      <c r="A141" s="110" t="s">
        <v>448</v>
      </c>
      <c r="B141" s="66" t="s">
        <v>227</v>
      </c>
      <c r="C141" s="76" t="s">
        <v>381</v>
      </c>
      <c r="D141" s="66" t="s">
        <v>224</v>
      </c>
      <c r="E141" s="60">
        <f>Fábrica!E141*'Mark Up '!$B$2</f>
        <v>3173.94</v>
      </c>
      <c r="F141" s="60">
        <f>Fábrica!F141*'Mark Up '!$B$3</f>
        <v>3354.12</v>
      </c>
      <c r="G141" s="60">
        <f>Fábrica!G141*'Mark Up '!$B$4</f>
        <v>3497.34</v>
      </c>
    </row>
    <row r="142" spans="1:7" ht="19.5" customHeight="1" x14ac:dyDescent="0.3">
      <c r="A142" s="110"/>
      <c r="B142" s="66" t="s">
        <v>228</v>
      </c>
      <c r="C142" s="76" t="s">
        <v>381</v>
      </c>
      <c r="D142" s="66" t="s">
        <v>225</v>
      </c>
      <c r="E142" s="60">
        <f>Fábrica!E142*'Mark Up '!$B$2</f>
        <v>3321.78</v>
      </c>
      <c r="F142" s="60">
        <f>Fábrica!F142*'Mark Up '!$B$3</f>
        <v>3497.34</v>
      </c>
      <c r="G142" s="60">
        <f>Fábrica!G142*'Mark Up '!$B$4</f>
        <v>3640.56</v>
      </c>
    </row>
    <row r="143" spans="1:7" ht="19.5" customHeight="1" x14ac:dyDescent="0.3">
      <c r="A143" s="110"/>
      <c r="B143" s="66" t="s">
        <v>229</v>
      </c>
      <c r="C143" s="76" t="s">
        <v>381</v>
      </c>
      <c r="D143" s="66" t="s">
        <v>226</v>
      </c>
      <c r="E143" s="60">
        <f>Fábrica!E143*'Mark Up '!$B$2</f>
        <v>3404.94</v>
      </c>
      <c r="F143" s="60">
        <f>Fábrica!F143*'Mark Up '!$B$3</f>
        <v>3654.42</v>
      </c>
      <c r="G143" s="60">
        <f>Fábrica!G143*'Mark Up '!$B$4</f>
        <v>3797.64</v>
      </c>
    </row>
    <row r="144" spans="1:7" ht="20.25" customHeight="1" x14ac:dyDescent="0.3">
      <c r="A144" s="106" t="s">
        <v>295</v>
      </c>
      <c r="B144" s="61" t="s">
        <v>189</v>
      </c>
      <c r="C144" s="78" t="s">
        <v>323</v>
      </c>
      <c r="D144" s="64" t="s">
        <v>342</v>
      </c>
      <c r="E144" s="60">
        <f>Fábrica!E144*'Mark Up '!$B$2</f>
        <v>8066.52</v>
      </c>
      <c r="F144" s="60">
        <f>Fábrica!F144*'Mark Up '!$B$3</f>
        <v>9267.7199999999993</v>
      </c>
      <c r="G144" s="60">
        <f>Fábrica!G144*'Mark Up '!$B$4</f>
        <v>10311.84</v>
      </c>
    </row>
    <row r="145" spans="1:7" ht="20.25" customHeight="1" x14ac:dyDescent="0.3">
      <c r="A145" s="106"/>
      <c r="B145" s="61" t="s">
        <v>190</v>
      </c>
      <c r="C145" s="78" t="s">
        <v>323</v>
      </c>
      <c r="D145" s="64" t="s">
        <v>343</v>
      </c>
      <c r="E145" s="60">
        <f>Fábrica!E145*'Mark Up '!$B$2</f>
        <v>8357.58</v>
      </c>
      <c r="F145" s="60">
        <f>Fábrica!F145*'Mark Up '!$B$3</f>
        <v>9840.6</v>
      </c>
      <c r="G145" s="60">
        <f>Fábrica!G145*'Mark Up '!$B$4</f>
        <v>10575.18</v>
      </c>
    </row>
    <row r="146" spans="1:7" ht="20.25" customHeight="1" x14ac:dyDescent="0.3">
      <c r="A146" s="106"/>
      <c r="B146" s="61" t="s">
        <v>191</v>
      </c>
      <c r="C146" s="78" t="s">
        <v>323</v>
      </c>
      <c r="D146" s="64" t="s">
        <v>344</v>
      </c>
      <c r="E146" s="60">
        <f>Fábrica!E146*'Mark Up '!$B$2</f>
        <v>8833.44</v>
      </c>
      <c r="F146" s="60">
        <f>Fábrica!F146*'Mark Up '!$B$3</f>
        <v>10265.64</v>
      </c>
      <c r="G146" s="60">
        <f>Fábrica!G146*'Mark Up '!$B$4</f>
        <v>11185.02</v>
      </c>
    </row>
    <row r="147" spans="1:7" ht="33" customHeight="1" x14ac:dyDescent="0.3">
      <c r="A147" s="110" t="s">
        <v>316</v>
      </c>
      <c r="B147" s="66" t="s">
        <v>212</v>
      </c>
      <c r="C147" s="78" t="s">
        <v>375</v>
      </c>
      <c r="D147" s="64" t="s">
        <v>362</v>
      </c>
      <c r="E147" s="60">
        <f>Fábrica!E147*'Mark Up '!$B$2</f>
        <v>3922.38</v>
      </c>
      <c r="F147" s="60">
        <f>Fábrica!F147*'Mark Up '!$B$3</f>
        <v>4887.96</v>
      </c>
      <c r="G147" s="60">
        <f>Fábrica!G147*'Mark Up '!$B$4</f>
        <v>5271.42</v>
      </c>
    </row>
    <row r="148" spans="1:7" ht="33" customHeight="1" x14ac:dyDescent="0.3">
      <c r="A148" s="110"/>
      <c r="B148" s="66" t="s">
        <v>213</v>
      </c>
      <c r="C148" s="78" t="s">
        <v>324</v>
      </c>
      <c r="D148" s="64" t="s">
        <v>361</v>
      </c>
      <c r="E148" s="60">
        <f>Fábrica!E148*'Mark Up '!$B$2</f>
        <v>4176.4800000000005</v>
      </c>
      <c r="F148" s="60">
        <f>Fábrica!F148*'Mark Up '!$B$3</f>
        <v>5054.28</v>
      </c>
      <c r="G148" s="60">
        <f>Fábrica!G148*'Mark Up '!$B$4</f>
        <v>5456.22</v>
      </c>
    </row>
    <row r="149" spans="1:7" ht="33" customHeight="1" x14ac:dyDescent="0.3">
      <c r="A149" s="112" t="s">
        <v>316</v>
      </c>
      <c r="B149" s="61" t="s">
        <v>483</v>
      </c>
      <c r="C149" s="78" t="s">
        <v>324</v>
      </c>
      <c r="D149" s="64" t="s">
        <v>484</v>
      </c>
      <c r="E149" s="60">
        <f>Fábrica!E149*'Mark Up '!$B$2</f>
        <v>7743.12</v>
      </c>
      <c r="F149" s="60">
        <f>Fábrica!F149*'Mark Up '!$B$3</f>
        <v>8126.58</v>
      </c>
      <c r="G149" s="60">
        <f>Fábrica!G149*'Mark Up '!$B$4</f>
        <v>9110.64</v>
      </c>
    </row>
    <row r="150" spans="1:7" ht="33" customHeight="1" x14ac:dyDescent="0.3">
      <c r="A150" s="113"/>
      <c r="B150" s="61" t="s">
        <v>485</v>
      </c>
      <c r="C150" s="78" t="s">
        <v>324</v>
      </c>
      <c r="D150" s="64" t="s">
        <v>486</v>
      </c>
      <c r="E150" s="60">
        <f>Fábrica!E150*'Mark Up '!$B$2</f>
        <v>8071.14</v>
      </c>
      <c r="F150" s="60">
        <f>Fábrica!F150*'Mark Up '!$B$3</f>
        <v>8394.5400000000009</v>
      </c>
      <c r="G150" s="60">
        <f>Fábrica!G150*'Mark Up '!$B$4</f>
        <v>9614.2199999999993</v>
      </c>
    </row>
    <row r="151" spans="1:7" ht="33" customHeight="1" x14ac:dyDescent="0.3">
      <c r="A151" s="114"/>
      <c r="B151" s="61" t="s">
        <v>487</v>
      </c>
      <c r="C151" s="78" t="s">
        <v>324</v>
      </c>
      <c r="D151" s="64" t="s">
        <v>488</v>
      </c>
      <c r="E151" s="60">
        <f>Fábrica!E151*'Mark Up '!$B$2</f>
        <v>8426.880000000001</v>
      </c>
      <c r="F151" s="60">
        <f>Fábrica!F151*'Mark Up '!$B$3</f>
        <v>8676.36</v>
      </c>
      <c r="G151" s="60">
        <f>Fábrica!G151*'Mark Up '!$B$4</f>
        <v>10177.86</v>
      </c>
    </row>
    <row r="152" spans="1:7" ht="34.5" customHeight="1" x14ac:dyDescent="0.3">
      <c r="A152" s="115" t="s">
        <v>299</v>
      </c>
      <c r="B152" s="61" t="s">
        <v>232</v>
      </c>
      <c r="C152" s="76" t="s">
        <v>372</v>
      </c>
      <c r="D152" s="79" t="s">
        <v>233</v>
      </c>
      <c r="E152" s="60">
        <f>Fábrica!E152*'Mark Up '!$B$2</f>
        <v>4305.84</v>
      </c>
      <c r="F152" s="60">
        <f>Fábrica!F152*'Mark Up '!$B$3</f>
        <v>4643.1000000000004</v>
      </c>
      <c r="G152" s="60">
        <f>Fábrica!G152*'Mark Up '!$B$4</f>
        <v>4744.74</v>
      </c>
    </row>
    <row r="153" spans="1:7" ht="34.5" customHeight="1" x14ac:dyDescent="0.3">
      <c r="A153" s="116"/>
      <c r="B153" s="61" t="s">
        <v>230</v>
      </c>
      <c r="C153" s="76" t="s">
        <v>372</v>
      </c>
      <c r="D153" s="79" t="s">
        <v>231</v>
      </c>
      <c r="E153" s="60">
        <f>Fábrica!E153*'Mark Up '!$B$2</f>
        <v>4393.62</v>
      </c>
      <c r="F153" s="60">
        <f>Fábrica!F153*'Mark Up '!$B$3</f>
        <v>4795.5600000000004</v>
      </c>
      <c r="G153" s="60">
        <f>Fábrica!G153*'Mark Up '!$B$4</f>
        <v>4901.82</v>
      </c>
    </row>
    <row r="154" spans="1:7" s="52" customFormat="1" ht="84.75" customHeight="1" x14ac:dyDescent="0.4">
      <c r="A154" s="100"/>
      <c r="B154" s="101"/>
      <c r="C154" s="102" t="s">
        <v>460</v>
      </c>
      <c r="D154" s="103"/>
      <c r="E154" s="103"/>
      <c r="F154" s="103"/>
      <c r="G154" s="104"/>
    </row>
    <row r="155" spans="1:7" x14ac:dyDescent="0.3">
      <c r="A155" s="105" t="s">
        <v>245</v>
      </c>
      <c r="B155" s="105"/>
      <c r="C155" s="105"/>
      <c r="D155" s="105"/>
      <c r="E155" s="105"/>
      <c r="F155" s="105"/>
      <c r="G155" s="105"/>
    </row>
    <row r="156" spans="1:7" x14ac:dyDescent="0.3">
      <c r="A156" s="92"/>
      <c r="B156" s="92"/>
      <c r="C156" s="92"/>
      <c r="D156" s="92"/>
      <c r="E156" s="54" t="s">
        <v>247</v>
      </c>
      <c r="F156" s="54" t="s">
        <v>248</v>
      </c>
      <c r="G156" s="54" t="s">
        <v>249</v>
      </c>
    </row>
    <row r="157" spans="1:7" ht="60.75" customHeight="1" x14ac:dyDescent="0.3">
      <c r="A157" s="93" t="s">
        <v>250</v>
      </c>
      <c r="B157" s="94" t="s">
        <v>251</v>
      </c>
      <c r="C157" s="95" t="s">
        <v>252</v>
      </c>
      <c r="D157" s="96" t="s">
        <v>253</v>
      </c>
      <c r="E157" s="97" t="s">
        <v>254</v>
      </c>
      <c r="F157" s="55" t="s">
        <v>262</v>
      </c>
      <c r="G157" s="107" t="s">
        <v>256</v>
      </c>
    </row>
    <row r="158" spans="1:7" x14ac:dyDescent="0.3">
      <c r="A158" s="93"/>
      <c r="B158" s="94"/>
      <c r="C158" s="95"/>
      <c r="D158" s="96"/>
      <c r="E158" s="97"/>
      <c r="F158" s="108" t="s">
        <v>264</v>
      </c>
      <c r="G158" s="107"/>
    </row>
    <row r="159" spans="1:7" ht="80.25" customHeight="1" x14ac:dyDescent="0.3">
      <c r="A159" s="93"/>
      <c r="B159" s="94"/>
      <c r="C159" s="95"/>
      <c r="D159" s="96"/>
      <c r="E159" s="97"/>
      <c r="F159" s="108"/>
      <c r="G159" s="56" t="s">
        <v>258</v>
      </c>
    </row>
    <row r="160" spans="1:7" x14ac:dyDescent="0.3">
      <c r="A160" s="93"/>
      <c r="B160" s="94"/>
      <c r="C160" s="95"/>
      <c r="D160" s="96"/>
      <c r="E160" s="97"/>
      <c r="F160" s="108"/>
      <c r="G160" s="56" t="s">
        <v>259</v>
      </c>
    </row>
    <row r="161" spans="1:7" x14ac:dyDescent="0.3">
      <c r="A161" s="93"/>
      <c r="B161" s="94"/>
      <c r="C161" s="95"/>
      <c r="D161" s="96"/>
      <c r="E161" s="97"/>
      <c r="F161" s="108"/>
      <c r="G161" s="109" t="s">
        <v>260</v>
      </c>
    </row>
    <row r="162" spans="1:7" ht="108.75" customHeight="1" x14ac:dyDescent="0.3">
      <c r="A162" s="93"/>
      <c r="B162" s="94"/>
      <c r="C162" s="95"/>
      <c r="D162" s="96"/>
      <c r="E162" s="97"/>
      <c r="F162" s="108"/>
      <c r="G162" s="109"/>
    </row>
    <row r="163" spans="1:7" ht="23.25" customHeight="1" x14ac:dyDescent="0.3">
      <c r="A163" s="106" t="s">
        <v>300</v>
      </c>
      <c r="B163" s="61" t="s">
        <v>148</v>
      </c>
      <c r="C163" s="78" t="s">
        <v>325</v>
      </c>
      <c r="D163" s="57" t="s">
        <v>433</v>
      </c>
      <c r="E163" s="60">
        <f>Fábrica!E163*'Mark Up '!$B$2</f>
        <v>7119.42</v>
      </c>
      <c r="F163" s="60">
        <f>Fábrica!F163*'Mark Up '!$B$3</f>
        <v>7562.9400000000005</v>
      </c>
      <c r="G163" s="60">
        <f>Fábrica!G163*'Mark Up '!$B$4</f>
        <v>8006.46</v>
      </c>
    </row>
    <row r="164" spans="1:7" ht="23.25" customHeight="1" x14ac:dyDescent="0.3">
      <c r="A164" s="106"/>
      <c r="B164" s="61" t="s">
        <v>149</v>
      </c>
      <c r="C164" s="78" t="s">
        <v>325</v>
      </c>
      <c r="D164" s="57" t="s">
        <v>434</v>
      </c>
      <c r="E164" s="60">
        <f>Fábrica!E164*'Mark Up '!$B$2</f>
        <v>7544.46</v>
      </c>
      <c r="F164" s="60">
        <f>Fábrica!F164*'Mark Up '!$B$3</f>
        <v>8015.7</v>
      </c>
      <c r="G164" s="60">
        <f>Fábrica!G164*'Mark Up '!$B$4</f>
        <v>8523.9</v>
      </c>
    </row>
    <row r="165" spans="1:7" ht="23.25" customHeight="1" x14ac:dyDescent="0.3">
      <c r="A165" s="106"/>
      <c r="B165" s="61" t="s">
        <v>150</v>
      </c>
      <c r="C165" s="78" t="s">
        <v>325</v>
      </c>
      <c r="D165" s="57" t="s">
        <v>435</v>
      </c>
      <c r="E165" s="60">
        <f>Fábrica!E165*'Mark Up '!$B$2</f>
        <v>8149.68</v>
      </c>
      <c r="F165" s="60">
        <f>Fábrica!F165*'Mark Up '!$B$3</f>
        <v>8496.18</v>
      </c>
      <c r="G165" s="60">
        <f>Fábrica!G165*'Mark Up '!$B$4</f>
        <v>9489.48</v>
      </c>
    </row>
    <row r="166" spans="1:7" ht="57.75" customHeight="1" x14ac:dyDescent="0.3">
      <c r="A166" s="74" t="s">
        <v>301</v>
      </c>
      <c r="B166" s="61" t="s">
        <v>210</v>
      </c>
      <c r="C166" s="80" t="s">
        <v>382</v>
      </c>
      <c r="D166" s="64" t="s">
        <v>211</v>
      </c>
      <c r="E166" s="60">
        <f>Fábrica!E166*'Mark Up '!$B$2</f>
        <v>5188.26</v>
      </c>
      <c r="F166" s="60">
        <f>Fábrica!F166*'Mark Up '!$B$3</f>
        <v>6675.9000000000005</v>
      </c>
      <c r="G166" s="60">
        <f>Fábrica!G166*'Mark Up '!$B$4</f>
        <v>8029.56</v>
      </c>
    </row>
    <row r="167" spans="1:7" ht="24.75" customHeight="1" x14ac:dyDescent="0.3">
      <c r="A167" s="106" t="s">
        <v>302</v>
      </c>
      <c r="B167" s="61" t="s">
        <v>124</v>
      </c>
      <c r="C167" s="78" t="s">
        <v>125</v>
      </c>
      <c r="D167" s="61" t="s">
        <v>126</v>
      </c>
      <c r="E167" s="60">
        <f>Fábrica!E167*'Mark Up '!$B$2</f>
        <v>8436.1200000000008</v>
      </c>
      <c r="F167" s="60">
        <f>Fábrica!F167*'Mark Up '!$B$3</f>
        <v>9535.68</v>
      </c>
      <c r="G167" s="60">
        <f>Fábrica!G167*'Mark Up '!$B$4</f>
        <v>11074.14</v>
      </c>
    </row>
    <row r="168" spans="1:7" ht="24.75" customHeight="1" x14ac:dyDescent="0.3">
      <c r="A168" s="106"/>
      <c r="B168" s="61" t="s">
        <v>127</v>
      </c>
      <c r="C168" s="78" t="s">
        <v>125</v>
      </c>
      <c r="D168" s="61" t="s">
        <v>128</v>
      </c>
      <c r="E168" s="60">
        <f>Fábrica!E168*'Mark Up '!$B$2</f>
        <v>9817.5</v>
      </c>
      <c r="F168" s="60">
        <f>Fábrica!F168*'Mark Up '!$B$3</f>
        <v>10561.32</v>
      </c>
      <c r="G168" s="60">
        <f>Fábrica!G168*'Mark Up '!$B$4</f>
        <v>12714.24</v>
      </c>
    </row>
    <row r="169" spans="1:7" ht="24.75" customHeight="1" x14ac:dyDescent="0.3">
      <c r="A169" s="106"/>
      <c r="B169" s="61" t="s">
        <v>129</v>
      </c>
      <c r="C169" s="78" t="s">
        <v>125</v>
      </c>
      <c r="D169" s="61" t="s">
        <v>345</v>
      </c>
      <c r="E169" s="60">
        <f>Fábrica!E169*'Mark Up '!$B$2</f>
        <v>11670.12</v>
      </c>
      <c r="F169" s="60">
        <f>Fábrica!F169*'Mark Up '!$B$3</f>
        <v>12871.32</v>
      </c>
      <c r="G169" s="60">
        <f>Fábrica!G169*'Mark Up '!$B$4</f>
        <v>15869.7</v>
      </c>
    </row>
    <row r="170" spans="1:7" ht="22.5" customHeight="1" x14ac:dyDescent="0.3">
      <c r="A170" s="106" t="s">
        <v>286</v>
      </c>
      <c r="B170" s="61" t="s">
        <v>185</v>
      </c>
      <c r="C170" s="63" t="s">
        <v>383</v>
      </c>
      <c r="D170" s="57" t="s">
        <v>436</v>
      </c>
      <c r="E170" s="60">
        <f>Fábrica!E170*'Mark Up '!$B$2</f>
        <v>6694.38</v>
      </c>
      <c r="F170" s="60">
        <f>Fábrica!F170*'Mark Up '!$B$3</f>
        <v>6939.24</v>
      </c>
      <c r="G170" s="60">
        <f>Fábrica!G170*'Mark Up '!$B$4</f>
        <v>7447.4400000000005</v>
      </c>
    </row>
    <row r="171" spans="1:7" ht="22.5" customHeight="1" x14ac:dyDescent="0.3">
      <c r="A171" s="106"/>
      <c r="B171" s="61" t="s">
        <v>186</v>
      </c>
      <c r="C171" s="63" t="s">
        <v>383</v>
      </c>
      <c r="D171" s="57" t="s">
        <v>437</v>
      </c>
      <c r="E171" s="60">
        <f>Fábrica!E171*'Mark Up '!$B$2</f>
        <v>7040.88</v>
      </c>
      <c r="F171" s="60">
        <f>Fábrica!F171*'Mark Up '!$B$3</f>
        <v>7336.56</v>
      </c>
      <c r="G171" s="60">
        <f>Fábrica!G171*'Mark Up '!$B$4</f>
        <v>7775.46</v>
      </c>
    </row>
    <row r="172" spans="1:7" ht="22.5" customHeight="1" x14ac:dyDescent="0.3">
      <c r="A172" s="106"/>
      <c r="B172" s="61" t="s">
        <v>187</v>
      </c>
      <c r="C172" s="63" t="s">
        <v>383</v>
      </c>
      <c r="D172" s="57" t="s">
        <v>438</v>
      </c>
      <c r="E172" s="60">
        <f>Fábrica!E172*'Mark Up '!$B$2</f>
        <v>7530.6</v>
      </c>
      <c r="F172" s="60">
        <f>Fábrica!F172*'Mark Up '!$B$3</f>
        <v>7812.42</v>
      </c>
      <c r="G172" s="60">
        <f>Fábrica!G172*'Mark Up '!$B$4</f>
        <v>8274.42</v>
      </c>
    </row>
    <row r="173" spans="1:7" ht="22.5" customHeight="1" x14ac:dyDescent="0.3">
      <c r="A173" s="106"/>
      <c r="B173" s="61" t="s">
        <v>188</v>
      </c>
      <c r="C173" s="63" t="s">
        <v>383</v>
      </c>
      <c r="D173" s="57" t="s">
        <v>439</v>
      </c>
      <c r="E173" s="60">
        <f>Fábrica!E173*'Mark Up '!$B$2</f>
        <v>7826.28</v>
      </c>
      <c r="F173" s="60">
        <f>Fábrica!F173*'Mark Up '!$B$3</f>
        <v>8071.14</v>
      </c>
      <c r="G173" s="60">
        <f>Fábrica!G173*'Mark Up '!$B$4</f>
        <v>8463.84</v>
      </c>
    </row>
    <row r="174" spans="1:7" ht="22.5" customHeight="1" x14ac:dyDescent="0.3">
      <c r="A174" s="110" t="s">
        <v>303</v>
      </c>
      <c r="B174" s="66" t="s">
        <v>102</v>
      </c>
      <c r="C174" s="81" t="s">
        <v>397</v>
      </c>
      <c r="D174" s="57" t="s">
        <v>440</v>
      </c>
      <c r="E174" s="60">
        <f>Fábrica!E174*'Mark Up '!$B$2</f>
        <v>7419.72</v>
      </c>
      <c r="F174" s="60">
        <f>Fábrica!F174*'Mark Up '!$B$3</f>
        <v>7595.28</v>
      </c>
      <c r="G174" s="60">
        <f>Fábrica!G174*'Mark Up '!$B$4</f>
        <v>7937.16</v>
      </c>
    </row>
    <row r="175" spans="1:7" ht="22.5" customHeight="1" x14ac:dyDescent="0.3">
      <c r="A175" s="110"/>
      <c r="B175" s="66" t="s">
        <v>103</v>
      </c>
      <c r="C175" s="81" t="s">
        <v>397</v>
      </c>
      <c r="D175" s="57" t="s">
        <v>441</v>
      </c>
      <c r="E175" s="60">
        <f>Fábrica!E175*'Mark Up '!$B$2</f>
        <v>7724.64</v>
      </c>
      <c r="F175" s="60">
        <f>Fábrica!F175*'Mark Up '!$B$3</f>
        <v>7886.34</v>
      </c>
      <c r="G175" s="60">
        <f>Fábrica!G175*'Mark Up '!$B$4</f>
        <v>8214.36</v>
      </c>
    </row>
    <row r="176" spans="1:7" ht="22.5" customHeight="1" x14ac:dyDescent="0.3">
      <c r="A176" s="110"/>
      <c r="B176" s="66" t="s">
        <v>104</v>
      </c>
      <c r="C176" s="81" t="s">
        <v>397</v>
      </c>
      <c r="D176" s="57" t="s">
        <v>442</v>
      </c>
      <c r="E176" s="60">
        <f>Fábrica!E176*'Mark Up '!$B$2</f>
        <v>8029.56</v>
      </c>
      <c r="F176" s="60">
        <f>Fábrica!F176*'Mark Up '!$B$3</f>
        <v>8246.7000000000007</v>
      </c>
      <c r="G176" s="60">
        <f>Fábrica!G176*'Mark Up '!$B$4</f>
        <v>8597.82</v>
      </c>
    </row>
    <row r="177" spans="1:7" ht="22.5" customHeight="1" x14ac:dyDescent="0.3">
      <c r="A177" s="110"/>
      <c r="B177" s="66" t="s">
        <v>105</v>
      </c>
      <c r="C177" s="81" t="s">
        <v>397</v>
      </c>
      <c r="D177" s="57" t="s">
        <v>443</v>
      </c>
      <c r="E177" s="60">
        <f>Fábrica!E177*'Mark Up '!$B$2</f>
        <v>8588.58</v>
      </c>
      <c r="F177" s="60">
        <f>Fábrica!F177*'Mark Up '!$B$3</f>
        <v>8819.58</v>
      </c>
      <c r="G177" s="60">
        <f>Fábrica!G177*'Mark Up '!$B$4</f>
        <v>9230.76</v>
      </c>
    </row>
    <row r="178" spans="1:7" ht="33.75" customHeight="1" x14ac:dyDescent="0.3">
      <c r="A178" s="106" t="s">
        <v>304</v>
      </c>
      <c r="B178" s="61" t="s">
        <v>234</v>
      </c>
      <c r="C178" s="77" t="s">
        <v>326</v>
      </c>
      <c r="D178" s="57" t="s">
        <v>510</v>
      </c>
      <c r="E178" s="60">
        <f>Fábrica!E178*'Mark Up '!$B$2</f>
        <v>5691.84</v>
      </c>
      <c r="F178" s="60">
        <f>Fábrica!F178*'Mark Up '!$B$3</f>
        <v>5964.42</v>
      </c>
      <c r="G178" s="60">
        <f>Fábrica!G178*'Mark Up '!$B$4</f>
        <v>6181.56</v>
      </c>
    </row>
    <row r="179" spans="1:7" ht="33.75" customHeight="1" x14ac:dyDescent="0.3">
      <c r="A179" s="106"/>
      <c r="B179" s="61" t="s">
        <v>235</v>
      </c>
      <c r="C179" s="77" t="s">
        <v>326</v>
      </c>
      <c r="D179" s="61" t="s">
        <v>236</v>
      </c>
      <c r="E179" s="60">
        <f>Fábrica!E179*'Mark Up '!$B$2</f>
        <v>5567.1</v>
      </c>
      <c r="F179" s="60">
        <f>Fábrica!F179*'Mark Up '!$B$3</f>
        <v>5844.3</v>
      </c>
      <c r="G179" s="60">
        <f>Fábrica!G179*'Mark Up '!$B$4</f>
        <v>6061.4400000000005</v>
      </c>
    </row>
    <row r="180" spans="1:7" ht="32.25" customHeight="1" x14ac:dyDescent="0.3">
      <c r="A180" s="106" t="s">
        <v>305</v>
      </c>
      <c r="B180" s="66" t="s">
        <v>297</v>
      </c>
      <c r="C180" s="77" t="s">
        <v>296</v>
      </c>
      <c r="D180" s="61" t="s">
        <v>1</v>
      </c>
      <c r="E180" s="60">
        <f>Fábrica!E180*'Mark Up '!$B$2</f>
        <v>6116.88</v>
      </c>
      <c r="F180" s="60">
        <f>Fábrica!F180*'Mark Up '!$B$3</f>
        <v>7826.28</v>
      </c>
      <c r="G180" s="60">
        <f>Fábrica!G180*'Mark Up '!$B$4</f>
        <v>8385.3000000000011</v>
      </c>
    </row>
    <row r="181" spans="1:7" ht="32.25" customHeight="1" x14ac:dyDescent="0.3">
      <c r="A181" s="106"/>
      <c r="B181" s="66" t="s">
        <v>298</v>
      </c>
      <c r="C181" s="77" t="s">
        <v>0</v>
      </c>
      <c r="D181" s="61" t="s">
        <v>2</v>
      </c>
      <c r="E181" s="60">
        <f>Fábrica!E181*'Mark Up '!$B$2</f>
        <v>6930</v>
      </c>
      <c r="F181" s="60">
        <f>Fábrica!F181*'Mark Up '!$B$3</f>
        <v>8875.02</v>
      </c>
      <c r="G181" s="60">
        <f>Fábrica!G181*'Mark Up '!$B$4</f>
        <v>9434.0400000000009</v>
      </c>
    </row>
    <row r="182" spans="1:7" ht="22.5" customHeight="1" x14ac:dyDescent="0.3">
      <c r="A182" s="115" t="s">
        <v>273</v>
      </c>
      <c r="B182" s="61" t="s">
        <v>140</v>
      </c>
      <c r="C182" s="78" t="s">
        <v>327</v>
      </c>
      <c r="D182" s="64" t="s">
        <v>141</v>
      </c>
      <c r="E182" s="60">
        <f>Fábrica!E182*'Mark Up '!$B$2</f>
        <v>5895.12</v>
      </c>
      <c r="F182" s="60">
        <f>Fábrica!F182*'Mark Up '!$B$3</f>
        <v>6625.08</v>
      </c>
      <c r="G182" s="60">
        <f>Fábrica!G182*'Mark Up '!$B$4</f>
        <v>6851.46</v>
      </c>
    </row>
    <row r="183" spans="1:7" ht="22.5" customHeight="1" x14ac:dyDescent="0.3">
      <c r="A183" s="117"/>
      <c r="B183" s="61" t="s">
        <v>138</v>
      </c>
      <c r="C183" s="78" t="s">
        <v>327</v>
      </c>
      <c r="D183" s="64" t="s">
        <v>139</v>
      </c>
      <c r="E183" s="60">
        <f>Fábrica!E183*'Mark Up '!$B$2</f>
        <v>6879.18</v>
      </c>
      <c r="F183" s="60">
        <f>Fábrica!F183*'Mark Up '!$B$3</f>
        <v>7479.78</v>
      </c>
      <c r="G183" s="60">
        <f>Fábrica!G183*'Mark Up '!$B$4</f>
        <v>7706.16</v>
      </c>
    </row>
    <row r="184" spans="1:7" ht="22.5" customHeight="1" x14ac:dyDescent="0.3">
      <c r="A184" s="117"/>
      <c r="B184" s="61" t="s">
        <v>136</v>
      </c>
      <c r="C184" s="78" t="s">
        <v>327</v>
      </c>
      <c r="D184" s="64" t="s">
        <v>137</v>
      </c>
      <c r="E184" s="60">
        <f>Fábrica!E184*'Mark Up '!$B$2</f>
        <v>7017.78</v>
      </c>
      <c r="F184" s="60">
        <f>Fábrica!F184*'Mark Up '!$B$3</f>
        <v>7618.38</v>
      </c>
      <c r="G184" s="60">
        <f>Fábrica!G184*'Mark Up '!$B$4</f>
        <v>7844.76</v>
      </c>
    </row>
    <row r="185" spans="1:7" ht="22.5" customHeight="1" x14ac:dyDescent="0.3">
      <c r="A185" s="117"/>
      <c r="B185" s="61" t="s">
        <v>134</v>
      </c>
      <c r="C185" s="78" t="s">
        <v>327</v>
      </c>
      <c r="D185" s="64" t="s">
        <v>135</v>
      </c>
      <c r="E185" s="60">
        <f>Fábrica!E185*'Mark Up '!$B$2</f>
        <v>8200.5</v>
      </c>
      <c r="F185" s="60">
        <f>Fábrica!F185*'Mark Up '!$B$3</f>
        <v>8685.6</v>
      </c>
      <c r="G185" s="60">
        <f>Fábrica!G185*'Mark Up '!$B$4</f>
        <v>9184.56</v>
      </c>
    </row>
    <row r="186" spans="1:7" ht="22.5" customHeight="1" x14ac:dyDescent="0.3">
      <c r="A186" s="117"/>
      <c r="B186" s="61" t="s">
        <v>132</v>
      </c>
      <c r="C186" s="78" t="s">
        <v>327</v>
      </c>
      <c r="D186" s="64" t="s">
        <v>133</v>
      </c>
      <c r="E186" s="60">
        <f>Fábrica!E186*'Mark Up '!$B$2</f>
        <v>8486.94</v>
      </c>
      <c r="F186" s="60">
        <f>Fábrica!F186*'Mark Up '!$B$3</f>
        <v>8870.4</v>
      </c>
      <c r="G186" s="60">
        <f>Fábrica!G186*'Mark Up '!$B$4</f>
        <v>9327.7800000000007</v>
      </c>
    </row>
    <row r="187" spans="1:7" ht="22.5" customHeight="1" x14ac:dyDescent="0.3">
      <c r="A187" s="116"/>
      <c r="B187" s="61" t="s">
        <v>130</v>
      </c>
      <c r="C187" s="78" t="s">
        <v>327</v>
      </c>
      <c r="D187" s="64" t="s">
        <v>131</v>
      </c>
      <c r="E187" s="60">
        <f>Fábrica!E187*'Mark Up '!$B$2</f>
        <v>9581.880000000001</v>
      </c>
      <c r="F187" s="60">
        <f>Fábrica!F187*'Mark Up '!$B$3</f>
        <v>10339.56</v>
      </c>
      <c r="G187" s="60">
        <f>Fábrica!G187*'Mark Up '!$B$4</f>
        <v>10861.62</v>
      </c>
    </row>
    <row r="188" spans="1:7" ht="36" customHeight="1" x14ac:dyDescent="0.3">
      <c r="A188" s="106" t="s">
        <v>306</v>
      </c>
      <c r="B188" s="61" t="s">
        <v>106</v>
      </c>
      <c r="C188" s="82" t="s">
        <v>384</v>
      </c>
      <c r="D188" s="79" t="s">
        <v>107</v>
      </c>
      <c r="E188" s="60">
        <f>Fábrica!E188*'Mark Up '!$B$2</f>
        <v>6329.4000000000005</v>
      </c>
      <c r="F188" s="60">
        <f>Fábrica!F188*'Mark Up '!$B$3</f>
        <v>6856.08</v>
      </c>
      <c r="G188" s="60">
        <f>Fábrica!G188*'Mark Up '!$B$4</f>
        <v>7798.56</v>
      </c>
    </row>
    <row r="189" spans="1:7" ht="36" customHeight="1" x14ac:dyDescent="0.3">
      <c r="A189" s="106"/>
      <c r="B189" s="61" t="s">
        <v>108</v>
      </c>
      <c r="C189" s="82" t="s">
        <v>384</v>
      </c>
      <c r="D189" s="79" t="s">
        <v>109</v>
      </c>
      <c r="E189" s="60">
        <f>Fábrica!E189*'Mark Up '!$B$2</f>
        <v>5507.04</v>
      </c>
      <c r="F189" s="60">
        <f>Fábrica!F189*'Mark Up '!$B$3</f>
        <v>6370.9800000000005</v>
      </c>
      <c r="G189" s="60">
        <f>Fábrica!G189*'Mark Up '!$B$4</f>
        <v>7105.56</v>
      </c>
    </row>
    <row r="190" spans="1:7" s="52" customFormat="1" ht="84.75" customHeight="1" x14ac:dyDescent="0.4">
      <c r="A190" s="100"/>
      <c r="B190" s="101"/>
      <c r="C190" s="102" t="s">
        <v>461</v>
      </c>
      <c r="D190" s="103"/>
      <c r="E190" s="103"/>
      <c r="F190" s="103"/>
      <c r="G190" s="104"/>
    </row>
    <row r="191" spans="1:7" x14ac:dyDescent="0.3">
      <c r="A191" s="105" t="s">
        <v>265</v>
      </c>
      <c r="B191" s="105"/>
      <c r="C191" s="105"/>
      <c r="D191" s="105"/>
      <c r="E191" s="105"/>
      <c r="F191" s="105"/>
      <c r="G191" s="105"/>
    </row>
    <row r="192" spans="1:7" x14ac:dyDescent="0.3">
      <c r="A192" s="105" t="s">
        <v>266</v>
      </c>
      <c r="B192" s="105"/>
      <c r="C192" s="105"/>
      <c r="D192" s="105"/>
      <c r="E192" s="105"/>
      <c r="F192" s="105"/>
      <c r="G192" s="105"/>
    </row>
    <row r="193" spans="1:7" x14ac:dyDescent="0.3">
      <c r="A193" s="105" t="s">
        <v>267</v>
      </c>
      <c r="B193" s="105"/>
      <c r="C193" s="105"/>
      <c r="D193" s="105"/>
      <c r="E193" s="105"/>
      <c r="F193" s="105"/>
      <c r="G193" s="105"/>
    </row>
    <row r="194" spans="1:7" x14ac:dyDescent="0.3">
      <c r="A194" s="105" t="s">
        <v>268</v>
      </c>
      <c r="B194" s="105"/>
      <c r="C194" s="105"/>
      <c r="D194" s="105"/>
      <c r="E194" s="105"/>
      <c r="F194" s="105"/>
      <c r="G194" s="105"/>
    </row>
    <row r="195" spans="1:7" x14ac:dyDescent="0.3">
      <c r="A195" s="92"/>
      <c r="B195" s="92"/>
      <c r="C195" s="92"/>
      <c r="D195" s="92"/>
      <c r="E195" s="54" t="s">
        <v>247</v>
      </c>
      <c r="F195" s="54" t="s">
        <v>248</v>
      </c>
      <c r="G195" s="54" t="s">
        <v>249</v>
      </c>
    </row>
    <row r="196" spans="1:7" ht="60.75" customHeight="1" x14ac:dyDescent="0.3">
      <c r="A196" s="93" t="s">
        <v>250</v>
      </c>
      <c r="B196" s="94" t="s">
        <v>251</v>
      </c>
      <c r="C196" s="95" t="s">
        <v>252</v>
      </c>
      <c r="D196" s="96" t="s">
        <v>253</v>
      </c>
      <c r="E196" s="97" t="s">
        <v>254</v>
      </c>
      <c r="F196" s="55" t="s">
        <v>262</v>
      </c>
      <c r="G196" s="107" t="s">
        <v>256</v>
      </c>
    </row>
    <row r="197" spans="1:7" x14ac:dyDescent="0.3">
      <c r="A197" s="93"/>
      <c r="B197" s="94"/>
      <c r="C197" s="95"/>
      <c r="D197" s="96"/>
      <c r="E197" s="97"/>
      <c r="F197" s="108" t="s">
        <v>264</v>
      </c>
      <c r="G197" s="107"/>
    </row>
    <row r="198" spans="1:7" ht="88.5" customHeight="1" x14ac:dyDescent="0.3">
      <c r="A198" s="93"/>
      <c r="B198" s="94"/>
      <c r="C198" s="95"/>
      <c r="D198" s="96"/>
      <c r="E198" s="97"/>
      <c r="F198" s="108"/>
      <c r="G198" s="56" t="s">
        <v>258</v>
      </c>
    </row>
    <row r="199" spans="1:7" x14ac:dyDescent="0.3">
      <c r="A199" s="93"/>
      <c r="B199" s="94"/>
      <c r="C199" s="95"/>
      <c r="D199" s="96"/>
      <c r="E199" s="97"/>
      <c r="F199" s="108"/>
      <c r="G199" s="56" t="s">
        <v>259</v>
      </c>
    </row>
    <row r="200" spans="1:7" x14ac:dyDescent="0.3">
      <c r="A200" s="93"/>
      <c r="B200" s="94"/>
      <c r="C200" s="95"/>
      <c r="D200" s="96"/>
      <c r="E200" s="97"/>
      <c r="F200" s="108"/>
      <c r="G200" s="109" t="s">
        <v>260</v>
      </c>
    </row>
    <row r="201" spans="1:7" ht="99" customHeight="1" x14ac:dyDescent="0.3">
      <c r="A201" s="93"/>
      <c r="B201" s="94"/>
      <c r="C201" s="95"/>
      <c r="D201" s="96"/>
      <c r="E201" s="97"/>
      <c r="F201" s="108"/>
      <c r="G201" s="109"/>
    </row>
    <row r="202" spans="1:7" ht="21.75" customHeight="1" x14ac:dyDescent="0.3">
      <c r="A202" s="106" t="s">
        <v>307</v>
      </c>
      <c r="B202" s="61" t="s">
        <v>237</v>
      </c>
      <c r="C202" s="83" t="s">
        <v>385</v>
      </c>
      <c r="D202" s="61" t="s">
        <v>238</v>
      </c>
      <c r="E202" s="60" t="s">
        <v>317</v>
      </c>
      <c r="F202" s="60">
        <f>Fábrica!F202*'Mark Up '!$B$3</f>
        <v>20378.82</v>
      </c>
      <c r="G202" s="60">
        <f>Fábrica!G202*'Mark Up '!$B$4</f>
        <v>21653.94</v>
      </c>
    </row>
    <row r="203" spans="1:7" ht="21.75" customHeight="1" x14ac:dyDescent="0.3">
      <c r="A203" s="106"/>
      <c r="B203" s="61" t="s">
        <v>239</v>
      </c>
      <c r="C203" s="83" t="s">
        <v>385</v>
      </c>
      <c r="D203" s="61" t="s">
        <v>240</v>
      </c>
      <c r="E203" s="60" t="s">
        <v>317</v>
      </c>
      <c r="F203" s="60">
        <f>Fábrica!F203*'Mark Up '!$B$3</f>
        <v>22212.959999999999</v>
      </c>
      <c r="G203" s="60">
        <f>Fábrica!G203*'Mark Up '!$B$4</f>
        <v>23095.38</v>
      </c>
    </row>
    <row r="204" spans="1:7" ht="21.75" customHeight="1" x14ac:dyDescent="0.3">
      <c r="A204" s="106"/>
      <c r="B204" s="61" t="s">
        <v>241</v>
      </c>
      <c r="C204" s="83" t="s">
        <v>385</v>
      </c>
      <c r="D204" s="61" t="s">
        <v>242</v>
      </c>
      <c r="E204" s="60" t="s">
        <v>317</v>
      </c>
      <c r="F204" s="60">
        <f>Fábrica!F204*'Mark Up '!$B$3</f>
        <v>24079.440000000002</v>
      </c>
      <c r="G204" s="60">
        <f>Fábrica!G204*'Mark Up '!$B$4</f>
        <v>25594.799999999999</v>
      </c>
    </row>
    <row r="205" spans="1:7" ht="21.75" customHeight="1" x14ac:dyDescent="0.3">
      <c r="A205" s="106"/>
      <c r="B205" s="61" t="s">
        <v>243</v>
      </c>
      <c r="C205" s="83" t="s">
        <v>385</v>
      </c>
      <c r="D205" s="61" t="s">
        <v>244</v>
      </c>
      <c r="E205" s="60" t="s">
        <v>317</v>
      </c>
      <c r="F205" s="60">
        <f>Fábrica!F205*'Mark Up '!$B$3</f>
        <v>28819.56</v>
      </c>
      <c r="G205" s="60">
        <f>Fábrica!G205*'Mark Up '!$B$4</f>
        <v>31221.96</v>
      </c>
    </row>
    <row r="206" spans="1:7" ht="21.75" customHeight="1" x14ac:dyDescent="0.3">
      <c r="A206" s="115" t="s">
        <v>278</v>
      </c>
      <c r="B206" s="84" t="s">
        <v>464</v>
      </c>
      <c r="C206" s="82" t="s">
        <v>491</v>
      </c>
      <c r="D206" s="79" t="s">
        <v>9</v>
      </c>
      <c r="E206" s="60">
        <f>Fábrica!E206*'Mark Up '!$B$2</f>
        <v>21621.600000000002</v>
      </c>
      <c r="F206" s="60">
        <f>Fábrica!F206*'Mark Up '!$B$3</f>
        <v>22966.02</v>
      </c>
      <c r="G206" s="60">
        <f>Fábrica!G206*'Mark Up '!$B$4</f>
        <v>26218.5</v>
      </c>
    </row>
    <row r="207" spans="1:7" ht="21.75" customHeight="1" x14ac:dyDescent="0.3">
      <c r="A207" s="117"/>
      <c r="B207" s="84" t="s">
        <v>465</v>
      </c>
      <c r="C207" s="82" t="s">
        <v>491</v>
      </c>
      <c r="D207" s="61" t="s">
        <v>466</v>
      </c>
      <c r="E207" s="60">
        <f>Fábrica!E207*'Mark Up '!$B$2</f>
        <v>24629.22</v>
      </c>
      <c r="F207" s="60">
        <f>Fábrica!F207*'Mark Up '!$B$3</f>
        <v>26223.119999999999</v>
      </c>
      <c r="G207" s="60">
        <f>Fábrica!G207*'Mark Up '!$B$4</f>
        <v>29923.74</v>
      </c>
    </row>
    <row r="208" spans="1:7" ht="21.75" customHeight="1" x14ac:dyDescent="0.3">
      <c r="A208" s="117"/>
      <c r="B208" s="84" t="s">
        <v>467</v>
      </c>
      <c r="C208" s="82" t="s">
        <v>491</v>
      </c>
      <c r="D208" s="61" t="s">
        <v>13</v>
      </c>
      <c r="E208" s="60">
        <f>Fábrica!E208*'Mark Up '!$B$2</f>
        <v>25118.940000000002</v>
      </c>
      <c r="F208" s="60">
        <f>Fábrica!F208*'Mark Up '!$B$3</f>
        <v>27415.08</v>
      </c>
      <c r="G208" s="60">
        <f>Fábrica!G208*'Mark Up '!$B$4</f>
        <v>31919.58</v>
      </c>
    </row>
    <row r="209" spans="1:8" ht="21.75" customHeight="1" x14ac:dyDescent="0.3">
      <c r="A209" s="117"/>
      <c r="B209" s="84" t="s">
        <v>468</v>
      </c>
      <c r="C209" s="82" t="s">
        <v>491</v>
      </c>
      <c r="D209" s="79" t="s">
        <v>39</v>
      </c>
      <c r="E209" s="60">
        <f>Fábrica!E209*'Mark Up '!$B$2</f>
        <v>29115.24</v>
      </c>
      <c r="F209" s="60">
        <f>Fábrica!F209*'Mark Up '!$B$3</f>
        <v>31452.959999999999</v>
      </c>
      <c r="G209" s="60">
        <f>Fábrica!G209*'Mark Up '!$B$4</f>
        <v>36839.879999999997</v>
      </c>
    </row>
    <row r="210" spans="1:8" ht="21.75" customHeight="1" x14ac:dyDescent="0.3">
      <c r="A210" s="117"/>
      <c r="B210" s="84" t="s">
        <v>469</v>
      </c>
      <c r="C210" s="82" t="s">
        <v>491</v>
      </c>
      <c r="D210" s="79" t="s">
        <v>17</v>
      </c>
      <c r="E210" s="60">
        <f>Fábrica!E210*'Mark Up '!$B$2</f>
        <v>35495.46</v>
      </c>
      <c r="F210" s="60">
        <f>Fábrica!F210*'Mark Up '!$B$3</f>
        <v>40919.340000000004</v>
      </c>
      <c r="G210" s="60">
        <f>Fábrica!G210*'Mark Up '!$B$4</f>
        <v>46980.78</v>
      </c>
    </row>
    <row r="211" spans="1:8" ht="21.75" customHeight="1" x14ac:dyDescent="0.3">
      <c r="A211" s="116"/>
      <c r="B211" s="84" t="s">
        <v>470</v>
      </c>
      <c r="C211" s="82" t="s">
        <v>491</v>
      </c>
      <c r="D211" s="79" t="s">
        <v>19</v>
      </c>
      <c r="E211" s="60">
        <f>Fábrica!E211*'Mark Up '!$B$2</f>
        <v>36585.78</v>
      </c>
      <c r="F211" s="60">
        <f>Fábrica!F211*'Mark Up '!$B$3</f>
        <v>41820.239999999998</v>
      </c>
      <c r="G211" s="60">
        <f>Fábrica!G211*'Mark Up '!$B$4</f>
        <v>48084.959999999999</v>
      </c>
    </row>
    <row r="212" spans="1:8" ht="39" customHeight="1" x14ac:dyDescent="0.3">
      <c r="A212" s="106" t="s">
        <v>278</v>
      </c>
      <c r="B212" s="61" t="s">
        <v>118</v>
      </c>
      <c r="C212" s="83" t="s">
        <v>328</v>
      </c>
      <c r="D212" s="61" t="s">
        <v>454</v>
      </c>
      <c r="E212" s="60">
        <f>Fábrica!E212*'Mark Up '!$B$2</f>
        <v>9267.7199999999993</v>
      </c>
      <c r="F212" s="60">
        <f>Fábrica!F212*'Mark Up '!$B$3</f>
        <v>10482.780000000001</v>
      </c>
      <c r="G212" s="60">
        <f>Fábrica!G212*'Mark Up '!$B$4</f>
        <v>11198.880000000001</v>
      </c>
    </row>
    <row r="213" spans="1:8" ht="39" customHeight="1" x14ac:dyDescent="0.3">
      <c r="A213" s="106"/>
      <c r="B213" s="61" t="s">
        <v>119</v>
      </c>
      <c r="C213" s="83" t="s">
        <v>328</v>
      </c>
      <c r="D213" s="61" t="s">
        <v>455</v>
      </c>
      <c r="E213" s="60">
        <f>Fábrica!E213*'Mark Up '!$B$2</f>
        <v>9738.9600000000009</v>
      </c>
      <c r="F213" s="60">
        <f>Fábrica!F213*'Mark Up '!$B$3</f>
        <v>10954.02</v>
      </c>
      <c r="G213" s="60">
        <f>Fábrica!G213*'Mark Up '!$B$4</f>
        <v>12224.52</v>
      </c>
    </row>
    <row r="214" spans="1:8" ht="21.75" customHeight="1" x14ac:dyDescent="0.3">
      <c r="A214" s="118" t="s">
        <v>490</v>
      </c>
      <c r="B214" s="61" t="s">
        <v>450</v>
      </c>
      <c r="C214" s="83" t="s">
        <v>482</v>
      </c>
      <c r="D214" s="61" t="s">
        <v>238</v>
      </c>
      <c r="E214" s="60">
        <f>Fábrica!E214*'Mark Up '!$B$2</f>
        <v>15578.640000000001</v>
      </c>
      <c r="F214" s="60">
        <f>Fábrica!F214*'Mark Up '!$B$3</f>
        <v>17001.600000000002</v>
      </c>
      <c r="G214" s="60">
        <f>Fábrica!G214*'Mark Up '!$B$4</f>
        <v>19565.7</v>
      </c>
      <c r="H214" s="85"/>
    </row>
    <row r="215" spans="1:8" ht="21.75" customHeight="1" x14ac:dyDescent="0.3">
      <c r="A215" s="118"/>
      <c r="B215" s="61" t="s">
        <v>451</v>
      </c>
      <c r="C215" s="83" t="s">
        <v>482</v>
      </c>
      <c r="D215" s="61" t="s">
        <v>240</v>
      </c>
      <c r="E215" s="60">
        <f>Fábrica!E215*'Mark Up '!$B$2</f>
        <v>17158.68</v>
      </c>
      <c r="F215" s="60">
        <f>Fábrica!F215*'Mark Up '!$B$3</f>
        <v>18978.96</v>
      </c>
      <c r="G215" s="60">
        <f>Fábrica!G215*'Mark Up '!$B$4</f>
        <v>21834.12</v>
      </c>
      <c r="H215" s="85"/>
    </row>
    <row r="216" spans="1:8" ht="21.75" customHeight="1" x14ac:dyDescent="0.3">
      <c r="A216" s="118"/>
      <c r="B216" s="61" t="s">
        <v>452</v>
      </c>
      <c r="C216" s="83" t="s">
        <v>482</v>
      </c>
      <c r="D216" s="61" t="s">
        <v>242</v>
      </c>
      <c r="E216" s="60">
        <f>Fábrica!E216*'Mark Up '!$B$2</f>
        <v>19191.48</v>
      </c>
      <c r="F216" s="60">
        <f>Fábrica!F216*'Mark Up '!$B$3</f>
        <v>20221.740000000002</v>
      </c>
      <c r="G216" s="60">
        <f>Fábrica!G216*'Mark Up '!$B$4</f>
        <v>23340.240000000002</v>
      </c>
      <c r="H216" s="85"/>
    </row>
    <row r="217" spans="1:8" ht="21.75" customHeight="1" x14ac:dyDescent="0.3">
      <c r="A217" s="118"/>
      <c r="B217" s="61" t="s">
        <v>453</v>
      </c>
      <c r="C217" s="83" t="s">
        <v>482</v>
      </c>
      <c r="D217" s="61" t="s">
        <v>244</v>
      </c>
      <c r="E217" s="60">
        <f>Fábrica!E217*'Mark Up '!$B$2</f>
        <v>24278.100000000002</v>
      </c>
      <c r="F217" s="60">
        <f>Fábrica!F217*'Mark Up '!$B$3</f>
        <v>25604.04</v>
      </c>
      <c r="G217" s="60">
        <f>Fábrica!G217*'Mark Up '!$B$4</f>
        <v>29461.74</v>
      </c>
      <c r="H217" s="85"/>
    </row>
    <row r="218" spans="1:8" ht="20.25" x14ac:dyDescent="0.3">
      <c r="A218" s="106" t="s">
        <v>282</v>
      </c>
      <c r="B218" s="57" t="s">
        <v>34</v>
      </c>
      <c r="C218" s="86" t="s">
        <v>395</v>
      </c>
      <c r="D218" s="61" t="s">
        <v>7</v>
      </c>
      <c r="E218" s="60">
        <f>Fábrica!E218*'Mark Up '!$B$2</f>
        <v>20023.080000000002</v>
      </c>
      <c r="F218" s="60">
        <f>Fábrica!F218*'Mark Up '!$B$3</f>
        <v>23284.799999999999</v>
      </c>
      <c r="G218" s="60">
        <f>Fábrica!G218*'Mark Up '!$B$4</f>
        <v>25368.420000000002</v>
      </c>
    </row>
    <row r="219" spans="1:8" ht="20.25" x14ac:dyDescent="0.3">
      <c r="A219" s="106"/>
      <c r="B219" s="57" t="s">
        <v>35</v>
      </c>
      <c r="C219" s="86" t="s">
        <v>395</v>
      </c>
      <c r="D219" s="61" t="s">
        <v>9</v>
      </c>
      <c r="E219" s="60">
        <f>Fábrica!E219*'Mark Up '!$B$2</f>
        <v>20739.18</v>
      </c>
      <c r="F219" s="60">
        <f>Fábrica!F219*'Mark Up '!$B$3</f>
        <v>23973.18</v>
      </c>
      <c r="G219" s="60">
        <f>Fábrica!G219*'Mark Up '!$B$4</f>
        <v>26200.02</v>
      </c>
    </row>
    <row r="220" spans="1:8" ht="20.25" x14ac:dyDescent="0.3">
      <c r="A220" s="106"/>
      <c r="B220" s="57" t="s">
        <v>36</v>
      </c>
      <c r="C220" s="86" t="s">
        <v>395</v>
      </c>
      <c r="D220" s="61" t="s">
        <v>11</v>
      </c>
      <c r="E220" s="60">
        <f>Fábrica!E220*'Mark Up '!$B$2</f>
        <v>23169.3</v>
      </c>
      <c r="F220" s="60">
        <f>Fábrica!F220*'Mark Up '!$B$3</f>
        <v>25622.52</v>
      </c>
      <c r="G220" s="60">
        <f>Fábrica!G220*'Mark Up '!$B$4</f>
        <v>28191.24</v>
      </c>
    </row>
    <row r="221" spans="1:8" ht="20.25" x14ac:dyDescent="0.3">
      <c r="A221" s="106"/>
      <c r="B221" s="57" t="s">
        <v>37</v>
      </c>
      <c r="C221" s="86" t="s">
        <v>395</v>
      </c>
      <c r="D221" s="61" t="s">
        <v>13</v>
      </c>
      <c r="E221" s="60">
        <f>Fábrica!E221*'Mark Up '!$B$2</f>
        <v>24315.06</v>
      </c>
      <c r="F221" s="60">
        <f>Fábrica!F221*'Mark Up '!$B$3</f>
        <v>26782.14</v>
      </c>
      <c r="G221" s="60">
        <f>Fábrica!G221*'Mark Up '!$B$4</f>
        <v>29503.32</v>
      </c>
    </row>
    <row r="222" spans="1:8" ht="20.25" x14ac:dyDescent="0.3">
      <c r="A222" s="106"/>
      <c r="B222" s="57" t="s">
        <v>38</v>
      </c>
      <c r="C222" s="86" t="s">
        <v>395</v>
      </c>
      <c r="D222" s="61" t="s">
        <v>39</v>
      </c>
      <c r="E222" s="60">
        <f>Fábrica!E222*'Mark Up '!$B$2</f>
        <v>25539.360000000001</v>
      </c>
      <c r="F222" s="60">
        <f>Fábrica!F222*'Mark Up '!$B$3</f>
        <v>30764.58</v>
      </c>
      <c r="G222" s="60">
        <f>Fábrica!G222*'Mark Up '!$B$4</f>
        <v>32298.420000000002</v>
      </c>
    </row>
    <row r="223" spans="1:8" ht="20.25" x14ac:dyDescent="0.3">
      <c r="A223" s="106"/>
      <c r="B223" s="57" t="s">
        <v>40</v>
      </c>
      <c r="C223" s="86" t="s">
        <v>395</v>
      </c>
      <c r="D223" s="61" t="s">
        <v>17</v>
      </c>
      <c r="E223" s="60">
        <f>Fábrica!E223*'Mark Up '!$B$2</f>
        <v>32201.4</v>
      </c>
      <c r="F223" s="60">
        <f>Fábrica!F223*'Mark Up '!$B$3</f>
        <v>36493.379999999997</v>
      </c>
      <c r="G223" s="60">
        <f>Fábrica!G223*'Mark Up '!$B$4</f>
        <v>39519.480000000003</v>
      </c>
    </row>
    <row r="224" spans="1:8" ht="20.25" x14ac:dyDescent="0.3">
      <c r="A224" s="106"/>
      <c r="B224" s="57" t="s">
        <v>41</v>
      </c>
      <c r="C224" s="86" t="s">
        <v>395</v>
      </c>
      <c r="D224" s="61" t="s">
        <v>19</v>
      </c>
      <c r="E224" s="60">
        <f>Fábrica!E224*'Mark Up '!$B$2</f>
        <v>35172.06</v>
      </c>
      <c r="F224" s="60">
        <f>Fábrica!F224*'Mark Up '!$B$3</f>
        <v>39052.86</v>
      </c>
      <c r="G224" s="60">
        <f>Fábrica!G224*'Mark Up '!$B$4</f>
        <v>42139.020000000004</v>
      </c>
    </row>
    <row r="225" spans="1:7" ht="20.25" x14ac:dyDescent="0.3">
      <c r="A225" s="110" t="s">
        <v>281</v>
      </c>
      <c r="B225" s="61" t="s">
        <v>42</v>
      </c>
      <c r="C225" s="80" t="s">
        <v>498</v>
      </c>
      <c r="D225" s="71" t="s">
        <v>506</v>
      </c>
      <c r="E225" s="60" t="s">
        <v>317</v>
      </c>
      <c r="F225" s="60">
        <f>Fábrica!F225*'Mark Up '!$B$3</f>
        <v>30154.74</v>
      </c>
      <c r="G225" s="60">
        <f>Fábrica!G225*'Mark Up '!$B$4</f>
        <v>35033.46</v>
      </c>
    </row>
    <row r="226" spans="1:7" ht="20.25" x14ac:dyDescent="0.3">
      <c r="A226" s="110"/>
      <c r="B226" s="61" t="s">
        <v>43</v>
      </c>
      <c r="C226" s="80" t="s">
        <v>498</v>
      </c>
      <c r="D226" s="71" t="s">
        <v>427</v>
      </c>
      <c r="E226" s="60" t="s">
        <v>317</v>
      </c>
      <c r="F226" s="60">
        <f>Fábrica!F226*'Mark Up '!$B$3</f>
        <v>31827.18</v>
      </c>
      <c r="G226" s="60">
        <f>Fábrica!G226*'Mark Up '!$B$4</f>
        <v>37093.980000000003</v>
      </c>
    </row>
    <row r="227" spans="1:7" ht="20.25" x14ac:dyDescent="0.3">
      <c r="A227" s="110"/>
      <c r="B227" s="61" t="s">
        <v>44</v>
      </c>
      <c r="C227" s="80" t="s">
        <v>498</v>
      </c>
      <c r="D227" s="71" t="s">
        <v>39</v>
      </c>
      <c r="E227" s="60" t="s">
        <v>317</v>
      </c>
      <c r="F227" s="60">
        <f>Fábrica!F227*'Mark Up '!$B$3</f>
        <v>34700.82</v>
      </c>
      <c r="G227" s="60">
        <f>Fábrica!G227*'Mark Up '!$B$4</f>
        <v>40420.379999999997</v>
      </c>
    </row>
    <row r="228" spans="1:7" ht="20.25" x14ac:dyDescent="0.3">
      <c r="A228" s="110"/>
      <c r="B228" s="64" t="s">
        <v>45</v>
      </c>
      <c r="C228" s="80" t="s">
        <v>498</v>
      </c>
      <c r="D228" s="64" t="s">
        <v>17</v>
      </c>
      <c r="E228" s="60" t="s">
        <v>317</v>
      </c>
      <c r="F228" s="60">
        <f>Fábrica!F228*'Mark Up '!$B$3</f>
        <v>40808.46</v>
      </c>
      <c r="G228" s="60">
        <f>Fábrica!G228*'Mark Up '!$B$4</f>
        <v>46329.36</v>
      </c>
    </row>
    <row r="229" spans="1:7" ht="20.25" x14ac:dyDescent="0.3">
      <c r="A229" s="110"/>
      <c r="B229" s="64" t="s">
        <v>46</v>
      </c>
      <c r="C229" s="80" t="s">
        <v>498</v>
      </c>
      <c r="D229" s="64" t="s">
        <v>19</v>
      </c>
      <c r="E229" s="60" t="s">
        <v>317</v>
      </c>
      <c r="F229" s="60">
        <f>Fábrica!F229*'Mark Up '!$B$3</f>
        <v>42416.22</v>
      </c>
      <c r="G229" s="60">
        <f>Fábrica!G229*'Mark Up '!$B$4</f>
        <v>48075.72</v>
      </c>
    </row>
    <row r="230" spans="1:7" ht="20.25" x14ac:dyDescent="0.3">
      <c r="A230" s="110" t="s">
        <v>281</v>
      </c>
      <c r="B230" s="57" t="s">
        <v>347</v>
      </c>
      <c r="C230" s="62" t="s">
        <v>499</v>
      </c>
      <c r="D230" s="71" t="s">
        <v>506</v>
      </c>
      <c r="E230" s="60">
        <f>Fábrica!E230*'Mark Up '!$B$2</f>
        <v>26615.82</v>
      </c>
      <c r="F230" s="60">
        <f>Fábrica!F230*'Mark Up '!$B$3</f>
        <v>29193.780000000002</v>
      </c>
      <c r="G230" s="60">
        <f>Fábrica!G230*'Mark Up '!$B$4</f>
        <v>32820.480000000003</v>
      </c>
    </row>
    <row r="231" spans="1:7" ht="20.25" x14ac:dyDescent="0.3">
      <c r="A231" s="110"/>
      <c r="B231" s="61" t="s">
        <v>348</v>
      </c>
      <c r="C231" s="62" t="s">
        <v>499</v>
      </c>
      <c r="D231" s="71" t="s">
        <v>427</v>
      </c>
      <c r="E231" s="60">
        <f>Fábrica!E231*'Mark Up '!$B$2</f>
        <v>27179.46</v>
      </c>
      <c r="F231" s="60">
        <f>Fábrica!F231*'Mark Up '!$B$3</f>
        <v>30616.74</v>
      </c>
      <c r="G231" s="60">
        <f>Fábrica!G231*'Mark Up '!$B$4</f>
        <v>34589.94</v>
      </c>
    </row>
    <row r="232" spans="1:7" ht="20.25" x14ac:dyDescent="0.3">
      <c r="A232" s="110"/>
      <c r="B232" s="61" t="s">
        <v>349</v>
      </c>
      <c r="C232" s="62" t="s">
        <v>499</v>
      </c>
      <c r="D232" s="71" t="s">
        <v>39</v>
      </c>
      <c r="E232" s="60">
        <f>Fábrica!E232*'Mark Up '!$B$2</f>
        <v>30150.12</v>
      </c>
      <c r="F232" s="60">
        <f>Fábrica!F232*'Mark Up '!$B$3</f>
        <v>33324.06</v>
      </c>
      <c r="G232" s="60">
        <f>Fábrica!G232*'Mark Up '!$B$4</f>
        <v>37592.94</v>
      </c>
    </row>
    <row r="233" spans="1:7" ht="20.25" x14ac:dyDescent="0.3">
      <c r="A233" s="110"/>
      <c r="B233" s="64" t="s">
        <v>350</v>
      </c>
      <c r="C233" s="62" t="s">
        <v>499</v>
      </c>
      <c r="D233" s="64" t="s">
        <v>17</v>
      </c>
      <c r="E233" s="60">
        <f>Fábrica!E233*'Mark Up '!$B$2</f>
        <v>34742.400000000001</v>
      </c>
      <c r="F233" s="60">
        <f>Fábrica!F233*'Mark Up '!$B$3</f>
        <v>38969.700000000004</v>
      </c>
      <c r="G233" s="60">
        <f>Fábrica!G233*'Mark Up '!$B$4</f>
        <v>42785.82</v>
      </c>
    </row>
    <row r="234" spans="1:7" ht="20.25" x14ac:dyDescent="0.3">
      <c r="A234" s="110"/>
      <c r="B234" s="64" t="s">
        <v>351</v>
      </c>
      <c r="C234" s="62" t="s">
        <v>499</v>
      </c>
      <c r="D234" s="64" t="s">
        <v>19</v>
      </c>
      <c r="E234" s="60">
        <f>Fábrica!E234*'Mark Up '!$B$2</f>
        <v>36133.020000000004</v>
      </c>
      <c r="F234" s="60">
        <f>Fábrica!F234*'Mark Up '!$B$3</f>
        <v>40351.08</v>
      </c>
      <c r="G234" s="60">
        <f>Fábrica!G234*'Mark Up '!$B$4</f>
        <v>44227.26</v>
      </c>
    </row>
    <row r="235" spans="1:7" ht="20.25" x14ac:dyDescent="0.3">
      <c r="A235" s="110" t="s">
        <v>285</v>
      </c>
      <c r="B235" s="57" t="s">
        <v>20</v>
      </c>
      <c r="C235" s="62" t="s">
        <v>446</v>
      </c>
      <c r="D235" s="69" t="s">
        <v>7</v>
      </c>
      <c r="E235" s="60">
        <f>Fábrica!E235*'Mark Up '!$B$2</f>
        <v>21016.38</v>
      </c>
      <c r="F235" s="60">
        <f>Fábrica!F235*'Mark Up '!$B$3</f>
        <v>24846.36</v>
      </c>
      <c r="G235" s="60">
        <f>Fábrica!G235*'Mark Up '!$B$4</f>
        <v>26768.28</v>
      </c>
    </row>
    <row r="236" spans="1:7" ht="20.25" x14ac:dyDescent="0.3">
      <c r="A236" s="110"/>
      <c r="B236" s="57" t="s">
        <v>21</v>
      </c>
      <c r="C236" s="62" t="s">
        <v>446</v>
      </c>
      <c r="D236" s="69" t="s">
        <v>9</v>
      </c>
      <c r="E236" s="60">
        <f>Fábrica!E236*'Mark Up '!$B$2</f>
        <v>22942.920000000002</v>
      </c>
      <c r="F236" s="60">
        <f>Fábrica!F236*'Mark Up '!$B$3</f>
        <v>26883.78</v>
      </c>
      <c r="G236" s="60">
        <f>Fábrica!G236*'Mark Up '!$B$4</f>
        <v>28879.62</v>
      </c>
    </row>
    <row r="237" spans="1:7" ht="20.25" x14ac:dyDescent="0.3">
      <c r="A237" s="110"/>
      <c r="B237" s="57" t="s">
        <v>22</v>
      </c>
      <c r="C237" s="62" t="s">
        <v>446</v>
      </c>
      <c r="D237" s="69" t="s">
        <v>11</v>
      </c>
      <c r="E237" s="60">
        <f>Fábrica!E237*'Mark Up '!$B$2</f>
        <v>24629.22</v>
      </c>
      <c r="F237" s="60">
        <f>Fábrica!F237*'Mark Up '!$B$3</f>
        <v>28177.38</v>
      </c>
      <c r="G237" s="60">
        <f>Fábrica!G237*'Mark Up '!$B$4</f>
        <v>30482.760000000002</v>
      </c>
    </row>
    <row r="238" spans="1:7" ht="20.25" x14ac:dyDescent="0.3">
      <c r="A238" s="110"/>
      <c r="B238" s="57" t="s">
        <v>23</v>
      </c>
      <c r="C238" s="62" t="s">
        <v>446</v>
      </c>
      <c r="D238" s="69" t="s">
        <v>13</v>
      </c>
      <c r="E238" s="60">
        <f>Fábrica!E238*'Mark Up '!$B$2</f>
        <v>25460.82</v>
      </c>
      <c r="F238" s="60">
        <f>Fábrica!F238*'Mark Up '!$B$3</f>
        <v>29027.46</v>
      </c>
      <c r="G238" s="60">
        <f>Fábrica!G238*'Mark Up '!$B$4</f>
        <v>31744.02</v>
      </c>
    </row>
    <row r="239" spans="1:7" ht="20.25" x14ac:dyDescent="0.3">
      <c r="A239" s="110"/>
      <c r="B239" s="57" t="s">
        <v>24</v>
      </c>
      <c r="C239" s="62" t="s">
        <v>446</v>
      </c>
      <c r="D239" s="69" t="s">
        <v>15</v>
      </c>
      <c r="E239" s="60">
        <f>Fábrica!E239*'Mark Up '!$B$2</f>
        <v>26759.040000000001</v>
      </c>
      <c r="F239" s="60">
        <f>Fábrica!F239*'Mark Up '!$B$3</f>
        <v>30159.360000000001</v>
      </c>
      <c r="G239" s="60">
        <f>Fábrica!G239*'Mark Up '!$B$4</f>
        <v>32838.959999999999</v>
      </c>
    </row>
    <row r="240" spans="1:7" ht="20.25" x14ac:dyDescent="0.3">
      <c r="A240" s="110"/>
      <c r="B240" s="57" t="s">
        <v>25</v>
      </c>
      <c r="C240" s="62" t="s">
        <v>446</v>
      </c>
      <c r="D240" s="57" t="s">
        <v>17</v>
      </c>
      <c r="E240" s="60">
        <f>Fábrica!E240*'Mark Up '!$B$2</f>
        <v>29429.4</v>
      </c>
      <c r="F240" s="60">
        <f>Fábrica!F240*'Mark Up '!$B$3</f>
        <v>34160.28</v>
      </c>
      <c r="G240" s="60">
        <f>Fábrica!G240*'Mark Up '!$B$4</f>
        <v>37001.58</v>
      </c>
    </row>
    <row r="241" spans="1:7" ht="20.25" x14ac:dyDescent="0.3">
      <c r="A241" s="110"/>
      <c r="B241" s="57" t="s">
        <v>26</v>
      </c>
      <c r="C241" s="62" t="s">
        <v>446</v>
      </c>
      <c r="D241" s="57" t="s">
        <v>19</v>
      </c>
      <c r="E241" s="60">
        <f>Fábrica!E241*'Mark Up '!$B$2</f>
        <v>30746.100000000002</v>
      </c>
      <c r="F241" s="60">
        <f>Fábrica!F241*'Mark Up '!$B$3</f>
        <v>35278.32</v>
      </c>
      <c r="G241" s="60">
        <f>Fábrica!G241*'Mark Up '!$B$4</f>
        <v>38068.800000000003</v>
      </c>
    </row>
    <row r="242" spans="1:7" ht="20.25" x14ac:dyDescent="0.3">
      <c r="A242" s="110" t="s">
        <v>283</v>
      </c>
      <c r="B242" s="66" t="s">
        <v>61</v>
      </c>
      <c r="C242" s="67" t="s">
        <v>447</v>
      </c>
      <c r="D242" s="66" t="s">
        <v>7</v>
      </c>
      <c r="E242" s="60">
        <f>Fábrica!E242*'Mark Up '!$B$2</f>
        <v>13670.58</v>
      </c>
      <c r="F242" s="60">
        <f>Fábrica!F242*'Mark Up '!$B$3</f>
        <v>14557.62</v>
      </c>
      <c r="G242" s="60">
        <f>Fábrica!G242*'Mark Up '!$B$4</f>
        <v>15721.86</v>
      </c>
    </row>
    <row r="243" spans="1:7" ht="20.25" x14ac:dyDescent="0.3">
      <c r="A243" s="110"/>
      <c r="B243" s="66" t="s">
        <v>62</v>
      </c>
      <c r="C243" s="67" t="s">
        <v>447</v>
      </c>
      <c r="D243" s="66" t="s">
        <v>9</v>
      </c>
      <c r="E243" s="60">
        <f>Fábrica!E243*'Mark Up '!$B$2</f>
        <v>14192.64</v>
      </c>
      <c r="F243" s="60">
        <f>Fábrica!F243*'Mark Up '!$B$3</f>
        <v>15158.220000000001</v>
      </c>
      <c r="G243" s="60">
        <f>Fábrica!G243*'Mark Up '!$B$4</f>
        <v>16447.2</v>
      </c>
    </row>
    <row r="244" spans="1:7" ht="20.25" x14ac:dyDescent="0.3">
      <c r="A244" s="110"/>
      <c r="B244" s="66" t="s">
        <v>63</v>
      </c>
      <c r="C244" s="67" t="s">
        <v>447</v>
      </c>
      <c r="D244" s="66" t="s">
        <v>11</v>
      </c>
      <c r="E244" s="60">
        <f>Fábrica!E244*'Mark Up '!$B$2</f>
        <v>16534.98</v>
      </c>
      <c r="F244" s="60">
        <f>Fábrica!F244*'Mark Up '!$B$3</f>
        <v>16775.22</v>
      </c>
      <c r="G244" s="60">
        <f>Fábrica!G244*'Mark Up '!$B$4</f>
        <v>18369.12</v>
      </c>
    </row>
    <row r="245" spans="1:7" ht="20.25" x14ac:dyDescent="0.3">
      <c r="A245" s="110"/>
      <c r="B245" s="66" t="s">
        <v>64</v>
      </c>
      <c r="C245" s="67" t="s">
        <v>447</v>
      </c>
      <c r="D245" s="66" t="s">
        <v>13</v>
      </c>
      <c r="E245" s="60">
        <f>Fábrica!E245*'Mark Up '!$B$2</f>
        <v>19062.12</v>
      </c>
      <c r="F245" s="60">
        <f>Fábrica!F245*'Mark Up '!$B$3</f>
        <v>19214.580000000002</v>
      </c>
      <c r="G245" s="60">
        <f>Fábrica!G245*'Mark Up '!$B$4</f>
        <v>20591.34</v>
      </c>
    </row>
    <row r="246" spans="1:7" ht="20.25" x14ac:dyDescent="0.3">
      <c r="A246" s="110"/>
      <c r="B246" s="66" t="s">
        <v>65</v>
      </c>
      <c r="C246" s="67" t="s">
        <v>447</v>
      </c>
      <c r="D246" s="66" t="s">
        <v>39</v>
      </c>
      <c r="E246" s="60">
        <f>Fábrica!E246*'Mark Up '!$B$2</f>
        <v>20475.84</v>
      </c>
      <c r="F246" s="60">
        <f>Fábrica!F246*'Mark Up '!$B$3</f>
        <v>21196.560000000001</v>
      </c>
      <c r="G246" s="60">
        <f>Fábrica!G246*'Mark Up '!$B$4</f>
        <v>23266.32</v>
      </c>
    </row>
    <row r="247" spans="1:7" ht="20.25" x14ac:dyDescent="0.3">
      <c r="A247" s="110"/>
      <c r="B247" s="66" t="s">
        <v>66</v>
      </c>
      <c r="C247" s="67" t="s">
        <v>447</v>
      </c>
      <c r="D247" s="66" t="s">
        <v>17</v>
      </c>
      <c r="E247" s="60">
        <f>Fábrica!E247*'Mark Up '!$B$2</f>
        <v>26075.279999999999</v>
      </c>
      <c r="F247" s="60">
        <f>Fábrica!F247*'Mark Up '!$B$3</f>
        <v>27696.9</v>
      </c>
      <c r="G247" s="60">
        <f>Fábrica!G247*'Mark Up '!$B$4</f>
        <v>29665.02</v>
      </c>
    </row>
    <row r="248" spans="1:7" ht="20.25" x14ac:dyDescent="0.3">
      <c r="A248" s="110"/>
      <c r="B248" s="66" t="s">
        <v>67</v>
      </c>
      <c r="C248" s="67" t="s">
        <v>447</v>
      </c>
      <c r="D248" s="66" t="s">
        <v>19</v>
      </c>
      <c r="E248" s="60">
        <f>Fábrica!E248*'Mark Up '!$B$2</f>
        <v>28713.3</v>
      </c>
      <c r="F248" s="60">
        <f>Fábrica!F248*'Mark Up '!$B$3</f>
        <v>29951.46</v>
      </c>
      <c r="G248" s="60">
        <f>Fábrica!G248*'Mark Up '!$B$4</f>
        <v>31979.64</v>
      </c>
    </row>
    <row r="249" spans="1:7" ht="20.25" x14ac:dyDescent="0.3">
      <c r="A249" s="110" t="s">
        <v>279</v>
      </c>
      <c r="B249" s="61" t="s">
        <v>27</v>
      </c>
      <c r="C249" s="80" t="s">
        <v>329</v>
      </c>
      <c r="D249" s="71" t="s">
        <v>7</v>
      </c>
      <c r="E249" s="60">
        <f>Fábrica!E249*'Mark Up '!$B$2</f>
        <v>22115.940000000002</v>
      </c>
      <c r="F249" s="60">
        <f>Fábrica!F249*'Mark Up '!$B$3</f>
        <v>27133.260000000002</v>
      </c>
      <c r="G249" s="60">
        <f>Fábrica!G249*'Mark Up '!$B$4</f>
        <v>29258.46</v>
      </c>
    </row>
    <row r="250" spans="1:7" ht="20.25" x14ac:dyDescent="0.3">
      <c r="A250" s="110"/>
      <c r="B250" s="61" t="s">
        <v>28</v>
      </c>
      <c r="C250" s="80" t="s">
        <v>329</v>
      </c>
      <c r="D250" s="71" t="s">
        <v>9</v>
      </c>
      <c r="E250" s="60">
        <f>Fábrica!E250*'Mark Up '!$B$2</f>
        <v>23201.64</v>
      </c>
      <c r="F250" s="60">
        <f>Fábrica!F250*'Mark Up '!$B$3</f>
        <v>28108.080000000002</v>
      </c>
      <c r="G250" s="60">
        <f>Fábrica!G250*'Mark Up '!$B$4</f>
        <v>30099.3</v>
      </c>
    </row>
    <row r="251" spans="1:7" ht="20.25" x14ac:dyDescent="0.3">
      <c r="A251" s="110"/>
      <c r="B251" s="64" t="s">
        <v>29</v>
      </c>
      <c r="C251" s="80" t="s">
        <v>329</v>
      </c>
      <c r="D251" s="71" t="s">
        <v>11</v>
      </c>
      <c r="E251" s="60">
        <f>Fábrica!E251*'Mark Up '!$B$2</f>
        <v>24915.66</v>
      </c>
      <c r="F251" s="60">
        <f>Fábrica!F251*'Mark Up '!$B$3</f>
        <v>29558.760000000002</v>
      </c>
      <c r="G251" s="60">
        <f>Fábrica!G251*'Mark Up '!$B$4</f>
        <v>31914.959999999999</v>
      </c>
    </row>
    <row r="252" spans="1:7" ht="20.25" x14ac:dyDescent="0.3">
      <c r="A252" s="110"/>
      <c r="B252" s="64" t="s">
        <v>30</v>
      </c>
      <c r="C252" s="80" t="s">
        <v>329</v>
      </c>
      <c r="D252" s="71" t="s">
        <v>13</v>
      </c>
      <c r="E252" s="60">
        <f>Fábrica!E252*'Mark Up '!$B$2</f>
        <v>25830.420000000002</v>
      </c>
      <c r="F252" s="60">
        <f>Fábrica!F252*'Mark Up '!$B$3</f>
        <v>30321.06</v>
      </c>
      <c r="G252" s="60">
        <f>Fábrica!G252*'Mark Up '!$B$4</f>
        <v>33347.160000000003</v>
      </c>
    </row>
    <row r="253" spans="1:7" ht="20.25" x14ac:dyDescent="0.3">
      <c r="A253" s="110"/>
      <c r="B253" s="64" t="s">
        <v>31</v>
      </c>
      <c r="C253" s="80" t="s">
        <v>329</v>
      </c>
      <c r="D253" s="71" t="s">
        <v>15</v>
      </c>
      <c r="E253" s="60">
        <f>Fábrica!E253*'Mark Up '!$B$2</f>
        <v>27193.32</v>
      </c>
      <c r="F253" s="60">
        <f>Fábrica!F253*'Mark Up '!$B$3</f>
        <v>31799.46</v>
      </c>
      <c r="G253" s="60">
        <f>Fábrica!G253*'Mark Up '!$B$4</f>
        <v>34580.700000000004</v>
      </c>
    </row>
    <row r="254" spans="1:7" ht="20.25" x14ac:dyDescent="0.3">
      <c r="A254" s="110"/>
      <c r="B254" s="64" t="s">
        <v>32</v>
      </c>
      <c r="C254" s="80" t="s">
        <v>329</v>
      </c>
      <c r="D254" s="64" t="s">
        <v>17</v>
      </c>
      <c r="E254" s="60">
        <f>Fábrica!E254*'Mark Up '!$B$2</f>
        <v>30214.799999999999</v>
      </c>
      <c r="F254" s="60">
        <f>Fábrica!F254*'Mark Up '!$B$3</f>
        <v>36327.06</v>
      </c>
      <c r="G254" s="60">
        <f>Fábrica!G254*'Mark Up '!$B$4</f>
        <v>39288.480000000003</v>
      </c>
    </row>
    <row r="255" spans="1:7" ht="20.25" x14ac:dyDescent="0.3">
      <c r="A255" s="110"/>
      <c r="B255" s="64" t="s">
        <v>33</v>
      </c>
      <c r="C255" s="80" t="s">
        <v>329</v>
      </c>
      <c r="D255" s="64" t="s">
        <v>19</v>
      </c>
      <c r="E255" s="60">
        <f>Fábrica!E255*'Mark Up '!$B$2</f>
        <v>31411.38</v>
      </c>
      <c r="F255" s="60">
        <f>Fábrica!F255*'Mark Up '!$B$3</f>
        <v>37588.32</v>
      </c>
      <c r="G255" s="60">
        <f>Fábrica!G255*'Mark Up '!$B$4</f>
        <v>40498.92</v>
      </c>
    </row>
    <row r="256" spans="1:7" ht="20.25" x14ac:dyDescent="0.3">
      <c r="A256" s="110" t="s">
        <v>308</v>
      </c>
      <c r="B256" s="66" t="s">
        <v>47</v>
      </c>
      <c r="C256" s="62" t="s">
        <v>500</v>
      </c>
      <c r="D256" s="69" t="s">
        <v>48</v>
      </c>
      <c r="E256" s="60" t="s">
        <v>317</v>
      </c>
      <c r="F256" s="60">
        <f>Fábrica!F256*'Mark Up '!$B$3</f>
        <v>24915.66</v>
      </c>
      <c r="G256" s="60">
        <f>Fábrica!G256*'Mark Up '!$B$4</f>
        <v>29221.5</v>
      </c>
    </row>
    <row r="257" spans="1:7" ht="20.25" x14ac:dyDescent="0.3">
      <c r="A257" s="110"/>
      <c r="B257" s="66" t="s">
        <v>49</v>
      </c>
      <c r="C257" s="62" t="s">
        <v>500</v>
      </c>
      <c r="D257" s="69" t="s">
        <v>11</v>
      </c>
      <c r="E257" s="60" t="s">
        <v>317</v>
      </c>
      <c r="F257" s="60">
        <f>Fábrica!F257*'Mark Up '!$B$3</f>
        <v>25895.100000000002</v>
      </c>
      <c r="G257" s="60">
        <f>Fábrica!G257*'Mark Up '!$B$4</f>
        <v>30607.5</v>
      </c>
    </row>
    <row r="258" spans="1:7" ht="20.25" x14ac:dyDescent="0.3">
      <c r="A258" s="110"/>
      <c r="B258" s="66" t="s">
        <v>50</v>
      </c>
      <c r="C258" s="62" t="s">
        <v>500</v>
      </c>
      <c r="D258" s="69" t="s">
        <v>427</v>
      </c>
      <c r="E258" s="60" t="s">
        <v>317</v>
      </c>
      <c r="F258" s="60">
        <f>Fábrica!F258*'Mark Up '!$B$3</f>
        <v>28163.52</v>
      </c>
      <c r="G258" s="60">
        <f>Fábrica!G258*'Mark Up '!$B$4</f>
        <v>33873.840000000004</v>
      </c>
    </row>
    <row r="259" spans="1:7" ht="20.25" x14ac:dyDescent="0.3">
      <c r="A259" s="110"/>
      <c r="B259" s="66" t="s">
        <v>51</v>
      </c>
      <c r="C259" s="62" t="s">
        <v>500</v>
      </c>
      <c r="D259" s="69" t="s">
        <v>39</v>
      </c>
      <c r="E259" s="60" t="s">
        <v>317</v>
      </c>
      <c r="F259" s="60">
        <f>Fábrica!F259*'Mark Up '!$B$3</f>
        <v>30575.16</v>
      </c>
      <c r="G259" s="60">
        <f>Fábrica!G259*'Mark Up '!$B$4</f>
        <v>36322.44</v>
      </c>
    </row>
    <row r="260" spans="1:7" ht="20.25" x14ac:dyDescent="0.3">
      <c r="A260" s="110"/>
      <c r="B260" s="57" t="s">
        <v>52</v>
      </c>
      <c r="C260" s="62" t="s">
        <v>500</v>
      </c>
      <c r="D260" s="57" t="s">
        <v>17</v>
      </c>
      <c r="E260" s="60" t="s">
        <v>317</v>
      </c>
      <c r="F260" s="60">
        <f>Fábrica!F260*'Mark Up '!$B$3</f>
        <v>36280.86</v>
      </c>
      <c r="G260" s="60">
        <f>Fábrica!G260*'Mark Up '!$B$4</f>
        <v>41912.639999999999</v>
      </c>
    </row>
    <row r="261" spans="1:7" ht="20.25" x14ac:dyDescent="0.3">
      <c r="A261" s="110"/>
      <c r="B261" s="57" t="s">
        <v>53</v>
      </c>
      <c r="C261" s="62" t="s">
        <v>500</v>
      </c>
      <c r="D261" s="57" t="s">
        <v>19</v>
      </c>
      <c r="E261" s="60" t="s">
        <v>317</v>
      </c>
      <c r="F261" s="60">
        <f>Fábrica!F261*'Mark Up '!$B$3</f>
        <v>37412.76</v>
      </c>
      <c r="G261" s="60">
        <f>Fábrica!G261*'Mark Up '!$B$4</f>
        <v>43603.56</v>
      </c>
    </row>
    <row r="262" spans="1:7" ht="20.25" x14ac:dyDescent="0.3">
      <c r="A262" s="110" t="s">
        <v>308</v>
      </c>
      <c r="B262" s="66" t="s">
        <v>352</v>
      </c>
      <c r="C262" s="62" t="s">
        <v>501</v>
      </c>
      <c r="D262" s="69" t="s">
        <v>48</v>
      </c>
      <c r="E262" s="60">
        <f>Fábrica!E262*'Mark Up '!$B$2</f>
        <v>21737.100000000002</v>
      </c>
      <c r="F262" s="60">
        <f>Fábrica!F262*'Mark Up '!$B$3</f>
        <v>23746.799999999999</v>
      </c>
      <c r="G262" s="60">
        <f>Fábrica!G262*'Mark Up '!$B$4</f>
        <v>26943.84</v>
      </c>
    </row>
    <row r="263" spans="1:7" ht="20.25" x14ac:dyDescent="0.3">
      <c r="A263" s="110"/>
      <c r="B263" s="66" t="s">
        <v>353</v>
      </c>
      <c r="C263" s="62" t="s">
        <v>501</v>
      </c>
      <c r="D263" s="69" t="s">
        <v>11</v>
      </c>
      <c r="E263" s="60">
        <f>Fábrica!E263*'Mark Up '!$B$2</f>
        <v>23063.040000000001</v>
      </c>
      <c r="F263" s="60">
        <f>Fábrica!F263*'Mark Up '!$B$3</f>
        <v>24703.14</v>
      </c>
      <c r="G263" s="60">
        <f>Fábrica!G263*'Mark Up '!$B$4</f>
        <v>27817.02</v>
      </c>
    </row>
    <row r="264" spans="1:7" ht="20.25" x14ac:dyDescent="0.3">
      <c r="A264" s="110"/>
      <c r="B264" s="66" t="s">
        <v>354</v>
      </c>
      <c r="C264" s="62" t="s">
        <v>501</v>
      </c>
      <c r="D264" s="69" t="s">
        <v>427</v>
      </c>
      <c r="E264" s="60">
        <f>Fábrica!E264*'Mark Up '!$B$2</f>
        <v>24047.100000000002</v>
      </c>
      <c r="F264" s="60">
        <f>Fábrica!F264*'Mark Up '!$B$3</f>
        <v>25862.760000000002</v>
      </c>
      <c r="G264" s="60">
        <f>Fábrica!G264*'Mark Up '!$B$4</f>
        <v>29956.080000000002</v>
      </c>
    </row>
    <row r="265" spans="1:7" ht="20.25" x14ac:dyDescent="0.3">
      <c r="A265" s="110"/>
      <c r="B265" s="66" t="s">
        <v>355</v>
      </c>
      <c r="C265" s="62" t="s">
        <v>501</v>
      </c>
      <c r="D265" s="69" t="s">
        <v>39</v>
      </c>
      <c r="E265" s="60">
        <f>Fábrica!E265*'Mark Up '!$B$2</f>
        <v>26514.18</v>
      </c>
      <c r="F265" s="60">
        <f>Fábrica!F265*'Mark Up '!$B$3</f>
        <v>28061.88</v>
      </c>
      <c r="G265" s="60">
        <f>Fábrica!G265*'Mark Up '!$B$4</f>
        <v>32298.420000000002</v>
      </c>
    </row>
    <row r="266" spans="1:7" ht="20.25" x14ac:dyDescent="0.3">
      <c r="A266" s="110"/>
      <c r="B266" s="57" t="s">
        <v>356</v>
      </c>
      <c r="C266" s="62" t="s">
        <v>501</v>
      </c>
      <c r="D266" s="57" t="s">
        <v>17</v>
      </c>
      <c r="E266" s="60">
        <f>Fábrica!E266*'Mark Up '!$B$2</f>
        <v>30381.119999999999</v>
      </c>
      <c r="F266" s="60">
        <f>Fábrica!F266*'Mark Up '!$B$3</f>
        <v>33495</v>
      </c>
      <c r="G266" s="60">
        <f>Fábrica!G266*'Mark Up '!$B$4</f>
        <v>37366.559999999998</v>
      </c>
    </row>
    <row r="267" spans="1:7" ht="20.25" x14ac:dyDescent="0.3">
      <c r="A267" s="110"/>
      <c r="B267" s="57" t="s">
        <v>357</v>
      </c>
      <c r="C267" s="62" t="s">
        <v>501</v>
      </c>
      <c r="D267" s="57" t="s">
        <v>19</v>
      </c>
      <c r="E267" s="60">
        <f>Fábrica!E267*'Mark Up '!$B$2</f>
        <v>31392.9</v>
      </c>
      <c r="F267" s="60">
        <f>Fábrica!F267*'Mark Up '!$B$3</f>
        <v>34395.9</v>
      </c>
      <c r="G267" s="60">
        <f>Fábrica!G267*'Mark Up '!$B$4</f>
        <v>38678.639999999999</v>
      </c>
    </row>
    <row r="268" spans="1:7" s="52" customFormat="1" ht="84.75" customHeight="1" x14ac:dyDescent="0.4">
      <c r="A268" s="100"/>
      <c r="B268" s="101"/>
      <c r="C268" s="102" t="s">
        <v>461</v>
      </c>
      <c r="D268" s="103"/>
      <c r="E268" s="103"/>
      <c r="F268" s="103"/>
      <c r="G268" s="104"/>
    </row>
    <row r="269" spans="1:7" x14ac:dyDescent="0.3">
      <c r="A269" s="105" t="s">
        <v>265</v>
      </c>
      <c r="B269" s="105"/>
      <c r="C269" s="105"/>
      <c r="D269" s="105"/>
      <c r="E269" s="105"/>
      <c r="F269" s="105"/>
      <c r="G269" s="105"/>
    </row>
    <row r="270" spans="1:7" x14ac:dyDescent="0.3">
      <c r="A270" s="105" t="s">
        <v>266</v>
      </c>
      <c r="B270" s="105"/>
      <c r="C270" s="105"/>
      <c r="D270" s="105"/>
      <c r="E270" s="105"/>
      <c r="F270" s="105"/>
      <c r="G270" s="105"/>
    </row>
    <row r="271" spans="1:7" x14ac:dyDescent="0.3">
      <c r="A271" s="105" t="s">
        <v>267</v>
      </c>
      <c r="B271" s="105"/>
      <c r="C271" s="105"/>
      <c r="D271" s="105"/>
      <c r="E271" s="105"/>
      <c r="F271" s="105"/>
      <c r="G271" s="105"/>
    </row>
    <row r="272" spans="1:7" x14ac:dyDescent="0.3">
      <c r="A272" s="105" t="s">
        <v>268</v>
      </c>
      <c r="B272" s="105"/>
      <c r="C272" s="105"/>
      <c r="D272" s="105"/>
      <c r="E272" s="105"/>
      <c r="F272" s="105"/>
      <c r="G272" s="105"/>
    </row>
    <row r="273" spans="1:7" x14ac:dyDescent="0.3">
      <c r="A273" s="92"/>
      <c r="B273" s="92"/>
      <c r="C273" s="92"/>
      <c r="D273" s="92"/>
      <c r="E273" s="54" t="s">
        <v>247</v>
      </c>
      <c r="F273" s="54" t="s">
        <v>248</v>
      </c>
      <c r="G273" s="54" t="s">
        <v>249</v>
      </c>
    </row>
    <row r="274" spans="1:7" ht="67.5" customHeight="1" x14ac:dyDescent="0.3">
      <c r="A274" s="93" t="s">
        <v>250</v>
      </c>
      <c r="B274" s="94" t="s">
        <v>251</v>
      </c>
      <c r="C274" s="95" t="s">
        <v>252</v>
      </c>
      <c r="D274" s="96" t="s">
        <v>253</v>
      </c>
      <c r="E274" s="97" t="s">
        <v>254</v>
      </c>
      <c r="F274" s="55" t="s">
        <v>262</v>
      </c>
      <c r="G274" s="107" t="s">
        <v>256</v>
      </c>
    </row>
    <row r="275" spans="1:7" x14ac:dyDescent="0.3">
      <c r="A275" s="93"/>
      <c r="B275" s="94"/>
      <c r="C275" s="95"/>
      <c r="D275" s="96"/>
      <c r="E275" s="97"/>
      <c r="F275" s="108" t="s">
        <v>264</v>
      </c>
      <c r="G275" s="107"/>
    </row>
    <row r="276" spans="1:7" ht="81.75" customHeight="1" x14ac:dyDescent="0.3">
      <c r="A276" s="93"/>
      <c r="B276" s="94"/>
      <c r="C276" s="95"/>
      <c r="D276" s="96"/>
      <c r="E276" s="97"/>
      <c r="F276" s="108"/>
      <c r="G276" s="56" t="s">
        <v>258</v>
      </c>
    </row>
    <row r="277" spans="1:7" x14ac:dyDescent="0.3">
      <c r="A277" s="93"/>
      <c r="B277" s="94"/>
      <c r="C277" s="95"/>
      <c r="D277" s="96"/>
      <c r="E277" s="97"/>
      <c r="F277" s="108"/>
      <c r="G277" s="56" t="s">
        <v>259</v>
      </c>
    </row>
    <row r="278" spans="1:7" x14ac:dyDescent="0.3">
      <c r="A278" s="93"/>
      <c r="B278" s="94"/>
      <c r="C278" s="95"/>
      <c r="D278" s="96"/>
      <c r="E278" s="97"/>
      <c r="F278" s="108"/>
      <c r="G278" s="109" t="s">
        <v>260</v>
      </c>
    </row>
    <row r="279" spans="1:7" ht="99" customHeight="1" x14ac:dyDescent="0.3">
      <c r="A279" s="93"/>
      <c r="B279" s="94"/>
      <c r="C279" s="95"/>
      <c r="D279" s="96"/>
      <c r="E279" s="97"/>
      <c r="F279" s="108"/>
      <c r="G279" s="109"/>
    </row>
    <row r="280" spans="1:7" ht="20.25" x14ac:dyDescent="0.3">
      <c r="A280" s="110" t="s">
        <v>331</v>
      </c>
      <c r="B280" s="66" t="s">
        <v>74</v>
      </c>
      <c r="C280" s="67" t="s">
        <v>75</v>
      </c>
      <c r="D280" s="66" t="s">
        <v>7</v>
      </c>
      <c r="E280" s="60">
        <f>Fábrica!E280*'Mark Up '!$B$2</f>
        <v>12751.2</v>
      </c>
      <c r="F280" s="60">
        <f>Fábrica!F280*'Mark Up '!$B$3</f>
        <v>15781.92</v>
      </c>
      <c r="G280" s="60">
        <f>Fábrica!G280*'Mark Up '!$B$4</f>
        <v>18318.3</v>
      </c>
    </row>
    <row r="281" spans="1:7" ht="20.25" x14ac:dyDescent="0.3">
      <c r="A281" s="110"/>
      <c r="B281" s="66" t="s">
        <v>76</v>
      </c>
      <c r="C281" s="67" t="s">
        <v>75</v>
      </c>
      <c r="D281" s="66" t="s">
        <v>9</v>
      </c>
      <c r="E281" s="60">
        <f>Fábrica!E281*'Mark Up '!$B$2</f>
        <v>13351.800000000001</v>
      </c>
      <c r="F281" s="60">
        <f>Fábrica!F281*'Mark Up '!$B$3</f>
        <v>16562.7</v>
      </c>
      <c r="G281" s="60">
        <f>Fábrica!G281*'Mark Up '!$B$4</f>
        <v>19454.82</v>
      </c>
    </row>
    <row r="282" spans="1:7" ht="20.25" x14ac:dyDescent="0.3">
      <c r="A282" s="110"/>
      <c r="B282" s="66" t="s">
        <v>77</v>
      </c>
      <c r="C282" s="67" t="s">
        <v>75</v>
      </c>
      <c r="D282" s="66" t="s">
        <v>11</v>
      </c>
      <c r="E282" s="60">
        <f>Fábrica!E282*'Mark Up '!$B$2</f>
        <v>15005.76</v>
      </c>
      <c r="F282" s="60">
        <f>Fábrica!F282*'Mark Up '!$B$3</f>
        <v>18299.82</v>
      </c>
      <c r="G282" s="60">
        <f>Fábrica!G282*'Mark Up '!$B$4</f>
        <v>21746.34</v>
      </c>
    </row>
    <row r="283" spans="1:7" ht="20.25" x14ac:dyDescent="0.3">
      <c r="A283" s="110"/>
      <c r="B283" s="66" t="s">
        <v>78</v>
      </c>
      <c r="C283" s="67" t="s">
        <v>75</v>
      </c>
      <c r="D283" s="66" t="s">
        <v>13</v>
      </c>
      <c r="E283" s="60">
        <f>Fábrica!E283*'Mark Up '!$B$2</f>
        <v>15994.44</v>
      </c>
      <c r="F283" s="60">
        <f>Fábrica!F283*'Mark Up '!$B$3</f>
        <v>19445.580000000002</v>
      </c>
      <c r="G283" s="60">
        <f>Fábrica!G283*'Mark Up '!$B$4</f>
        <v>22730.400000000001</v>
      </c>
    </row>
    <row r="284" spans="1:7" ht="20.25" x14ac:dyDescent="0.3">
      <c r="A284" s="110"/>
      <c r="B284" s="66" t="s">
        <v>79</v>
      </c>
      <c r="C284" s="67" t="s">
        <v>75</v>
      </c>
      <c r="D284" s="66" t="s">
        <v>39</v>
      </c>
      <c r="E284" s="60">
        <f>Fábrica!E284*'Mark Up '!$B$2</f>
        <v>17967.18</v>
      </c>
      <c r="F284" s="60">
        <f>Fábrica!F284*'Mark Up '!$B$3</f>
        <v>21473.760000000002</v>
      </c>
      <c r="G284" s="60">
        <f>Fábrica!G284*'Mark Up '!$B$4</f>
        <v>25123.56</v>
      </c>
    </row>
    <row r="285" spans="1:7" ht="20.25" x14ac:dyDescent="0.3">
      <c r="A285" s="110"/>
      <c r="B285" s="66" t="s">
        <v>80</v>
      </c>
      <c r="C285" s="67" t="s">
        <v>75</v>
      </c>
      <c r="D285" s="66" t="s">
        <v>17</v>
      </c>
      <c r="E285" s="60">
        <f>Fábrica!E285*'Mark Up '!$B$2</f>
        <v>25594.799999999999</v>
      </c>
      <c r="F285" s="60">
        <f>Fábrica!F285*'Mark Up '!$B$3</f>
        <v>28075.74</v>
      </c>
      <c r="G285" s="60">
        <f>Fábrica!G285*'Mark Up '!$B$4</f>
        <v>31716.3</v>
      </c>
    </row>
    <row r="286" spans="1:7" ht="20.25" x14ac:dyDescent="0.3">
      <c r="A286" s="110"/>
      <c r="B286" s="66" t="s">
        <v>81</v>
      </c>
      <c r="C286" s="67" t="s">
        <v>75</v>
      </c>
      <c r="D286" s="66" t="s">
        <v>19</v>
      </c>
      <c r="E286" s="60">
        <f>Fábrica!E286*'Mark Up '!$B$2</f>
        <v>26819.100000000002</v>
      </c>
      <c r="F286" s="60">
        <f>Fábrica!F286*'Mark Up '!$B$3</f>
        <v>29378.58</v>
      </c>
      <c r="G286" s="60">
        <f>Fábrica!G286*'Mark Up '!$B$4</f>
        <v>32566.38</v>
      </c>
    </row>
    <row r="287" spans="1:7" ht="20.25" x14ac:dyDescent="0.3">
      <c r="A287" s="110" t="s">
        <v>309</v>
      </c>
      <c r="B287" s="66" t="s">
        <v>6</v>
      </c>
      <c r="C287" s="62" t="s">
        <v>445</v>
      </c>
      <c r="D287" s="69" t="s">
        <v>7</v>
      </c>
      <c r="E287" s="60">
        <f>Fábrica!E287*'Mark Up '!$B$2</f>
        <v>23760.66</v>
      </c>
      <c r="F287" s="60">
        <f>Fábrica!F287*'Mark Up '!$B$3</f>
        <v>28750.260000000002</v>
      </c>
      <c r="G287" s="60">
        <f>Fábrica!G287*'Mark Up '!$B$4</f>
        <v>30644.46</v>
      </c>
    </row>
    <row r="288" spans="1:7" ht="20.25" x14ac:dyDescent="0.3">
      <c r="A288" s="110"/>
      <c r="B288" s="66" t="s">
        <v>8</v>
      </c>
      <c r="C288" s="62" t="s">
        <v>445</v>
      </c>
      <c r="D288" s="69" t="s">
        <v>9</v>
      </c>
      <c r="E288" s="60">
        <f>Fábrica!E288*'Mark Up '!$B$2</f>
        <v>25913.58</v>
      </c>
      <c r="F288" s="60">
        <f>Fábrica!F288*'Mark Up '!$B$3</f>
        <v>31055.64</v>
      </c>
      <c r="G288" s="60">
        <f>Fábrica!G288*'Mark Up '!$B$4</f>
        <v>33028.379999999997</v>
      </c>
    </row>
    <row r="289" spans="1:7" ht="20.25" x14ac:dyDescent="0.3">
      <c r="A289" s="110"/>
      <c r="B289" s="66" t="s">
        <v>10</v>
      </c>
      <c r="C289" s="62" t="s">
        <v>445</v>
      </c>
      <c r="D289" s="69" t="s">
        <v>11</v>
      </c>
      <c r="E289" s="60">
        <f>Fábrica!E289*'Mark Up '!$B$2</f>
        <v>27761.58</v>
      </c>
      <c r="F289" s="60">
        <f>Fábrica!F289*'Mark Up '!$B$3</f>
        <v>32520.18</v>
      </c>
      <c r="G289" s="60">
        <f>Fábrica!G289*'Mark Up '!$B$4</f>
        <v>34844.04</v>
      </c>
    </row>
    <row r="290" spans="1:7" ht="20.25" x14ac:dyDescent="0.3">
      <c r="A290" s="110"/>
      <c r="B290" s="66" t="s">
        <v>12</v>
      </c>
      <c r="C290" s="62" t="s">
        <v>445</v>
      </c>
      <c r="D290" s="69" t="s">
        <v>13</v>
      </c>
      <c r="E290" s="60">
        <f>Fábrica!E290*'Mark Up '!$B$2</f>
        <v>28676.34</v>
      </c>
      <c r="F290" s="60">
        <f>Fábrica!F290*'Mark Up '!$B$3</f>
        <v>33282.480000000003</v>
      </c>
      <c r="G290" s="60">
        <f>Fábrica!G290*'Mark Up '!$B$4</f>
        <v>36276.239999999998</v>
      </c>
    </row>
    <row r="291" spans="1:7" ht="20.25" x14ac:dyDescent="0.3">
      <c r="A291" s="110"/>
      <c r="B291" s="66" t="s">
        <v>14</v>
      </c>
      <c r="C291" s="62" t="s">
        <v>445</v>
      </c>
      <c r="D291" s="69" t="s">
        <v>15</v>
      </c>
      <c r="E291" s="60">
        <f>Fábrica!E291*'Mark Up '!$B$2</f>
        <v>30108.54</v>
      </c>
      <c r="F291" s="60">
        <f>Fábrica!F291*'Mark Up '!$B$3</f>
        <v>34760.879999999997</v>
      </c>
      <c r="G291" s="60">
        <f>Fábrica!G291*'Mark Up '!$B$4</f>
        <v>37514.400000000001</v>
      </c>
    </row>
    <row r="292" spans="1:7" ht="20.25" x14ac:dyDescent="0.3">
      <c r="A292" s="110"/>
      <c r="B292" s="57" t="s">
        <v>16</v>
      </c>
      <c r="C292" s="62" t="s">
        <v>445</v>
      </c>
      <c r="D292" s="57" t="s">
        <v>17</v>
      </c>
      <c r="E292" s="60">
        <f>Fábrica!E292*'Mark Up '!$B$2</f>
        <v>33125.4</v>
      </c>
      <c r="F292" s="60">
        <f>Fábrica!F292*'Mark Up '!$B$3</f>
        <v>39288.480000000003</v>
      </c>
      <c r="G292" s="60">
        <f>Fábrica!G292*'Mark Up '!$B$4</f>
        <v>42217.56</v>
      </c>
    </row>
    <row r="293" spans="1:7" ht="20.25" x14ac:dyDescent="0.3">
      <c r="A293" s="110"/>
      <c r="B293" s="57" t="s">
        <v>18</v>
      </c>
      <c r="C293" s="62" t="s">
        <v>445</v>
      </c>
      <c r="D293" s="57" t="s">
        <v>19</v>
      </c>
      <c r="E293" s="60">
        <f>Fábrica!E293*'Mark Up '!$B$2</f>
        <v>34525.26</v>
      </c>
      <c r="F293" s="60">
        <f>Fábrica!F293*'Mark Up '!$B$3</f>
        <v>40549.74</v>
      </c>
      <c r="G293" s="60">
        <f>Fábrica!G293*'Mark Up '!$B$4</f>
        <v>43428</v>
      </c>
    </row>
    <row r="294" spans="1:7" ht="20.25" x14ac:dyDescent="0.3">
      <c r="A294" s="110" t="s">
        <v>273</v>
      </c>
      <c r="B294" s="66" t="s">
        <v>54</v>
      </c>
      <c r="C294" s="67" t="s">
        <v>386</v>
      </c>
      <c r="D294" s="66" t="s">
        <v>7</v>
      </c>
      <c r="E294" s="60" t="s">
        <v>317</v>
      </c>
      <c r="F294" s="60">
        <f>Fábrica!F294*'Mark Up '!$B$3</f>
        <v>17569.86</v>
      </c>
      <c r="G294" s="60">
        <f>Fábrica!G294*'Mark Up '!$B$4</f>
        <v>18678.66</v>
      </c>
    </row>
    <row r="295" spans="1:7" ht="20.25" x14ac:dyDescent="0.3">
      <c r="A295" s="110"/>
      <c r="B295" s="66" t="s">
        <v>55</v>
      </c>
      <c r="C295" s="67" t="s">
        <v>386</v>
      </c>
      <c r="D295" s="66" t="s">
        <v>9</v>
      </c>
      <c r="E295" s="60" t="s">
        <v>317</v>
      </c>
      <c r="F295" s="60">
        <f>Fábrica!F295*'Mark Up '!$B$3</f>
        <v>18212.04</v>
      </c>
      <c r="G295" s="60">
        <f>Fábrica!G295*'Mark Up '!$B$4</f>
        <v>19468.68</v>
      </c>
    </row>
    <row r="296" spans="1:7" ht="20.25" x14ac:dyDescent="0.3">
      <c r="A296" s="110"/>
      <c r="B296" s="66" t="s">
        <v>56</v>
      </c>
      <c r="C296" s="67" t="s">
        <v>386</v>
      </c>
      <c r="D296" s="66" t="s">
        <v>11</v>
      </c>
      <c r="E296" s="60" t="s">
        <v>317</v>
      </c>
      <c r="F296" s="60">
        <f>Fábrica!F296*'Mark Up '!$B$3</f>
        <v>19690.439999999999</v>
      </c>
      <c r="G296" s="60">
        <f>Fábrica!G296*'Mark Up '!$B$4</f>
        <v>21242.760000000002</v>
      </c>
    </row>
    <row r="297" spans="1:7" ht="20.25" x14ac:dyDescent="0.3">
      <c r="A297" s="110"/>
      <c r="B297" s="66" t="s">
        <v>57</v>
      </c>
      <c r="C297" s="67" t="s">
        <v>386</v>
      </c>
      <c r="D297" s="66" t="s">
        <v>13</v>
      </c>
      <c r="E297" s="60" t="s">
        <v>317</v>
      </c>
      <c r="F297" s="60">
        <f>Fábrica!F297*'Mark Up '!$B$3</f>
        <v>20508.18</v>
      </c>
      <c r="G297" s="60">
        <f>Fábrica!G297*'Mark Up '!$B$4</f>
        <v>22268.400000000001</v>
      </c>
    </row>
    <row r="298" spans="1:7" ht="20.25" x14ac:dyDescent="0.3">
      <c r="A298" s="110"/>
      <c r="B298" s="66" t="s">
        <v>58</v>
      </c>
      <c r="C298" s="67" t="s">
        <v>386</v>
      </c>
      <c r="D298" s="66" t="s">
        <v>39</v>
      </c>
      <c r="E298" s="60" t="s">
        <v>317</v>
      </c>
      <c r="F298" s="60">
        <f>Fábrica!F298*'Mark Up '!$B$3</f>
        <v>23067.66</v>
      </c>
      <c r="G298" s="60">
        <f>Fábrica!G298*'Mark Up '!$B$4</f>
        <v>25151.279999999999</v>
      </c>
    </row>
    <row r="299" spans="1:7" ht="20.25" x14ac:dyDescent="0.3">
      <c r="A299" s="110"/>
      <c r="B299" s="66" t="s">
        <v>59</v>
      </c>
      <c r="C299" s="67" t="s">
        <v>386</v>
      </c>
      <c r="D299" s="66" t="s">
        <v>17</v>
      </c>
      <c r="E299" s="60" t="s">
        <v>317</v>
      </c>
      <c r="F299" s="60">
        <f>Fábrica!F299*'Mark Up '!$B$3</f>
        <v>29036.7</v>
      </c>
      <c r="G299" s="60">
        <f>Fábrica!G299*'Mark Up '!$B$4</f>
        <v>31032.54</v>
      </c>
    </row>
    <row r="300" spans="1:7" ht="20.25" x14ac:dyDescent="0.3">
      <c r="A300" s="110"/>
      <c r="B300" s="66" t="s">
        <v>60</v>
      </c>
      <c r="C300" s="67" t="s">
        <v>386</v>
      </c>
      <c r="D300" s="66" t="s">
        <v>19</v>
      </c>
      <c r="E300" s="60" t="s">
        <v>317</v>
      </c>
      <c r="F300" s="60">
        <f>Fábrica!F300*'Mark Up '!$B$3</f>
        <v>29743.56</v>
      </c>
      <c r="G300" s="60">
        <f>Fábrica!G300*'Mark Up '!$B$4</f>
        <v>31919.58</v>
      </c>
    </row>
    <row r="301" spans="1:7" ht="20.25" x14ac:dyDescent="0.3">
      <c r="A301" s="112" t="s">
        <v>310</v>
      </c>
      <c r="B301" s="61" t="s">
        <v>68</v>
      </c>
      <c r="C301" s="77" t="s">
        <v>471</v>
      </c>
      <c r="D301" s="87" t="s">
        <v>9</v>
      </c>
      <c r="E301" s="60">
        <f>Fábrica!E301*'Mark Up '!$B$2</f>
        <v>21700.14</v>
      </c>
      <c r="F301" s="60">
        <f>Fábrica!F301*'Mark Up '!$B$3</f>
        <v>23631.3</v>
      </c>
      <c r="G301" s="60">
        <f>Fábrica!G301*'Mark Up '!$B$4</f>
        <v>27507.48</v>
      </c>
    </row>
    <row r="302" spans="1:7" ht="20.25" x14ac:dyDescent="0.3">
      <c r="A302" s="113"/>
      <c r="B302" s="61" t="s">
        <v>69</v>
      </c>
      <c r="C302" s="77" t="s">
        <v>471</v>
      </c>
      <c r="D302" s="87" t="s">
        <v>11</v>
      </c>
      <c r="E302" s="60">
        <f>Fábrica!E302*'Mark Up '!$B$2</f>
        <v>23525.040000000001</v>
      </c>
      <c r="F302" s="60">
        <f>Fábrica!F302*'Mark Up '!$B$3</f>
        <v>25308.36</v>
      </c>
      <c r="G302" s="60">
        <f>Fábrica!G302*'Mark Up '!$B$4</f>
        <v>29512.560000000001</v>
      </c>
    </row>
    <row r="303" spans="1:7" ht="23.25" customHeight="1" x14ac:dyDescent="0.3">
      <c r="A303" s="113"/>
      <c r="B303" s="61" t="s">
        <v>70</v>
      </c>
      <c r="C303" s="77" t="s">
        <v>471</v>
      </c>
      <c r="D303" s="87" t="s">
        <v>13</v>
      </c>
      <c r="E303" s="60">
        <f>Fábrica!E303*'Mark Up '!$B$2</f>
        <v>24361.260000000002</v>
      </c>
      <c r="F303" s="60">
        <f>Fábrica!F303*'Mark Up '!$B$3</f>
        <v>26232.36</v>
      </c>
      <c r="G303" s="60">
        <f>Fábrica!G303*'Mark Up '!$B$4</f>
        <v>30616.74</v>
      </c>
    </row>
    <row r="304" spans="1:7" ht="20.25" x14ac:dyDescent="0.3">
      <c r="A304" s="113"/>
      <c r="B304" s="61" t="s">
        <v>71</v>
      </c>
      <c r="C304" s="77" t="s">
        <v>471</v>
      </c>
      <c r="D304" s="61" t="s">
        <v>444</v>
      </c>
      <c r="E304" s="60">
        <f>Fábrica!E304*'Mark Up '!$B$2</f>
        <v>27184.080000000002</v>
      </c>
      <c r="F304" s="60">
        <f>Fábrica!F304*'Mark Up '!$B$3</f>
        <v>29129.100000000002</v>
      </c>
      <c r="G304" s="60">
        <f>Fábrica!G304*'Mark Up '!$B$4</f>
        <v>33938.520000000004</v>
      </c>
    </row>
    <row r="305" spans="1:7" ht="20.25" x14ac:dyDescent="0.3">
      <c r="A305" s="113"/>
      <c r="B305" s="61" t="s">
        <v>72</v>
      </c>
      <c r="C305" s="77" t="s">
        <v>471</v>
      </c>
      <c r="D305" s="61" t="s">
        <v>17</v>
      </c>
      <c r="E305" s="60">
        <f>Fábrica!E305*'Mark Up '!$B$2</f>
        <v>32039.7</v>
      </c>
      <c r="F305" s="60">
        <f>Fábrica!F305*'Mark Up '!$B$3</f>
        <v>35125.86</v>
      </c>
      <c r="G305" s="60">
        <f>Fábrica!G305*'Mark Up '!$B$4</f>
        <v>39838.26</v>
      </c>
    </row>
    <row r="306" spans="1:7" ht="20.25" x14ac:dyDescent="0.3">
      <c r="A306" s="114"/>
      <c r="B306" s="61" t="s">
        <v>73</v>
      </c>
      <c r="C306" s="77" t="s">
        <v>471</v>
      </c>
      <c r="D306" s="61" t="s">
        <v>19</v>
      </c>
      <c r="E306" s="60">
        <f>Fábrica!E306*'Mark Up '!$B$2</f>
        <v>33458.04</v>
      </c>
      <c r="F306" s="60">
        <f>Fábrica!F306*'Mark Up '!$B$3</f>
        <v>35938.980000000003</v>
      </c>
      <c r="G306" s="60">
        <f>Fábrica!G306*'Mark Up '!$B$4</f>
        <v>40854.660000000003</v>
      </c>
    </row>
    <row r="307" spans="1:7" ht="20.25" x14ac:dyDescent="0.3">
      <c r="A307" s="112" t="s">
        <v>310</v>
      </c>
      <c r="B307" s="61" t="s">
        <v>472</v>
      </c>
      <c r="C307" s="77" t="s">
        <v>489</v>
      </c>
      <c r="D307" s="65" t="s">
        <v>9</v>
      </c>
      <c r="E307" s="60">
        <f>Fábrica!E307*'Mark Up '!$B$2</f>
        <v>22180.62</v>
      </c>
      <c r="F307" s="60">
        <f>Fábrica!F307*'Mark Up '!$B$3</f>
        <v>22420.86</v>
      </c>
      <c r="G307" s="60">
        <f>Fábrica!G307*'Mark Up '!$B$4</f>
        <v>25428.48</v>
      </c>
    </row>
    <row r="308" spans="1:7" ht="20.25" x14ac:dyDescent="0.3">
      <c r="A308" s="113"/>
      <c r="B308" s="61" t="s">
        <v>473</v>
      </c>
      <c r="C308" s="77" t="s">
        <v>489</v>
      </c>
      <c r="D308" s="65" t="s">
        <v>11</v>
      </c>
      <c r="E308" s="60">
        <f>Fábrica!E308*'Mark Up '!$B$2</f>
        <v>24809.4</v>
      </c>
      <c r="F308" s="60">
        <f>Fábrica!F308*'Mark Up '!$B$3</f>
        <v>24093.3</v>
      </c>
      <c r="G308" s="60">
        <f>Fábrica!G308*'Mark Up '!$B$4</f>
        <v>27433.56</v>
      </c>
    </row>
    <row r="309" spans="1:7" ht="20.25" x14ac:dyDescent="0.3">
      <c r="A309" s="113"/>
      <c r="B309" s="61" t="s">
        <v>474</v>
      </c>
      <c r="C309" s="77" t="s">
        <v>489</v>
      </c>
      <c r="D309" s="65" t="s">
        <v>475</v>
      </c>
      <c r="E309" s="60">
        <f>Fábrica!E309*'Mark Up '!$B$2</f>
        <v>25941.3</v>
      </c>
      <c r="F309" s="60">
        <f>Fábrica!F309*'Mark Up '!$B$3</f>
        <v>25017.3</v>
      </c>
      <c r="G309" s="60">
        <f>Fábrica!G309*'Mark Up '!$B$4</f>
        <v>28593.18</v>
      </c>
    </row>
    <row r="310" spans="1:7" ht="20.25" x14ac:dyDescent="0.3">
      <c r="A310" s="113"/>
      <c r="B310" s="61" t="s">
        <v>476</v>
      </c>
      <c r="C310" s="77" t="s">
        <v>489</v>
      </c>
      <c r="D310" s="64" t="s">
        <v>477</v>
      </c>
      <c r="E310" s="60">
        <f>Fábrica!E310*'Mark Up '!$B$2</f>
        <v>29554.14</v>
      </c>
      <c r="F310" s="60">
        <f>Fábrica!F310*'Mark Up '!$B$3</f>
        <v>27914.04</v>
      </c>
      <c r="G310" s="60">
        <f>Fábrica!G310*'Mark Up '!$B$4</f>
        <v>31854.9</v>
      </c>
    </row>
    <row r="311" spans="1:7" ht="20.25" x14ac:dyDescent="0.3">
      <c r="A311" s="113"/>
      <c r="B311" s="61" t="s">
        <v>478</v>
      </c>
      <c r="C311" s="77" t="s">
        <v>489</v>
      </c>
      <c r="D311" s="64" t="s">
        <v>479</v>
      </c>
      <c r="E311" s="60">
        <f>Fábrica!E311*'Mark Up '!$B$2</f>
        <v>35638.68</v>
      </c>
      <c r="F311" s="60">
        <f>Fábrica!F311*'Mark Up '!$B$3</f>
        <v>34663.86</v>
      </c>
      <c r="G311" s="60">
        <f>Fábrica!G311*'Mark Up '!$B$4</f>
        <v>38507.700000000004</v>
      </c>
    </row>
    <row r="312" spans="1:7" ht="20.25" x14ac:dyDescent="0.3">
      <c r="A312" s="114"/>
      <c r="B312" s="61" t="s">
        <v>480</v>
      </c>
      <c r="C312" s="77" t="s">
        <v>489</v>
      </c>
      <c r="D312" s="64" t="s">
        <v>481</v>
      </c>
      <c r="E312" s="60">
        <f>Fábrica!E312*'Mark Up '!$B$2</f>
        <v>37366.559999999998</v>
      </c>
      <c r="F312" s="60">
        <f>Fábrica!F312*'Mark Up '!$B$3</f>
        <v>35467.74</v>
      </c>
      <c r="G312" s="60">
        <f>Fábrica!G312*'Mark Up '!$B$4</f>
        <v>39514.86</v>
      </c>
    </row>
    <row r="313" spans="1:7" s="52" customFormat="1" ht="84.75" customHeight="1" x14ac:dyDescent="0.4">
      <c r="A313" s="100"/>
      <c r="B313" s="101"/>
      <c r="C313" s="102" t="s">
        <v>462</v>
      </c>
      <c r="D313" s="103"/>
      <c r="E313" s="103"/>
      <c r="F313" s="103"/>
      <c r="G313" s="104"/>
    </row>
    <row r="314" spans="1:7" x14ac:dyDescent="0.3">
      <c r="A314" s="119" t="s">
        <v>245</v>
      </c>
      <c r="B314" s="119"/>
      <c r="C314" s="119"/>
      <c r="D314" s="119"/>
      <c r="E314" s="119"/>
      <c r="F314" s="119"/>
      <c r="G314" s="119"/>
    </row>
    <row r="315" spans="1:7" x14ac:dyDescent="0.3">
      <c r="A315" s="119" t="s">
        <v>246</v>
      </c>
      <c r="B315" s="119"/>
      <c r="C315" s="119"/>
      <c r="D315" s="119"/>
      <c r="E315" s="119"/>
      <c r="F315" s="119"/>
      <c r="G315" s="119"/>
    </row>
    <row r="316" spans="1:7" x14ac:dyDescent="0.3">
      <c r="A316" s="120"/>
      <c r="B316" s="120"/>
      <c r="C316" s="120"/>
      <c r="D316" s="120"/>
      <c r="E316" s="88" t="s">
        <v>247</v>
      </c>
      <c r="F316" s="88" t="s">
        <v>248</v>
      </c>
      <c r="G316" s="88" t="s">
        <v>249</v>
      </c>
    </row>
    <row r="317" spans="1:7" ht="62.25" customHeight="1" x14ac:dyDescent="0.3">
      <c r="A317" s="94" t="s">
        <v>250</v>
      </c>
      <c r="B317" s="94" t="s">
        <v>251</v>
      </c>
      <c r="C317" s="94" t="s">
        <v>269</v>
      </c>
      <c r="D317" s="121" t="s">
        <v>253</v>
      </c>
      <c r="E317" s="97" t="s">
        <v>254</v>
      </c>
      <c r="F317" s="55" t="s">
        <v>262</v>
      </c>
      <c r="G317" s="107" t="s">
        <v>256</v>
      </c>
    </row>
    <row r="318" spans="1:7" x14ac:dyDescent="0.3">
      <c r="A318" s="94"/>
      <c r="B318" s="94"/>
      <c r="C318" s="94"/>
      <c r="D318" s="121"/>
      <c r="E318" s="97"/>
      <c r="F318" s="108" t="s">
        <v>363</v>
      </c>
      <c r="G318" s="107"/>
    </row>
    <row r="319" spans="1:7" ht="89.25" customHeight="1" x14ac:dyDescent="0.3">
      <c r="A319" s="94"/>
      <c r="B319" s="94"/>
      <c r="C319" s="94"/>
      <c r="D319" s="121"/>
      <c r="E319" s="97"/>
      <c r="F319" s="108"/>
      <c r="G319" s="56" t="s">
        <v>258</v>
      </c>
    </row>
    <row r="320" spans="1:7" x14ac:dyDescent="0.3">
      <c r="A320" s="94"/>
      <c r="B320" s="94"/>
      <c r="C320" s="94"/>
      <c r="D320" s="121"/>
      <c r="E320" s="97"/>
      <c r="F320" s="108"/>
      <c r="G320" s="56" t="s">
        <v>259</v>
      </c>
    </row>
    <row r="321" spans="1:7" x14ac:dyDescent="0.3">
      <c r="A321" s="94"/>
      <c r="B321" s="94"/>
      <c r="C321" s="94"/>
      <c r="D321" s="121"/>
      <c r="E321" s="97"/>
      <c r="F321" s="108"/>
      <c r="G321" s="109" t="s">
        <v>260</v>
      </c>
    </row>
    <row r="322" spans="1:7" ht="98.25" customHeight="1" x14ac:dyDescent="0.3">
      <c r="A322" s="94"/>
      <c r="B322" s="94"/>
      <c r="C322" s="94"/>
      <c r="D322" s="121"/>
      <c r="E322" s="97"/>
      <c r="F322" s="108"/>
      <c r="G322" s="109"/>
    </row>
    <row r="323" spans="1:7" ht="27.75" customHeight="1" x14ac:dyDescent="0.3">
      <c r="A323" s="106" t="s">
        <v>275</v>
      </c>
      <c r="B323" s="61" t="s">
        <v>176</v>
      </c>
      <c r="C323" s="80" t="s">
        <v>330</v>
      </c>
      <c r="D323" s="57" t="s">
        <v>428</v>
      </c>
      <c r="E323" s="60">
        <f>Fábrica!E323*'Mark Up '!$B$2</f>
        <v>11263.56</v>
      </c>
      <c r="F323" s="60">
        <f>Fábrica!F323*'Mark Up '!$B$3</f>
        <v>13776.84</v>
      </c>
      <c r="G323" s="60">
        <f>Fábrica!G323*'Mark Up '!$B$4</f>
        <v>16424.100000000002</v>
      </c>
    </row>
    <row r="324" spans="1:7" ht="27.75" customHeight="1" x14ac:dyDescent="0.3">
      <c r="A324" s="106"/>
      <c r="B324" s="61" t="s">
        <v>177</v>
      </c>
      <c r="C324" s="80" t="s">
        <v>330</v>
      </c>
      <c r="D324" s="57" t="s">
        <v>429</v>
      </c>
      <c r="E324" s="60">
        <f>Fábrica!E324*'Mark Up '!$B$2</f>
        <v>11683.98</v>
      </c>
      <c r="F324" s="60">
        <f>Fábrica!F324*'Mark Up '!$B$3</f>
        <v>14169.54</v>
      </c>
      <c r="G324" s="60">
        <f>Fábrica!G324*'Mark Up '!$B$4</f>
        <v>17024.7</v>
      </c>
    </row>
    <row r="325" spans="1:7" ht="27.75" customHeight="1" x14ac:dyDescent="0.3">
      <c r="A325" s="106"/>
      <c r="B325" s="61" t="s">
        <v>178</v>
      </c>
      <c r="C325" s="80" t="s">
        <v>330</v>
      </c>
      <c r="D325" s="57" t="s">
        <v>430</v>
      </c>
      <c r="E325" s="60">
        <f>Fábrica!E325*'Mark Up '!$B$2</f>
        <v>13037.64</v>
      </c>
      <c r="F325" s="60">
        <f>Fábrica!F325*'Mark Up '!$B$3</f>
        <v>15795.78</v>
      </c>
      <c r="G325" s="60">
        <f>Fábrica!G325*'Mark Up '!$B$4</f>
        <v>19025.16</v>
      </c>
    </row>
    <row r="326" spans="1:7" s="52" customFormat="1" ht="84.75" customHeight="1" x14ac:dyDescent="0.4">
      <c r="A326" s="100"/>
      <c r="B326" s="101"/>
      <c r="C326" s="102" t="s">
        <v>463</v>
      </c>
      <c r="D326" s="103"/>
      <c r="E326" s="103"/>
      <c r="F326" s="103"/>
      <c r="G326" s="104"/>
    </row>
    <row r="327" spans="1:7" x14ac:dyDescent="0.3">
      <c r="A327" s="105" t="s">
        <v>245</v>
      </c>
      <c r="B327" s="105"/>
      <c r="C327" s="105"/>
      <c r="D327" s="105"/>
      <c r="E327" s="105"/>
      <c r="F327" s="105"/>
      <c r="G327" s="105"/>
    </row>
    <row r="328" spans="1:7" x14ac:dyDescent="0.3">
      <c r="A328" s="105" t="s">
        <v>246</v>
      </c>
      <c r="B328" s="105"/>
      <c r="C328" s="105"/>
      <c r="D328" s="105"/>
      <c r="E328" s="105"/>
      <c r="F328" s="105"/>
      <c r="G328" s="105"/>
    </row>
    <row r="329" spans="1:7" x14ac:dyDescent="0.3">
      <c r="A329" s="92"/>
      <c r="B329" s="92"/>
      <c r="C329" s="92"/>
      <c r="D329" s="92"/>
      <c r="E329" s="54" t="s">
        <v>247</v>
      </c>
      <c r="F329" s="54" t="s">
        <v>248</v>
      </c>
      <c r="G329" s="54" t="s">
        <v>249</v>
      </c>
    </row>
    <row r="330" spans="1:7" ht="62.25" customHeight="1" x14ac:dyDescent="0.3">
      <c r="A330" s="93" t="s">
        <v>250</v>
      </c>
      <c r="B330" s="94" t="s">
        <v>251</v>
      </c>
      <c r="C330" s="95" t="s">
        <v>252</v>
      </c>
      <c r="D330" s="96" t="s">
        <v>253</v>
      </c>
      <c r="E330" s="97" t="s">
        <v>254</v>
      </c>
      <c r="F330" s="55" t="s">
        <v>262</v>
      </c>
      <c r="G330" s="107" t="s">
        <v>256</v>
      </c>
    </row>
    <row r="331" spans="1:7" x14ac:dyDescent="0.3">
      <c r="A331" s="93"/>
      <c r="B331" s="94"/>
      <c r="C331" s="95"/>
      <c r="D331" s="96"/>
      <c r="E331" s="97"/>
      <c r="F331" s="108" t="s">
        <v>270</v>
      </c>
      <c r="G331" s="107"/>
    </row>
    <row r="332" spans="1:7" ht="78.75" customHeight="1" x14ac:dyDescent="0.3">
      <c r="A332" s="93"/>
      <c r="B332" s="94"/>
      <c r="C332" s="95"/>
      <c r="D332" s="96"/>
      <c r="E332" s="97"/>
      <c r="F332" s="108"/>
      <c r="G332" s="56" t="s">
        <v>258</v>
      </c>
    </row>
    <row r="333" spans="1:7" x14ac:dyDescent="0.3">
      <c r="A333" s="93"/>
      <c r="B333" s="94"/>
      <c r="C333" s="95"/>
      <c r="D333" s="96"/>
      <c r="E333" s="97"/>
      <c r="F333" s="108"/>
      <c r="G333" s="56" t="s">
        <v>259</v>
      </c>
    </row>
    <row r="334" spans="1:7" x14ac:dyDescent="0.3">
      <c r="A334" s="93"/>
      <c r="B334" s="94"/>
      <c r="C334" s="95"/>
      <c r="D334" s="96"/>
      <c r="E334" s="97"/>
      <c r="F334" s="108"/>
      <c r="G334" s="109" t="s">
        <v>260</v>
      </c>
    </row>
    <row r="335" spans="1:7" ht="105.75" customHeight="1" x14ac:dyDescent="0.3">
      <c r="A335" s="93"/>
      <c r="B335" s="94"/>
      <c r="C335" s="95"/>
      <c r="D335" s="96"/>
      <c r="E335" s="97"/>
      <c r="F335" s="108"/>
      <c r="G335" s="109"/>
    </row>
    <row r="336" spans="1:7" ht="24.95" customHeight="1" x14ac:dyDescent="0.3">
      <c r="A336" s="110" t="s">
        <v>276</v>
      </c>
      <c r="B336" s="66" t="s">
        <v>110</v>
      </c>
      <c r="C336" s="63" t="s">
        <v>346</v>
      </c>
      <c r="D336" s="66" t="s">
        <v>111</v>
      </c>
      <c r="E336" s="60">
        <f>Fábrica!E336*'Mark Up '!$B$2</f>
        <v>7156.38</v>
      </c>
      <c r="F336" s="60">
        <f>Fábrica!F336*'Mark Up '!$B$3</f>
        <v>7854</v>
      </c>
      <c r="G336" s="60">
        <f>Fábrica!G336*'Mark Up '!$B$4</f>
        <v>8505.42</v>
      </c>
    </row>
    <row r="337" spans="1:7" ht="24.95" customHeight="1" x14ac:dyDescent="0.3">
      <c r="A337" s="110"/>
      <c r="B337" s="66" t="s">
        <v>112</v>
      </c>
      <c r="C337" s="63" t="s">
        <v>346</v>
      </c>
      <c r="D337" s="66" t="s">
        <v>113</v>
      </c>
      <c r="E337" s="60">
        <f>Fábrica!E337*'Mark Up '!$B$2</f>
        <v>7738.5</v>
      </c>
      <c r="F337" s="60">
        <f>Fábrica!F337*'Mark Up '!$B$3</f>
        <v>9032.1</v>
      </c>
      <c r="G337" s="60">
        <f>Fábrica!G337*'Mark Up '!$B$4</f>
        <v>9521.82</v>
      </c>
    </row>
    <row r="338" spans="1:7" ht="24.95" customHeight="1" x14ac:dyDescent="0.3">
      <c r="A338" s="110"/>
      <c r="B338" s="66" t="s">
        <v>114</v>
      </c>
      <c r="C338" s="63" t="s">
        <v>346</v>
      </c>
      <c r="D338" s="66" t="s">
        <v>115</v>
      </c>
      <c r="E338" s="60">
        <f>Fábrica!E338*'Mark Up '!$B$2</f>
        <v>8625.5400000000009</v>
      </c>
      <c r="F338" s="60">
        <f>Fábrica!F338*'Mark Up '!$B$3</f>
        <v>9424.8000000000011</v>
      </c>
      <c r="G338" s="60">
        <f>Fábrica!G338*'Mark Up '!$B$4</f>
        <v>10228.68</v>
      </c>
    </row>
    <row r="339" spans="1:7" ht="24.95" customHeight="1" x14ac:dyDescent="0.3">
      <c r="A339" s="110"/>
      <c r="B339" s="66" t="s">
        <v>116</v>
      </c>
      <c r="C339" s="63" t="s">
        <v>346</v>
      </c>
      <c r="D339" s="66" t="s">
        <v>117</v>
      </c>
      <c r="E339" s="60">
        <f>Fábrica!E339*'Mark Up '!$B$2</f>
        <v>9129.1200000000008</v>
      </c>
      <c r="F339" s="60">
        <f>Fábrica!F339*'Mark Up '!$B$3</f>
        <v>10048.5</v>
      </c>
      <c r="G339" s="60">
        <f>Fábrica!G339*'Mark Up '!$B$4</f>
        <v>10589.04</v>
      </c>
    </row>
  </sheetData>
  <sheetProtection password="E4DE" sheet="1" objects="1" scenarios="1"/>
  <mergeCells count="200">
    <mergeCell ref="G334:G335"/>
    <mergeCell ref="A336:A339"/>
    <mergeCell ref="A327:G327"/>
    <mergeCell ref="A328:G328"/>
    <mergeCell ref="A329:D329"/>
    <mergeCell ref="A330:A335"/>
    <mergeCell ref="B330:B335"/>
    <mergeCell ref="C330:C335"/>
    <mergeCell ref="D330:D335"/>
    <mergeCell ref="E330:E335"/>
    <mergeCell ref="G330:G331"/>
    <mergeCell ref="F331:F335"/>
    <mergeCell ref="G317:G318"/>
    <mergeCell ref="F318:F322"/>
    <mergeCell ref="G321:G322"/>
    <mergeCell ref="A323:A325"/>
    <mergeCell ref="A326:B326"/>
    <mergeCell ref="C326:G326"/>
    <mergeCell ref="A316:D316"/>
    <mergeCell ref="A317:A322"/>
    <mergeCell ref="B317:B322"/>
    <mergeCell ref="C317:C322"/>
    <mergeCell ref="D317:D322"/>
    <mergeCell ref="E317:E322"/>
    <mergeCell ref="A301:A306"/>
    <mergeCell ref="A307:A312"/>
    <mergeCell ref="A313:B313"/>
    <mergeCell ref="C313:G313"/>
    <mergeCell ref="A314:G314"/>
    <mergeCell ref="A315:G315"/>
    <mergeCell ref="G274:G275"/>
    <mergeCell ref="F275:F279"/>
    <mergeCell ref="G278:G279"/>
    <mergeCell ref="A280:A286"/>
    <mergeCell ref="A287:A293"/>
    <mergeCell ref="A294:A300"/>
    <mergeCell ref="A273:D273"/>
    <mergeCell ref="A274:A279"/>
    <mergeCell ref="B274:B279"/>
    <mergeCell ref="C274:C279"/>
    <mergeCell ref="D274:D279"/>
    <mergeCell ref="E274:E279"/>
    <mergeCell ref="A268:B268"/>
    <mergeCell ref="C268:G268"/>
    <mergeCell ref="A269:G269"/>
    <mergeCell ref="A270:G270"/>
    <mergeCell ref="A271:G271"/>
    <mergeCell ref="A272:G272"/>
    <mergeCell ref="A230:A234"/>
    <mergeCell ref="A235:A241"/>
    <mergeCell ref="A242:A248"/>
    <mergeCell ref="A249:A255"/>
    <mergeCell ref="A256:A261"/>
    <mergeCell ref="A262:A267"/>
    <mergeCell ref="A202:A205"/>
    <mergeCell ref="A206:A211"/>
    <mergeCell ref="A212:A213"/>
    <mergeCell ref="A214:A217"/>
    <mergeCell ref="A218:A224"/>
    <mergeCell ref="A225:A229"/>
    <mergeCell ref="A196:A201"/>
    <mergeCell ref="B196:B201"/>
    <mergeCell ref="C196:C201"/>
    <mergeCell ref="D196:D201"/>
    <mergeCell ref="E196:E201"/>
    <mergeCell ref="G196:G197"/>
    <mergeCell ref="F197:F201"/>
    <mergeCell ref="G200:G201"/>
    <mergeCell ref="C190:G190"/>
    <mergeCell ref="A191:G191"/>
    <mergeCell ref="A192:G192"/>
    <mergeCell ref="A193:G193"/>
    <mergeCell ref="A194:G194"/>
    <mergeCell ref="A195:D195"/>
    <mergeCell ref="A174:A177"/>
    <mergeCell ref="A178:A179"/>
    <mergeCell ref="A180:A181"/>
    <mergeCell ref="A182:A187"/>
    <mergeCell ref="A188:A189"/>
    <mergeCell ref="A190:B190"/>
    <mergeCell ref="G157:G158"/>
    <mergeCell ref="F158:F162"/>
    <mergeCell ref="G161:G162"/>
    <mergeCell ref="A163:A165"/>
    <mergeCell ref="A167:A169"/>
    <mergeCell ref="A170:A173"/>
    <mergeCell ref="A156:D156"/>
    <mergeCell ref="A157:A162"/>
    <mergeCell ref="B157:B162"/>
    <mergeCell ref="C157:C162"/>
    <mergeCell ref="D157:D162"/>
    <mergeCell ref="E157:E162"/>
    <mergeCell ref="A147:A148"/>
    <mergeCell ref="A149:A151"/>
    <mergeCell ref="A152:A153"/>
    <mergeCell ref="A154:B154"/>
    <mergeCell ref="C154:G154"/>
    <mergeCell ref="A155:G155"/>
    <mergeCell ref="A125:A128"/>
    <mergeCell ref="A129:A131"/>
    <mergeCell ref="A132:A133"/>
    <mergeCell ref="A134:A139"/>
    <mergeCell ref="A141:A143"/>
    <mergeCell ref="A144:A146"/>
    <mergeCell ref="A119:A124"/>
    <mergeCell ref="B119:B124"/>
    <mergeCell ref="C119:C124"/>
    <mergeCell ref="D119:D124"/>
    <mergeCell ref="E119:E124"/>
    <mergeCell ref="G119:G120"/>
    <mergeCell ref="F120:F124"/>
    <mergeCell ref="G123:G124"/>
    <mergeCell ref="G109:G110"/>
    <mergeCell ref="A113:A115"/>
    <mergeCell ref="A116:B116"/>
    <mergeCell ref="C116:G116"/>
    <mergeCell ref="A117:G117"/>
    <mergeCell ref="A118:D118"/>
    <mergeCell ref="A102:G102"/>
    <mergeCell ref="A103:G103"/>
    <mergeCell ref="A104:D104"/>
    <mergeCell ref="A105:A110"/>
    <mergeCell ref="B105:B110"/>
    <mergeCell ref="C105:C110"/>
    <mergeCell ref="D105:D110"/>
    <mergeCell ref="E105:E110"/>
    <mergeCell ref="G105:G106"/>
    <mergeCell ref="F106:F110"/>
    <mergeCell ref="A92:A93"/>
    <mergeCell ref="A94:A95"/>
    <mergeCell ref="A96:A97"/>
    <mergeCell ref="A98:A99"/>
    <mergeCell ref="A101:B101"/>
    <mergeCell ref="C101:G101"/>
    <mergeCell ref="A84:G84"/>
    <mergeCell ref="A85:D85"/>
    <mergeCell ref="A86:A91"/>
    <mergeCell ref="B86:B91"/>
    <mergeCell ref="C86:C91"/>
    <mergeCell ref="D86:D91"/>
    <mergeCell ref="E86:E91"/>
    <mergeCell ref="G86:G87"/>
    <mergeCell ref="F87:F91"/>
    <mergeCell ref="G90:G91"/>
    <mergeCell ref="G71:G72"/>
    <mergeCell ref="A73:A76"/>
    <mergeCell ref="A78:A81"/>
    <mergeCell ref="A82:B82"/>
    <mergeCell ref="C82:G82"/>
    <mergeCell ref="A83:G83"/>
    <mergeCell ref="A64:G64"/>
    <mergeCell ref="A65:G65"/>
    <mergeCell ref="A66:D66"/>
    <mergeCell ref="A67:A72"/>
    <mergeCell ref="B67:B72"/>
    <mergeCell ref="C67:C72"/>
    <mergeCell ref="D67:D72"/>
    <mergeCell ref="E67:E72"/>
    <mergeCell ref="G67:G68"/>
    <mergeCell ref="F68:F72"/>
    <mergeCell ref="G49:G50"/>
    <mergeCell ref="A51:A54"/>
    <mergeCell ref="A55:A58"/>
    <mergeCell ref="A59:A62"/>
    <mergeCell ref="A63:B63"/>
    <mergeCell ref="C63:G63"/>
    <mergeCell ref="A42:G42"/>
    <mergeCell ref="A43:G43"/>
    <mergeCell ref="A44:D44"/>
    <mergeCell ref="A45:A50"/>
    <mergeCell ref="B45:B50"/>
    <mergeCell ref="C45:C50"/>
    <mergeCell ref="D45:D50"/>
    <mergeCell ref="E45:E50"/>
    <mergeCell ref="G45:G46"/>
    <mergeCell ref="F46:F50"/>
    <mergeCell ref="A25:A28"/>
    <mergeCell ref="A29:A32"/>
    <mergeCell ref="A33:A36"/>
    <mergeCell ref="A37:A40"/>
    <mergeCell ref="A41:B41"/>
    <mergeCell ref="C41:G41"/>
    <mergeCell ref="G7:G8"/>
    <mergeCell ref="F8:F12"/>
    <mergeCell ref="G11:G12"/>
    <mergeCell ref="A13:A16"/>
    <mergeCell ref="A17:A20"/>
    <mergeCell ref="A21:A24"/>
    <mergeCell ref="A6:D6"/>
    <mergeCell ref="A7:A12"/>
    <mergeCell ref="B7:B12"/>
    <mergeCell ref="C7:C12"/>
    <mergeCell ref="D7:D12"/>
    <mergeCell ref="E7:E12"/>
    <mergeCell ref="A1:G1"/>
    <mergeCell ref="A2:G2"/>
    <mergeCell ref="A3:B3"/>
    <mergeCell ref="C3:G3"/>
    <mergeCell ref="A4:G4"/>
    <mergeCell ref="A5:G5"/>
  </mergeCells>
  <conditionalFormatting sqref="A1:XFD1048576">
    <cfRule type="cellIs" dxfId="1" priority="2" operator="equal">
      <formula>0</formula>
    </cfRule>
    <cfRule type="cellIs" dxfId="0" priority="1" operator="equal">
      <formula>0</formula>
    </cfRule>
  </conditionalFormatting>
  <pageMargins left="0" right="0" top="0.39370078740157483" bottom="0" header="0.39370078740157483" footer="0"/>
  <pageSetup paperSize="9" scale="42" fitToHeight="5" orientation="portrait" r:id="rId1"/>
  <headerFooter>
    <oddFooter>&amp;RPágina &amp;P de &amp;N</oddFooter>
  </headerFooter>
  <rowBreaks count="6" manualBreakCount="6">
    <brk id="62" max="16383" man="1"/>
    <brk id="100" max="16383" man="1"/>
    <brk id="153" max="16383" man="1"/>
    <brk id="189" max="16383" man="1"/>
    <brk id="267" max="16383" man="1"/>
    <brk id="32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view="pageBreakPreview" topLeftCell="A292" zoomScale="70" zoomScaleNormal="70" zoomScaleSheetLayoutView="70" workbookViewId="0">
      <selection activeCell="C310" sqref="C310"/>
    </sheetView>
  </sheetViews>
  <sheetFormatPr defaultRowHeight="18.75" x14ac:dyDescent="0.3"/>
  <cols>
    <col min="1" max="1" width="19.140625" style="37" customWidth="1"/>
    <col min="2" max="2" width="14.5703125" style="1" bestFit="1" customWidth="1"/>
    <col min="3" max="3" width="109" style="1" customWidth="1"/>
    <col min="4" max="4" width="27.28515625" style="1" customWidth="1"/>
    <col min="5" max="5" width="20.5703125" style="1" customWidth="1"/>
    <col min="6" max="6" width="20.28515625" style="1" bestFit="1" customWidth="1"/>
    <col min="7" max="7" width="22" style="1" bestFit="1" customWidth="1"/>
    <col min="8" max="16384" width="9.140625" style="1"/>
  </cols>
  <sheetData>
    <row r="1" spans="1:7" ht="74.25" customHeight="1" x14ac:dyDescent="0.3">
      <c r="A1" s="152" t="s">
        <v>387</v>
      </c>
      <c r="B1" s="152"/>
      <c r="C1" s="152"/>
      <c r="D1" s="152"/>
      <c r="E1" s="152"/>
      <c r="F1" s="152"/>
      <c r="G1" s="152"/>
    </row>
    <row r="2" spans="1:7" ht="39.75" customHeight="1" x14ac:dyDescent="0.3">
      <c r="A2" s="153" t="s">
        <v>511</v>
      </c>
      <c r="B2" s="153"/>
      <c r="C2" s="153"/>
      <c r="D2" s="153"/>
      <c r="E2" s="153"/>
      <c r="F2" s="153"/>
      <c r="G2" s="153"/>
    </row>
    <row r="3" spans="1:7" s="3" customFormat="1" ht="84.75" customHeight="1" x14ac:dyDescent="0.4">
      <c r="A3" s="122"/>
      <c r="B3" s="123"/>
      <c r="C3" s="124" t="s">
        <v>456</v>
      </c>
      <c r="D3" s="125"/>
      <c r="E3" s="125"/>
      <c r="F3" s="125"/>
      <c r="G3" s="126"/>
    </row>
    <row r="4" spans="1:7" s="4" customFormat="1" ht="18" x14ac:dyDescent="0.25">
      <c r="A4" s="136" t="s">
        <v>245</v>
      </c>
      <c r="B4" s="136"/>
      <c r="C4" s="136"/>
      <c r="D4" s="136"/>
      <c r="E4" s="136"/>
      <c r="F4" s="136"/>
      <c r="G4" s="136"/>
    </row>
    <row r="5" spans="1:7" s="4" customFormat="1" ht="18" x14ac:dyDescent="0.25">
      <c r="A5" s="136" t="s">
        <v>246</v>
      </c>
      <c r="B5" s="136"/>
      <c r="C5" s="136"/>
      <c r="D5" s="136"/>
      <c r="E5" s="136"/>
      <c r="F5" s="136"/>
      <c r="G5" s="136"/>
    </row>
    <row r="6" spans="1:7" s="4" customFormat="1" ht="18" x14ac:dyDescent="0.25">
      <c r="A6" s="141"/>
      <c r="B6" s="141"/>
      <c r="C6" s="141"/>
      <c r="D6" s="141"/>
      <c r="E6" s="2" t="s">
        <v>247</v>
      </c>
      <c r="F6" s="2" t="s">
        <v>248</v>
      </c>
      <c r="G6" s="2" t="s">
        <v>249</v>
      </c>
    </row>
    <row r="7" spans="1:7" s="4" customFormat="1" ht="64.5" customHeight="1" x14ac:dyDescent="0.25">
      <c r="A7" s="142" t="s">
        <v>250</v>
      </c>
      <c r="B7" s="129" t="s">
        <v>251</v>
      </c>
      <c r="C7" s="143" t="s">
        <v>252</v>
      </c>
      <c r="D7" s="144" t="s">
        <v>253</v>
      </c>
      <c r="E7" s="131" t="s">
        <v>254</v>
      </c>
      <c r="F7" s="44" t="s">
        <v>255</v>
      </c>
      <c r="G7" s="132" t="s">
        <v>256</v>
      </c>
    </row>
    <row r="8" spans="1:7" s="4" customFormat="1" ht="15" x14ac:dyDescent="0.25">
      <c r="A8" s="142"/>
      <c r="B8" s="129"/>
      <c r="C8" s="143"/>
      <c r="D8" s="144"/>
      <c r="E8" s="131"/>
      <c r="F8" s="133" t="s">
        <v>257</v>
      </c>
      <c r="G8" s="132"/>
    </row>
    <row r="9" spans="1:7" s="4" customFormat="1" ht="81" customHeight="1" x14ac:dyDescent="0.25">
      <c r="A9" s="142"/>
      <c r="B9" s="129"/>
      <c r="C9" s="143"/>
      <c r="D9" s="144"/>
      <c r="E9" s="131"/>
      <c r="F9" s="133"/>
      <c r="G9" s="43" t="s">
        <v>258</v>
      </c>
    </row>
    <row r="10" spans="1:7" s="4" customFormat="1" ht="15" x14ac:dyDescent="0.25">
      <c r="A10" s="142"/>
      <c r="B10" s="129"/>
      <c r="C10" s="143"/>
      <c r="D10" s="144"/>
      <c r="E10" s="131"/>
      <c r="F10" s="133"/>
      <c r="G10" s="43" t="s">
        <v>259</v>
      </c>
    </row>
    <row r="11" spans="1:7" s="4" customFormat="1" ht="15" x14ac:dyDescent="0.25">
      <c r="A11" s="142"/>
      <c r="B11" s="129"/>
      <c r="C11" s="143"/>
      <c r="D11" s="144"/>
      <c r="E11" s="131"/>
      <c r="F11" s="133"/>
      <c r="G11" s="134" t="s">
        <v>260</v>
      </c>
    </row>
    <row r="12" spans="1:7" s="4" customFormat="1" ht="108" customHeight="1" x14ac:dyDescent="0.25">
      <c r="A12" s="142"/>
      <c r="B12" s="129"/>
      <c r="C12" s="143"/>
      <c r="D12" s="144"/>
      <c r="E12" s="131"/>
      <c r="F12" s="133"/>
      <c r="G12" s="134"/>
    </row>
    <row r="13" spans="1:7" ht="24" customHeight="1" x14ac:dyDescent="0.3">
      <c r="A13" s="135" t="s">
        <v>284</v>
      </c>
      <c r="B13" s="15" t="s">
        <v>172</v>
      </c>
      <c r="C13" s="26" t="s">
        <v>502</v>
      </c>
      <c r="D13" s="31" t="s">
        <v>431</v>
      </c>
      <c r="E13" s="17">
        <v>2014</v>
      </c>
      <c r="F13" s="17">
        <v>2083</v>
      </c>
      <c r="G13" s="17">
        <v>2409</v>
      </c>
    </row>
    <row r="14" spans="1:7" ht="24" customHeight="1" x14ac:dyDescent="0.3">
      <c r="A14" s="135"/>
      <c r="B14" s="15" t="s">
        <v>173</v>
      </c>
      <c r="C14" s="26" t="s">
        <v>502</v>
      </c>
      <c r="D14" s="31" t="s">
        <v>400</v>
      </c>
      <c r="E14" s="17">
        <v>2068</v>
      </c>
      <c r="F14" s="17">
        <v>2163</v>
      </c>
      <c r="G14" s="17">
        <v>2532</v>
      </c>
    </row>
    <row r="15" spans="1:7" ht="24" customHeight="1" x14ac:dyDescent="0.3">
      <c r="A15" s="135"/>
      <c r="B15" s="15" t="s">
        <v>174</v>
      </c>
      <c r="C15" s="26" t="s">
        <v>502</v>
      </c>
      <c r="D15" s="31" t="s">
        <v>401</v>
      </c>
      <c r="E15" s="17">
        <v>2238</v>
      </c>
      <c r="F15" s="17">
        <v>2314</v>
      </c>
      <c r="G15" s="17">
        <v>2722</v>
      </c>
    </row>
    <row r="16" spans="1:7" ht="24" customHeight="1" x14ac:dyDescent="0.3">
      <c r="A16" s="135"/>
      <c r="B16" s="15" t="s">
        <v>175</v>
      </c>
      <c r="C16" s="26" t="s">
        <v>502</v>
      </c>
      <c r="D16" s="15" t="s">
        <v>402</v>
      </c>
      <c r="E16" s="17">
        <v>2373</v>
      </c>
      <c r="F16" s="17">
        <v>2485</v>
      </c>
      <c r="G16" s="17">
        <v>2935</v>
      </c>
    </row>
    <row r="17" spans="1:7" ht="24" customHeight="1" x14ac:dyDescent="0.3">
      <c r="A17" s="140" t="s">
        <v>285</v>
      </c>
      <c r="B17" s="11" t="s">
        <v>151</v>
      </c>
      <c r="C17" s="16" t="s">
        <v>371</v>
      </c>
      <c r="D17" s="31" t="s">
        <v>152</v>
      </c>
      <c r="E17" s="17">
        <v>1694</v>
      </c>
      <c r="F17" s="17">
        <v>1726</v>
      </c>
      <c r="G17" s="17">
        <v>1842</v>
      </c>
    </row>
    <row r="18" spans="1:7" ht="24" customHeight="1" x14ac:dyDescent="0.3">
      <c r="A18" s="140"/>
      <c r="B18" s="11" t="s">
        <v>153</v>
      </c>
      <c r="C18" s="16" t="s">
        <v>371</v>
      </c>
      <c r="D18" s="31" t="s">
        <v>154</v>
      </c>
      <c r="E18" s="17">
        <v>1768</v>
      </c>
      <c r="F18" s="17">
        <v>1826</v>
      </c>
      <c r="G18" s="17">
        <v>1946</v>
      </c>
    </row>
    <row r="19" spans="1:7" ht="24" customHeight="1" x14ac:dyDescent="0.3">
      <c r="A19" s="140"/>
      <c r="B19" s="11" t="s">
        <v>155</v>
      </c>
      <c r="C19" s="16" t="s">
        <v>371</v>
      </c>
      <c r="D19" s="31" t="s">
        <v>156</v>
      </c>
      <c r="E19" s="17">
        <v>1868</v>
      </c>
      <c r="F19" s="17">
        <v>1922</v>
      </c>
      <c r="G19" s="17">
        <v>2073</v>
      </c>
    </row>
    <row r="20" spans="1:7" ht="24" customHeight="1" x14ac:dyDescent="0.3">
      <c r="A20" s="140"/>
      <c r="B20" s="11" t="s">
        <v>157</v>
      </c>
      <c r="C20" s="16" t="s">
        <v>371</v>
      </c>
      <c r="D20" s="15" t="s">
        <v>158</v>
      </c>
      <c r="E20" s="17">
        <v>1942</v>
      </c>
      <c r="F20" s="17">
        <v>2062</v>
      </c>
      <c r="G20" s="17">
        <v>2319</v>
      </c>
    </row>
    <row r="21" spans="1:7" ht="24" customHeight="1" x14ac:dyDescent="0.3">
      <c r="A21" s="140" t="s">
        <v>276</v>
      </c>
      <c r="B21" s="11" t="s">
        <v>159</v>
      </c>
      <c r="C21" s="19" t="s">
        <v>370</v>
      </c>
      <c r="D21" s="6" t="s">
        <v>160</v>
      </c>
      <c r="E21" s="17">
        <v>1481</v>
      </c>
      <c r="F21" s="17">
        <v>1581</v>
      </c>
      <c r="G21" s="17">
        <v>1833</v>
      </c>
    </row>
    <row r="22" spans="1:7" ht="24" customHeight="1" x14ac:dyDescent="0.3">
      <c r="A22" s="140"/>
      <c r="B22" s="11" t="s">
        <v>161</v>
      </c>
      <c r="C22" s="19" t="s">
        <v>370</v>
      </c>
      <c r="D22" s="6" t="s">
        <v>162</v>
      </c>
      <c r="E22" s="17">
        <v>1592</v>
      </c>
      <c r="F22" s="17">
        <v>1708</v>
      </c>
      <c r="G22" s="17">
        <v>1957</v>
      </c>
    </row>
    <row r="23" spans="1:7" ht="24" customHeight="1" x14ac:dyDescent="0.3">
      <c r="A23" s="140"/>
      <c r="B23" s="11" t="s">
        <v>163</v>
      </c>
      <c r="C23" s="19" t="s">
        <v>370</v>
      </c>
      <c r="D23" s="6" t="s">
        <v>164</v>
      </c>
      <c r="E23" s="17">
        <v>1660</v>
      </c>
      <c r="F23" s="17">
        <v>1793</v>
      </c>
      <c r="G23" s="17">
        <v>2073</v>
      </c>
    </row>
    <row r="24" spans="1:7" ht="24" customHeight="1" x14ac:dyDescent="0.3">
      <c r="A24" s="140"/>
      <c r="B24" s="11" t="s">
        <v>165</v>
      </c>
      <c r="C24" s="19" t="s">
        <v>370</v>
      </c>
      <c r="D24" s="6" t="s">
        <v>166</v>
      </c>
      <c r="E24" s="17">
        <v>1805</v>
      </c>
      <c r="F24" s="17">
        <v>1953</v>
      </c>
      <c r="G24" s="17">
        <v>2256</v>
      </c>
    </row>
    <row r="25" spans="1:7" ht="24" customHeight="1" x14ac:dyDescent="0.3">
      <c r="A25" s="140" t="s">
        <v>279</v>
      </c>
      <c r="B25" s="6" t="s">
        <v>167</v>
      </c>
      <c r="C25" s="16" t="s">
        <v>399</v>
      </c>
      <c r="D25" s="8" t="s">
        <v>336</v>
      </c>
      <c r="E25" s="17">
        <v>1671</v>
      </c>
      <c r="F25" s="17">
        <v>1765</v>
      </c>
      <c r="G25" s="17">
        <v>1967</v>
      </c>
    </row>
    <row r="26" spans="1:7" ht="24" customHeight="1" x14ac:dyDescent="0.3">
      <c r="A26" s="140"/>
      <c r="B26" s="6" t="s">
        <v>169</v>
      </c>
      <c r="C26" s="16" t="s">
        <v>399</v>
      </c>
      <c r="D26" s="8" t="s">
        <v>337</v>
      </c>
      <c r="E26" s="17">
        <v>1787</v>
      </c>
      <c r="F26" s="17">
        <v>2011</v>
      </c>
      <c r="G26" s="17">
        <v>2137</v>
      </c>
    </row>
    <row r="27" spans="1:7" ht="24" customHeight="1" x14ac:dyDescent="0.3">
      <c r="A27" s="140"/>
      <c r="B27" s="6" t="s">
        <v>170</v>
      </c>
      <c r="C27" s="16" t="s">
        <v>399</v>
      </c>
      <c r="D27" s="8" t="s">
        <v>338</v>
      </c>
      <c r="E27" s="17">
        <v>1878</v>
      </c>
      <c r="F27" s="17">
        <v>2125</v>
      </c>
      <c r="G27" s="17">
        <v>2237</v>
      </c>
    </row>
    <row r="28" spans="1:7" ht="24" customHeight="1" x14ac:dyDescent="0.3">
      <c r="A28" s="140"/>
      <c r="B28" s="6" t="s">
        <v>171</v>
      </c>
      <c r="C28" s="16" t="s">
        <v>399</v>
      </c>
      <c r="D28" s="6" t="s">
        <v>339</v>
      </c>
      <c r="E28" s="17">
        <v>1945</v>
      </c>
      <c r="F28" s="17">
        <v>2209</v>
      </c>
      <c r="G28" s="17">
        <v>2327</v>
      </c>
    </row>
    <row r="29" spans="1:7" ht="24" customHeight="1" x14ac:dyDescent="0.3">
      <c r="A29" s="140" t="s">
        <v>315</v>
      </c>
      <c r="B29" s="13" t="s">
        <v>311</v>
      </c>
      <c r="C29" s="14" t="s">
        <v>373</v>
      </c>
      <c r="D29" s="31" t="s">
        <v>403</v>
      </c>
      <c r="E29" s="17">
        <v>2595</v>
      </c>
      <c r="F29" s="17">
        <v>2829</v>
      </c>
      <c r="G29" s="17">
        <v>3327</v>
      </c>
    </row>
    <row r="30" spans="1:7" ht="24" customHeight="1" x14ac:dyDescent="0.3">
      <c r="A30" s="140"/>
      <c r="B30" s="13" t="s">
        <v>312</v>
      </c>
      <c r="C30" s="14" t="s">
        <v>373</v>
      </c>
      <c r="D30" s="31" t="s">
        <v>404</v>
      </c>
      <c r="E30" s="17">
        <v>2882</v>
      </c>
      <c r="F30" s="17">
        <v>3132</v>
      </c>
      <c r="G30" s="17">
        <v>3703</v>
      </c>
    </row>
    <row r="31" spans="1:7" ht="24" customHeight="1" x14ac:dyDescent="0.3">
      <c r="A31" s="140"/>
      <c r="B31" s="13" t="s">
        <v>313</v>
      </c>
      <c r="C31" s="14" t="s">
        <v>373</v>
      </c>
      <c r="D31" s="31" t="s">
        <v>405</v>
      </c>
      <c r="E31" s="17">
        <v>3233</v>
      </c>
      <c r="F31" s="17">
        <v>3484</v>
      </c>
      <c r="G31" s="17">
        <v>4035</v>
      </c>
    </row>
    <row r="32" spans="1:7" ht="24" customHeight="1" x14ac:dyDescent="0.3">
      <c r="A32" s="140"/>
      <c r="B32" s="13" t="s">
        <v>314</v>
      </c>
      <c r="C32" s="14" t="s">
        <v>373</v>
      </c>
      <c r="D32" s="15" t="s">
        <v>406</v>
      </c>
      <c r="E32" s="17">
        <v>3366</v>
      </c>
      <c r="F32" s="17">
        <v>3677</v>
      </c>
      <c r="G32" s="17">
        <v>4354</v>
      </c>
    </row>
    <row r="33" spans="1:7" ht="24" customHeight="1" x14ac:dyDescent="0.3">
      <c r="A33" s="140" t="s">
        <v>286</v>
      </c>
      <c r="B33" s="6" t="s">
        <v>120</v>
      </c>
      <c r="C33" s="26" t="s">
        <v>503</v>
      </c>
      <c r="D33" s="31" t="s">
        <v>407</v>
      </c>
      <c r="E33" s="17">
        <v>2409</v>
      </c>
      <c r="F33" s="17">
        <v>2745</v>
      </c>
      <c r="G33" s="17">
        <v>3089</v>
      </c>
    </row>
    <row r="34" spans="1:7" ht="24" customHeight="1" x14ac:dyDescent="0.3">
      <c r="A34" s="140"/>
      <c r="B34" s="6" t="s">
        <v>121</v>
      </c>
      <c r="C34" s="26" t="s">
        <v>503</v>
      </c>
      <c r="D34" s="31" t="s">
        <v>408</v>
      </c>
      <c r="E34" s="17">
        <v>2503</v>
      </c>
      <c r="F34" s="17">
        <v>2831</v>
      </c>
      <c r="G34" s="17">
        <v>3215</v>
      </c>
    </row>
    <row r="35" spans="1:7" ht="24" customHeight="1" x14ac:dyDescent="0.3">
      <c r="A35" s="140"/>
      <c r="B35" s="6" t="s">
        <v>122</v>
      </c>
      <c r="C35" s="26" t="s">
        <v>503</v>
      </c>
      <c r="D35" s="31" t="s">
        <v>409</v>
      </c>
      <c r="E35" s="17">
        <v>2638</v>
      </c>
      <c r="F35" s="17">
        <v>3007</v>
      </c>
      <c r="G35" s="17">
        <v>3438</v>
      </c>
    </row>
    <row r="36" spans="1:7" ht="24" customHeight="1" x14ac:dyDescent="0.3">
      <c r="A36" s="140"/>
      <c r="B36" s="15" t="s">
        <v>123</v>
      </c>
      <c r="C36" s="26" t="s">
        <v>503</v>
      </c>
      <c r="D36" s="15" t="s">
        <v>410</v>
      </c>
      <c r="E36" s="17">
        <v>2811</v>
      </c>
      <c r="F36" s="17">
        <v>3155</v>
      </c>
      <c r="G36" s="17">
        <v>3665</v>
      </c>
    </row>
    <row r="37" spans="1:7" ht="24" customHeight="1" x14ac:dyDescent="0.3">
      <c r="A37" s="140" t="s">
        <v>280</v>
      </c>
      <c r="B37" s="6" t="s">
        <v>195</v>
      </c>
      <c r="C37" s="16" t="s">
        <v>368</v>
      </c>
      <c r="D37" s="31" t="s">
        <v>168</v>
      </c>
      <c r="E37" s="17">
        <v>2374</v>
      </c>
      <c r="F37" s="17">
        <v>2610</v>
      </c>
      <c r="G37" s="17">
        <v>2878</v>
      </c>
    </row>
    <row r="38" spans="1:7" ht="24" customHeight="1" x14ac:dyDescent="0.3">
      <c r="A38" s="140"/>
      <c r="B38" s="6" t="s">
        <v>196</v>
      </c>
      <c r="C38" s="16" t="s">
        <v>368</v>
      </c>
      <c r="D38" s="8" t="s">
        <v>154</v>
      </c>
      <c r="E38" s="17">
        <v>2545</v>
      </c>
      <c r="F38" s="17">
        <v>2813</v>
      </c>
      <c r="G38" s="17">
        <v>3109</v>
      </c>
    </row>
    <row r="39" spans="1:7" ht="24" customHeight="1" x14ac:dyDescent="0.3">
      <c r="A39" s="140"/>
      <c r="B39" s="6" t="s">
        <v>197</v>
      </c>
      <c r="C39" s="16" t="s">
        <v>368</v>
      </c>
      <c r="D39" s="8" t="s">
        <v>156</v>
      </c>
      <c r="E39" s="17">
        <v>2713</v>
      </c>
      <c r="F39" s="17">
        <v>3030</v>
      </c>
      <c r="G39" s="17">
        <v>3358</v>
      </c>
    </row>
    <row r="40" spans="1:7" ht="24" customHeight="1" x14ac:dyDescent="0.3">
      <c r="A40" s="140"/>
      <c r="B40" s="6" t="s">
        <v>198</v>
      </c>
      <c r="C40" s="16" t="s">
        <v>368</v>
      </c>
      <c r="D40" s="6" t="s">
        <v>158</v>
      </c>
      <c r="E40" s="17">
        <v>2873</v>
      </c>
      <c r="F40" s="17">
        <v>3228</v>
      </c>
      <c r="G40" s="17">
        <v>3577</v>
      </c>
    </row>
    <row r="41" spans="1:7" s="3" customFormat="1" ht="84.75" customHeight="1" x14ac:dyDescent="0.4">
      <c r="A41" s="122"/>
      <c r="B41" s="123"/>
      <c r="C41" s="124" t="s">
        <v>457</v>
      </c>
      <c r="D41" s="125"/>
      <c r="E41" s="125"/>
      <c r="F41" s="125"/>
      <c r="G41" s="126"/>
    </row>
    <row r="42" spans="1:7" x14ac:dyDescent="0.3">
      <c r="A42" s="136" t="s">
        <v>245</v>
      </c>
      <c r="B42" s="136"/>
      <c r="C42" s="136"/>
      <c r="D42" s="136"/>
      <c r="E42" s="136"/>
      <c r="F42" s="136"/>
      <c r="G42" s="136"/>
    </row>
    <row r="43" spans="1:7" x14ac:dyDescent="0.3">
      <c r="A43" s="136" t="s">
        <v>246</v>
      </c>
      <c r="B43" s="136"/>
      <c r="C43" s="136"/>
      <c r="D43" s="136"/>
      <c r="E43" s="136"/>
      <c r="F43" s="136"/>
      <c r="G43" s="136"/>
    </row>
    <row r="44" spans="1:7" x14ac:dyDescent="0.3">
      <c r="A44" s="141"/>
      <c r="B44" s="141"/>
      <c r="C44" s="141"/>
      <c r="D44" s="141"/>
      <c r="E44" s="2" t="s">
        <v>247</v>
      </c>
      <c r="F44" s="2" t="s">
        <v>248</v>
      </c>
      <c r="G44" s="2" t="s">
        <v>249</v>
      </c>
    </row>
    <row r="45" spans="1:7" ht="63.75" customHeight="1" x14ac:dyDescent="0.3">
      <c r="A45" s="142" t="s">
        <v>250</v>
      </c>
      <c r="B45" s="129" t="s">
        <v>251</v>
      </c>
      <c r="C45" s="143" t="s">
        <v>252</v>
      </c>
      <c r="D45" s="144" t="s">
        <v>253</v>
      </c>
      <c r="E45" s="131" t="s">
        <v>254</v>
      </c>
      <c r="F45" s="44" t="s">
        <v>255</v>
      </c>
      <c r="G45" s="132" t="s">
        <v>256</v>
      </c>
    </row>
    <row r="46" spans="1:7" ht="7.5" customHeight="1" x14ac:dyDescent="0.3">
      <c r="A46" s="142"/>
      <c r="B46" s="129"/>
      <c r="C46" s="143"/>
      <c r="D46" s="144"/>
      <c r="E46" s="131"/>
      <c r="F46" s="133" t="s">
        <v>261</v>
      </c>
      <c r="G46" s="132"/>
    </row>
    <row r="47" spans="1:7" ht="70.5" customHeight="1" x14ac:dyDescent="0.3">
      <c r="A47" s="142"/>
      <c r="B47" s="129"/>
      <c r="C47" s="143"/>
      <c r="D47" s="144"/>
      <c r="E47" s="131"/>
      <c r="F47" s="133"/>
      <c r="G47" s="43" t="s">
        <v>258</v>
      </c>
    </row>
    <row r="48" spans="1:7" x14ac:dyDescent="0.3">
      <c r="A48" s="142"/>
      <c r="B48" s="129"/>
      <c r="C48" s="143"/>
      <c r="D48" s="144"/>
      <c r="E48" s="131"/>
      <c r="F48" s="133"/>
      <c r="G48" s="43" t="s">
        <v>259</v>
      </c>
    </row>
    <row r="49" spans="1:7" x14ac:dyDescent="0.3">
      <c r="A49" s="142"/>
      <c r="B49" s="129"/>
      <c r="C49" s="143"/>
      <c r="D49" s="144"/>
      <c r="E49" s="131"/>
      <c r="F49" s="133"/>
      <c r="G49" s="134" t="s">
        <v>260</v>
      </c>
    </row>
    <row r="50" spans="1:7" ht="110.25" customHeight="1" x14ac:dyDescent="0.3">
      <c r="A50" s="142"/>
      <c r="B50" s="129"/>
      <c r="C50" s="143"/>
      <c r="D50" s="144"/>
      <c r="E50" s="131"/>
      <c r="F50" s="133"/>
      <c r="G50" s="134"/>
    </row>
    <row r="51" spans="1:7" ht="21.95" customHeight="1" x14ac:dyDescent="0.3">
      <c r="A51" s="135" t="s">
        <v>284</v>
      </c>
      <c r="B51" s="38" t="s">
        <v>86</v>
      </c>
      <c r="C51" s="16" t="s">
        <v>492</v>
      </c>
      <c r="D51" s="32" t="s">
        <v>411</v>
      </c>
      <c r="E51" s="17">
        <v>3675</v>
      </c>
      <c r="F51" s="17">
        <v>4699</v>
      </c>
      <c r="G51" s="17">
        <v>5610</v>
      </c>
    </row>
    <row r="52" spans="1:7" ht="21.95" customHeight="1" x14ac:dyDescent="0.3">
      <c r="A52" s="135"/>
      <c r="B52" s="38" t="s">
        <v>87</v>
      </c>
      <c r="C52" s="16" t="s">
        <v>492</v>
      </c>
      <c r="D52" s="32" t="s">
        <v>412</v>
      </c>
      <c r="E52" s="17">
        <v>3879</v>
      </c>
      <c r="F52" s="17">
        <v>4973</v>
      </c>
      <c r="G52" s="17">
        <v>5819</v>
      </c>
    </row>
    <row r="53" spans="1:7" ht="21.95" customHeight="1" x14ac:dyDescent="0.3">
      <c r="A53" s="135"/>
      <c r="B53" s="38" t="s">
        <v>88</v>
      </c>
      <c r="C53" s="16" t="s">
        <v>374</v>
      </c>
      <c r="D53" s="32" t="s">
        <v>413</v>
      </c>
      <c r="E53" s="17">
        <v>4162</v>
      </c>
      <c r="F53" s="17">
        <v>5322</v>
      </c>
      <c r="G53" s="17">
        <v>6282</v>
      </c>
    </row>
    <row r="54" spans="1:7" ht="21.95" customHeight="1" x14ac:dyDescent="0.3">
      <c r="A54" s="135"/>
      <c r="B54" s="38" t="s">
        <v>89</v>
      </c>
      <c r="C54" s="16" t="s">
        <v>374</v>
      </c>
      <c r="D54" s="32" t="s">
        <v>414</v>
      </c>
      <c r="E54" s="17">
        <v>4441</v>
      </c>
      <c r="F54" s="17">
        <v>5507</v>
      </c>
      <c r="G54" s="17">
        <v>6449</v>
      </c>
    </row>
    <row r="55" spans="1:7" ht="21.95" customHeight="1" x14ac:dyDescent="0.3">
      <c r="A55" s="140" t="s">
        <v>287</v>
      </c>
      <c r="B55" s="39" t="s">
        <v>82</v>
      </c>
      <c r="C55" s="16" t="s">
        <v>493</v>
      </c>
      <c r="D55" s="32" t="s">
        <v>332</v>
      </c>
      <c r="E55" s="17">
        <v>4215</v>
      </c>
      <c r="F55" s="17">
        <v>5140</v>
      </c>
      <c r="G55" s="17">
        <v>5958</v>
      </c>
    </row>
    <row r="56" spans="1:7" ht="21.95" customHeight="1" x14ac:dyDescent="0.3">
      <c r="A56" s="140"/>
      <c r="B56" s="39" t="s">
        <v>83</v>
      </c>
      <c r="C56" s="16" t="s">
        <v>493</v>
      </c>
      <c r="D56" s="18" t="s">
        <v>333</v>
      </c>
      <c r="E56" s="17">
        <v>4604</v>
      </c>
      <c r="F56" s="17">
        <v>5507</v>
      </c>
      <c r="G56" s="17">
        <v>6457</v>
      </c>
    </row>
    <row r="57" spans="1:7" ht="21.95" customHeight="1" x14ac:dyDescent="0.3">
      <c r="A57" s="140"/>
      <c r="B57" s="39" t="s">
        <v>84</v>
      </c>
      <c r="C57" s="16" t="s">
        <v>388</v>
      </c>
      <c r="D57" s="32" t="s">
        <v>334</v>
      </c>
      <c r="E57" s="17">
        <v>4973</v>
      </c>
      <c r="F57" s="17">
        <v>5924</v>
      </c>
      <c r="G57" s="17">
        <v>6843</v>
      </c>
    </row>
    <row r="58" spans="1:7" ht="21.95" customHeight="1" x14ac:dyDescent="0.3">
      <c r="A58" s="140"/>
      <c r="B58" s="39" t="s">
        <v>85</v>
      </c>
      <c r="C58" s="16" t="s">
        <v>388</v>
      </c>
      <c r="D58" s="32" t="s">
        <v>335</v>
      </c>
      <c r="E58" s="17">
        <v>5167</v>
      </c>
      <c r="F58" s="17">
        <v>6268</v>
      </c>
      <c r="G58" s="17">
        <v>7161</v>
      </c>
    </row>
    <row r="59" spans="1:7" ht="21.95" customHeight="1" x14ac:dyDescent="0.3">
      <c r="A59" s="135" t="s">
        <v>286</v>
      </c>
      <c r="B59" s="38" t="s">
        <v>98</v>
      </c>
      <c r="C59" s="16" t="s">
        <v>494</v>
      </c>
      <c r="D59" s="32" t="s">
        <v>415</v>
      </c>
      <c r="E59" s="17">
        <v>4435</v>
      </c>
      <c r="F59" s="17">
        <v>5931</v>
      </c>
      <c r="G59" s="17">
        <v>6688</v>
      </c>
    </row>
    <row r="60" spans="1:7" ht="21.95" customHeight="1" x14ac:dyDescent="0.3">
      <c r="A60" s="135"/>
      <c r="B60" s="38" t="s">
        <v>99</v>
      </c>
      <c r="C60" s="16" t="s">
        <v>494</v>
      </c>
      <c r="D60" s="32" t="s">
        <v>416</v>
      </c>
      <c r="E60" s="17">
        <v>4597</v>
      </c>
      <c r="F60" s="17">
        <v>6193</v>
      </c>
      <c r="G60" s="17">
        <v>7041</v>
      </c>
    </row>
    <row r="61" spans="1:7" ht="21.95" customHeight="1" x14ac:dyDescent="0.3">
      <c r="A61" s="135"/>
      <c r="B61" s="38" t="s">
        <v>100</v>
      </c>
      <c r="C61" s="16" t="s">
        <v>376</v>
      </c>
      <c r="D61" s="32" t="s">
        <v>417</v>
      </c>
      <c r="E61" s="17">
        <v>4943</v>
      </c>
      <c r="F61" s="17">
        <v>6624</v>
      </c>
      <c r="G61" s="17">
        <v>7426</v>
      </c>
    </row>
    <row r="62" spans="1:7" ht="21" customHeight="1" x14ac:dyDescent="0.3">
      <c r="A62" s="135"/>
      <c r="B62" s="38" t="s">
        <v>101</v>
      </c>
      <c r="C62" s="16" t="s">
        <v>376</v>
      </c>
      <c r="D62" s="32" t="s">
        <v>418</v>
      </c>
      <c r="E62" s="17">
        <v>5123</v>
      </c>
      <c r="F62" s="17">
        <v>6778</v>
      </c>
      <c r="G62" s="17">
        <v>7660</v>
      </c>
    </row>
    <row r="63" spans="1:7" s="3" customFormat="1" ht="84.75" customHeight="1" x14ac:dyDescent="0.4">
      <c r="A63" s="122"/>
      <c r="B63" s="123"/>
      <c r="C63" s="124" t="s">
        <v>457</v>
      </c>
      <c r="D63" s="125"/>
      <c r="E63" s="125"/>
      <c r="F63" s="125"/>
      <c r="G63" s="126"/>
    </row>
    <row r="64" spans="1:7" x14ac:dyDescent="0.3">
      <c r="A64" s="136" t="s">
        <v>245</v>
      </c>
      <c r="B64" s="136"/>
      <c r="C64" s="136"/>
      <c r="D64" s="136"/>
      <c r="E64" s="136"/>
      <c r="F64" s="136"/>
      <c r="G64" s="136"/>
    </row>
    <row r="65" spans="1:7" x14ac:dyDescent="0.3">
      <c r="A65" s="136" t="s">
        <v>246</v>
      </c>
      <c r="B65" s="136"/>
      <c r="C65" s="136"/>
      <c r="D65" s="136"/>
      <c r="E65" s="136"/>
      <c r="F65" s="136"/>
      <c r="G65" s="136"/>
    </row>
    <row r="66" spans="1:7" x14ac:dyDescent="0.3">
      <c r="A66" s="141"/>
      <c r="B66" s="141"/>
      <c r="C66" s="141"/>
      <c r="D66" s="141"/>
      <c r="E66" s="2" t="s">
        <v>247</v>
      </c>
      <c r="F66" s="2" t="s">
        <v>248</v>
      </c>
      <c r="G66" s="2" t="s">
        <v>249</v>
      </c>
    </row>
    <row r="67" spans="1:7" ht="63.75" customHeight="1" x14ac:dyDescent="0.3">
      <c r="A67" s="142" t="s">
        <v>250</v>
      </c>
      <c r="B67" s="129" t="s">
        <v>251</v>
      </c>
      <c r="C67" s="143" t="s">
        <v>252</v>
      </c>
      <c r="D67" s="144" t="s">
        <v>253</v>
      </c>
      <c r="E67" s="131" t="s">
        <v>254</v>
      </c>
      <c r="F67" s="46" t="s">
        <v>255</v>
      </c>
      <c r="G67" s="132" t="s">
        <v>256</v>
      </c>
    </row>
    <row r="68" spans="1:7" ht="7.5" customHeight="1" x14ac:dyDescent="0.3">
      <c r="A68" s="142"/>
      <c r="B68" s="129"/>
      <c r="C68" s="143"/>
      <c r="D68" s="144"/>
      <c r="E68" s="131"/>
      <c r="F68" s="133" t="s">
        <v>261</v>
      </c>
      <c r="G68" s="132"/>
    </row>
    <row r="69" spans="1:7" ht="70.5" customHeight="1" x14ac:dyDescent="0.3">
      <c r="A69" s="142"/>
      <c r="B69" s="129"/>
      <c r="C69" s="143"/>
      <c r="D69" s="144"/>
      <c r="E69" s="131"/>
      <c r="F69" s="133"/>
      <c r="G69" s="45" t="s">
        <v>258</v>
      </c>
    </row>
    <row r="70" spans="1:7" x14ac:dyDescent="0.3">
      <c r="A70" s="142"/>
      <c r="B70" s="129"/>
      <c r="C70" s="143"/>
      <c r="D70" s="144"/>
      <c r="E70" s="131"/>
      <c r="F70" s="133"/>
      <c r="G70" s="45" t="s">
        <v>259</v>
      </c>
    </row>
    <row r="71" spans="1:7" x14ac:dyDescent="0.3">
      <c r="A71" s="142"/>
      <c r="B71" s="129"/>
      <c r="C71" s="143"/>
      <c r="D71" s="144"/>
      <c r="E71" s="131"/>
      <c r="F71" s="133"/>
      <c r="G71" s="134" t="s">
        <v>260</v>
      </c>
    </row>
    <row r="72" spans="1:7" ht="110.25" customHeight="1" x14ac:dyDescent="0.3">
      <c r="A72" s="142"/>
      <c r="B72" s="129"/>
      <c r="C72" s="143"/>
      <c r="D72" s="144"/>
      <c r="E72" s="131"/>
      <c r="F72" s="133"/>
      <c r="G72" s="134"/>
    </row>
    <row r="73" spans="1:7" ht="23.25" customHeight="1" x14ac:dyDescent="0.3">
      <c r="A73" s="135" t="s">
        <v>280</v>
      </c>
      <c r="B73" s="38" t="s">
        <v>90</v>
      </c>
      <c r="C73" s="27" t="s">
        <v>495</v>
      </c>
      <c r="D73" s="32" t="s">
        <v>389</v>
      </c>
      <c r="E73" s="17" t="s">
        <v>317</v>
      </c>
      <c r="F73" s="17">
        <v>5765</v>
      </c>
      <c r="G73" s="17">
        <v>6483</v>
      </c>
    </row>
    <row r="74" spans="1:7" ht="23.25" customHeight="1" x14ac:dyDescent="0.3">
      <c r="A74" s="135"/>
      <c r="B74" s="38" t="s">
        <v>91</v>
      </c>
      <c r="C74" s="27" t="s">
        <v>495</v>
      </c>
      <c r="D74" s="32" t="s">
        <v>390</v>
      </c>
      <c r="E74" s="17" t="s">
        <v>317</v>
      </c>
      <c r="F74" s="17">
        <v>5884</v>
      </c>
      <c r="G74" s="17">
        <v>6666</v>
      </c>
    </row>
    <row r="75" spans="1:7" ht="23.25" customHeight="1" x14ac:dyDescent="0.3">
      <c r="A75" s="135"/>
      <c r="B75" s="38" t="s">
        <v>92</v>
      </c>
      <c r="C75" s="27" t="s">
        <v>504</v>
      </c>
      <c r="D75" s="32" t="s">
        <v>391</v>
      </c>
      <c r="E75" s="17" t="s">
        <v>317</v>
      </c>
      <c r="F75" s="17">
        <v>6465</v>
      </c>
      <c r="G75" s="17">
        <v>7193</v>
      </c>
    </row>
    <row r="76" spans="1:7" ht="23.25" customHeight="1" x14ac:dyDescent="0.3">
      <c r="A76" s="135"/>
      <c r="B76" s="38" t="s">
        <v>93</v>
      </c>
      <c r="C76" s="27" t="s">
        <v>504</v>
      </c>
      <c r="D76" s="32" t="s">
        <v>392</v>
      </c>
      <c r="E76" s="17" t="s">
        <v>317</v>
      </c>
      <c r="F76" s="17">
        <v>6755</v>
      </c>
      <c r="G76" s="17">
        <v>7351</v>
      </c>
    </row>
    <row r="77" spans="1:7" ht="64.5" customHeight="1" x14ac:dyDescent="0.3">
      <c r="A77" s="42" t="s">
        <v>289</v>
      </c>
      <c r="B77" s="13" t="s">
        <v>147</v>
      </c>
      <c r="C77" s="19" t="s">
        <v>393</v>
      </c>
      <c r="D77" s="15" t="s">
        <v>419</v>
      </c>
      <c r="E77" s="17">
        <v>2610</v>
      </c>
      <c r="F77" s="17">
        <v>3199</v>
      </c>
      <c r="G77" s="17">
        <v>3771</v>
      </c>
    </row>
    <row r="78" spans="1:7" ht="21" customHeight="1" x14ac:dyDescent="0.3">
      <c r="A78" s="135" t="s">
        <v>288</v>
      </c>
      <c r="B78" s="38" t="s">
        <v>94</v>
      </c>
      <c r="C78" s="16" t="s">
        <v>496</v>
      </c>
      <c r="D78" s="32" t="s">
        <v>389</v>
      </c>
      <c r="E78" s="17">
        <v>3727</v>
      </c>
      <c r="F78" s="17">
        <v>4393</v>
      </c>
      <c r="G78" s="17">
        <v>4747</v>
      </c>
    </row>
    <row r="79" spans="1:7" ht="21" customHeight="1" x14ac:dyDescent="0.3">
      <c r="A79" s="135"/>
      <c r="B79" s="38" t="s">
        <v>95</v>
      </c>
      <c r="C79" s="16" t="s">
        <v>496</v>
      </c>
      <c r="D79" s="32" t="s">
        <v>390</v>
      </c>
      <c r="E79" s="17">
        <v>3854</v>
      </c>
      <c r="F79" s="17">
        <v>4636</v>
      </c>
      <c r="G79" s="17">
        <v>4936</v>
      </c>
    </row>
    <row r="80" spans="1:7" ht="21" customHeight="1" x14ac:dyDescent="0.3">
      <c r="A80" s="135"/>
      <c r="B80" s="38" t="s">
        <v>96</v>
      </c>
      <c r="C80" s="16" t="s">
        <v>394</v>
      </c>
      <c r="D80" s="32" t="s">
        <v>391</v>
      </c>
      <c r="E80" s="17">
        <v>3987</v>
      </c>
      <c r="F80" s="17">
        <v>5029</v>
      </c>
      <c r="G80" s="17">
        <v>5426</v>
      </c>
    </row>
    <row r="81" spans="1:7" ht="21" customHeight="1" x14ac:dyDescent="0.3">
      <c r="A81" s="135"/>
      <c r="B81" s="38" t="s">
        <v>97</v>
      </c>
      <c r="C81" s="16" t="s">
        <v>394</v>
      </c>
      <c r="D81" s="32" t="s">
        <v>392</v>
      </c>
      <c r="E81" s="17">
        <v>4412</v>
      </c>
      <c r="F81" s="17">
        <v>5378</v>
      </c>
      <c r="G81" s="17">
        <v>6008</v>
      </c>
    </row>
    <row r="82" spans="1:7" s="3" customFormat="1" ht="84.75" customHeight="1" x14ac:dyDescent="0.4">
      <c r="A82" s="122"/>
      <c r="B82" s="123"/>
      <c r="C82" s="124" t="s">
        <v>458</v>
      </c>
      <c r="D82" s="125"/>
      <c r="E82" s="125"/>
      <c r="F82" s="125"/>
      <c r="G82" s="126"/>
    </row>
    <row r="83" spans="1:7" x14ac:dyDescent="0.3">
      <c r="A83" s="136" t="s">
        <v>245</v>
      </c>
      <c r="B83" s="136"/>
      <c r="C83" s="136"/>
      <c r="D83" s="136"/>
      <c r="E83" s="136"/>
      <c r="F83" s="136"/>
      <c r="G83" s="136"/>
    </row>
    <row r="84" spans="1:7" x14ac:dyDescent="0.3">
      <c r="A84" s="136" t="s">
        <v>246</v>
      </c>
      <c r="B84" s="136"/>
      <c r="C84" s="136"/>
      <c r="D84" s="136"/>
      <c r="E84" s="136"/>
      <c r="F84" s="136"/>
      <c r="G84" s="136"/>
    </row>
    <row r="85" spans="1:7" x14ac:dyDescent="0.3">
      <c r="A85" s="141"/>
      <c r="B85" s="141"/>
      <c r="C85" s="141"/>
      <c r="D85" s="141"/>
      <c r="E85" s="2" t="s">
        <v>247</v>
      </c>
      <c r="F85" s="2" t="s">
        <v>248</v>
      </c>
      <c r="G85" s="2" t="s">
        <v>249</v>
      </c>
    </row>
    <row r="86" spans="1:7" ht="60.75" customHeight="1" x14ac:dyDescent="0.3">
      <c r="A86" s="142" t="s">
        <v>250</v>
      </c>
      <c r="B86" s="129" t="s">
        <v>251</v>
      </c>
      <c r="C86" s="143" t="s">
        <v>252</v>
      </c>
      <c r="D86" s="144" t="s">
        <v>253</v>
      </c>
      <c r="E86" s="131" t="s">
        <v>254</v>
      </c>
      <c r="F86" s="44" t="s">
        <v>262</v>
      </c>
      <c r="G86" s="132" t="s">
        <v>256</v>
      </c>
    </row>
    <row r="87" spans="1:7" ht="18.75" customHeight="1" x14ac:dyDescent="0.3">
      <c r="A87" s="142"/>
      <c r="B87" s="129"/>
      <c r="C87" s="143"/>
      <c r="D87" s="144"/>
      <c r="E87" s="131"/>
      <c r="F87" s="133" t="s">
        <v>398</v>
      </c>
      <c r="G87" s="132"/>
    </row>
    <row r="88" spans="1:7" ht="84" customHeight="1" x14ac:dyDescent="0.3">
      <c r="A88" s="142"/>
      <c r="B88" s="129"/>
      <c r="C88" s="143"/>
      <c r="D88" s="144"/>
      <c r="E88" s="131"/>
      <c r="F88" s="133"/>
      <c r="G88" s="43" t="s">
        <v>258</v>
      </c>
    </row>
    <row r="89" spans="1:7" x14ac:dyDescent="0.3">
      <c r="A89" s="142"/>
      <c r="B89" s="129"/>
      <c r="C89" s="143"/>
      <c r="D89" s="144"/>
      <c r="E89" s="131"/>
      <c r="F89" s="133"/>
      <c r="G89" s="43" t="s">
        <v>259</v>
      </c>
    </row>
    <row r="90" spans="1:7" ht="18.75" customHeight="1" x14ac:dyDescent="0.3">
      <c r="A90" s="142"/>
      <c r="B90" s="129"/>
      <c r="C90" s="143"/>
      <c r="D90" s="144"/>
      <c r="E90" s="131"/>
      <c r="F90" s="133"/>
      <c r="G90" s="134" t="s">
        <v>260</v>
      </c>
    </row>
    <row r="91" spans="1:7" ht="99.75" customHeight="1" x14ac:dyDescent="0.3">
      <c r="A91" s="142"/>
      <c r="B91" s="129"/>
      <c r="C91" s="143"/>
      <c r="D91" s="144"/>
      <c r="E91" s="131"/>
      <c r="F91" s="133"/>
      <c r="G91" s="134"/>
    </row>
    <row r="92" spans="1:7" ht="30" customHeight="1" x14ac:dyDescent="0.3">
      <c r="A92" s="135" t="s">
        <v>271</v>
      </c>
      <c r="B92" s="13" t="s">
        <v>217</v>
      </c>
      <c r="C92" s="19" t="s">
        <v>318</v>
      </c>
      <c r="D92" s="15" t="s">
        <v>422</v>
      </c>
      <c r="E92" s="17">
        <v>1339</v>
      </c>
      <c r="F92" s="17">
        <v>1719</v>
      </c>
      <c r="G92" s="17">
        <v>1905</v>
      </c>
    </row>
    <row r="93" spans="1:7" ht="30" customHeight="1" x14ac:dyDescent="0.3">
      <c r="A93" s="135"/>
      <c r="B93" s="13" t="s">
        <v>218</v>
      </c>
      <c r="C93" s="19" t="s">
        <v>318</v>
      </c>
      <c r="D93" s="13" t="s">
        <v>423</v>
      </c>
      <c r="E93" s="17">
        <v>1519</v>
      </c>
      <c r="F93" s="17">
        <v>1977</v>
      </c>
      <c r="G93" s="17">
        <v>2211</v>
      </c>
    </row>
    <row r="94" spans="1:7" ht="35.1" customHeight="1" x14ac:dyDescent="0.3">
      <c r="A94" s="135" t="s">
        <v>289</v>
      </c>
      <c r="B94" s="13" t="s">
        <v>142</v>
      </c>
      <c r="C94" s="19" t="s">
        <v>377</v>
      </c>
      <c r="D94" s="15" t="s">
        <v>424</v>
      </c>
      <c r="E94" s="17">
        <v>1468</v>
      </c>
      <c r="F94" s="17">
        <v>1755</v>
      </c>
      <c r="G94" s="17">
        <v>1942</v>
      </c>
    </row>
    <row r="95" spans="1:7" ht="35.1" customHeight="1" x14ac:dyDescent="0.3">
      <c r="A95" s="135"/>
      <c r="B95" s="13" t="s">
        <v>144</v>
      </c>
      <c r="C95" s="19" t="s">
        <v>377</v>
      </c>
      <c r="D95" s="13" t="s">
        <v>505</v>
      </c>
      <c r="E95" s="17">
        <v>1626</v>
      </c>
      <c r="F95" s="17">
        <v>1973</v>
      </c>
      <c r="G95" s="17">
        <v>2250</v>
      </c>
    </row>
    <row r="96" spans="1:7" ht="35.1" customHeight="1" x14ac:dyDescent="0.3">
      <c r="A96" s="135" t="s">
        <v>272</v>
      </c>
      <c r="B96" s="13" t="s">
        <v>179</v>
      </c>
      <c r="C96" s="19" t="s">
        <v>319</v>
      </c>
      <c r="D96" s="15" t="s">
        <v>143</v>
      </c>
      <c r="E96" s="17">
        <v>1388</v>
      </c>
      <c r="F96" s="17">
        <v>1559</v>
      </c>
      <c r="G96" s="17">
        <v>1674</v>
      </c>
    </row>
    <row r="97" spans="1:7" ht="35.1" customHeight="1" x14ac:dyDescent="0.3">
      <c r="A97" s="135"/>
      <c r="B97" s="13" t="s">
        <v>180</v>
      </c>
      <c r="C97" s="19" t="s">
        <v>319</v>
      </c>
      <c r="D97" s="13" t="s">
        <v>145</v>
      </c>
      <c r="E97" s="17">
        <v>1507</v>
      </c>
      <c r="F97" s="17">
        <v>1714</v>
      </c>
      <c r="G97" s="17">
        <v>1858</v>
      </c>
    </row>
    <row r="98" spans="1:7" ht="35.1" customHeight="1" x14ac:dyDescent="0.3">
      <c r="A98" s="135" t="s">
        <v>274</v>
      </c>
      <c r="B98" s="13" t="s">
        <v>215</v>
      </c>
      <c r="C98" s="19" t="s">
        <v>369</v>
      </c>
      <c r="D98" s="15" t="s">
        <v>143</v>
      </c>
      <c r="E98" s="17">
        <v>1236</v>
      </c>
      <c r="F98" s="17">
        <v>1583</v>
      </c>
      <c r="G98" s="17">
        <v>1770</v>
      </c>
    </row>
    <row r="99" spans="1:7" ht="35.1" customHeight="1" x14ac:dyDescent="0.3">
      <c r="A99" s="135"/>
      <c r="B99" s="13" t="s">
        <v>216</v>
      </c>
      <c r="C99" s="19" t="s">
        <v>369</v>
      </c>
      <c r="D99" s="13" t="s">
        <v>145</v>
      </c>
      <c r="E99" s="17">
        <v>1328</v>
      </c>
      <c r="F99" s="17">
        <v>1837</v>
      </c>
      <c r="G99" s="17">
        <v>2062</v>
      </c>
    </row>
    <row r="100" spans="1:7" ht="67.5" customHeight="1" x14ac:dyDescent="0.3">
      <c r="A100" s="41" t="s">
        <v>273</v>
      </c>
      <c r="B100" s="13" t="s">
        <v>184</v>
      </c>
      <c r="C100" s="19" t="s">
        <v>378</v>
      </c>
      <c r="D100" s="15" t="s">
        <v>425</v>
      </c>
      <c r="E100" s="17">
        <v>1308</v>
      </c>
      <c r="F100" s="17">
        <v>1573</v>
      </c>
      <c r="G100" s="17">
        <v>1719</v>
      </c>
    </row>
    <row r="101" spans="1:7" s="3" customFormat="1" ht="84.75" customHeight="1" x14ac:dyDescent="0.4">
      <c r="A101" s="122"/>
      <c r="B101" s="123"/>
      <c r="C101" s="124" t="s">
        <v>459</v>
      </c>
      <c r="D101" s="125"/>
      <c r="E101" s="125"/>
      <c r="F101" s="125"/>
      <c r="G101" s="126"/>
    </row>
    <row r="102" spans="1:7" x14ac:dyDescent="0.3">
      <c r="A102" s="136" t="s">
        <v>245</v>
      </c>
      <c r="B102" s="136"/>
      <c r="C102" s="136"/>
      <c r="D102" s="136"/>
      <c r="E102" s="136"/>
      <c r="F102" s="136"/>
      <c r="G102" s="136"/>
    </row>
    <row r="103" spans="1:7" x14ac:dyDescent="0.3">
      <c r="A103" s="136" t="s">
        <v>246</v>
      </c>
      <c r="B103" s="136"/>
      <c r="C103" s="136"/>
      <c r="D103" s="136"/>
      <c r="E103" s="136"/>
      <c r="F103" s="136"/>
      <c r="G103" s="136"/>
    </row>
    <row r="104" spans="1:7" x14ac:dyDescent="0.3">
      <c r="A104" s="141"/>
      <c r="B104" s="141"/>
      <c r="C104" s="141"/>
      <c r="D104" s="141"/>
      <c r="E104" s="2" t="s">
        <v>247</v>
      </c>
      <c r="F104" s="2" t="s">
        <v>248</v>
      </c>
      <c r="G104" s="2" t="s">
        <v>249</v>
      </c>
    </row>
    <row r="105" spans="1:7" ht="63.75" customHeight="1" x14ac:dyDescent="0.3">
      <c r="A105" s="142" t="s">
        <v>250</v>
      </c>
      <c r="B105" s="129" t="s">
        <v>251</v>
      </c>
      <c r="C105" s="143" t="s">
        <v>252</v>
      </c>
      <c r="D105" s="144" t="s">
        <v>253</v>
      </c>
      <c r="E105" s="131" t="s">
        <v>254</v>
      </c>
      <c r="F105" s="44" t="s">
        <v>262</v>
      </c>
      <c r="G105" s="132" t="s">
        <v>256</v>
      </c>
    </row>
    <row r="106" spans="1:7" ht="18.75" customHeight="1" x14ac:dyDescent="0.3">
      <c r="A106" s="142"/>
      <c r="B106" s="129"/>
      <c r="C106" s="143"/>
      <c r="D106" s="144"/>
      <c r="E106" s="131"/>
      <c r="F106" s="133" t="s">
        <v>263</v>
      </c>
      <c r="G106" s="132"/>
    </row>
    <row r="107" spans="1:7" ht="82.5" customHeight="1" x14ac:dyDescent="0.3">
      <c r="A107" s="142"/>
      <c r="B107" s="129"/>
      <c r="C107" s="143"/>
      <c r="D107" s="144"/>
      <c r="E107" s="131"/>
      <c r="F107" s="133"/>
      <c r="G107" s="43" t="s">
        <v>258</v>
      </c>
    </row>
    <row r="108" spans="1:7" x14ac:dyDescent="0.3">
      <c r="A108" s="142"/>
      <c r="B108" s="129"/>
      <c r="C108" s="143"/>
      <c r="D108" s="144"/>
      <c r="E108" s="131"/>
      <c r="F108" s="133"/>
      <c r="G108" s="43" t="s">
        <v>259</v>
      </c>
    </row>
    <row r="109" spans="1:7" ht="18.75" customHeight="1" x14ac:dyDescent="0.3">
      <c r="A109" s="142"/>
      <c r="B109" s="129"/>
      <c r="C109" s="143"/>
      <c r="D109" s="144"/>
      <c r="E109" s="131"/>
      <c r="F109" s="133"/>
      <c r="G109" s="134" t="s">
        <v>260</v>
      </c>
    </row>
    <row r="110" spans="1:7" ht="99.75" customHeight="1" x14ac:dyDescent="0.3">
      <c r="A110" s="142"/>
      <c r="B110" s="129"/>
      <c r="C110" s="143"/>
      <c r="D110" s="144"/>
      <c r="E110" s="131"/>
      <c r="F110" s="133"/>
      <c r="G110" s="134"/>
    </row>
    <row r="111" spans="1:7" ht="66" customHeight="1" x14ac:dyDescent="0.3">
      <c r="A111" s="41" t="s">
        <v>277</v>
      </c>
      <c r="B111" s="11" t="s">
        <v>214</v>
      </c>
      <c r="C111" s="28" t="s">
        <v>512</v>
      </c>
      <c r="D111" s="13" t="s">
        <v>420</v>
      </c>
      <c r="E111" s="17">
        <v>2022</v>
      </c>
      <c r="F111" s="17">
        <v>2259</v>
      </c>
      <c r="G111" s="17">
        <v>2372</v>
      </c>
    </row>
    <row r="112" spans="1:7" ht="81" customHeight="1" x14ac:dyDescent="0.3">
      <c r="A112" s="41" t="s">
        <v>276</v>
      </c>
      <c r="B112" s="11" t="s">
        <v>146</v>
      </c>
      <c r="C112" s="19" t="s">
        <v>379</v>
      </c>
      <c r="D112" s="15" t="s">
        <v>421</v>
      </c>
      <c r="E112" s="17">
        <v>1720</v>
      </c>
      <c r="F112" s="17">
        <v>2125</v>
      </c>
      <c r="G112" s="17">
        <v>2479</v>
      </c>
    </row>
    <row r="113" spans="1:7" ht="27.75" customHeight="1" x14ac:dyDescent="0.3">
      <c r="A113" s="135" t="s">
        <v>303</v>
      </c>
      <c r="B113" s="11" t="s">
        <v>181</v>
      </c>
      <c r="C113" s="19" t="s">
        <v>380</v>
      </c>
      <c r="D113" s="6" t="s">
        <v>358</v>
      </c>
      <c r="E113" s="17">
        <v>1230</v>
      </c>
      <c r="F113" s="17">
        <v>1502</v>
      </c>
      <c r="G113" s="17">
        <v>1723</v>
      </c>
    </row>
    <row r="114" spans="1:7" ht="27.95" customHeight="1" x14ac:dyDescent="0.3">
      <c r="A114" s="151"/>
      <c r="B114" s="11" t="s">
        <v>182</v>
      </c>
      <c r="C114" s="19" t="s">
        <v>380</v>
      </c>
      <c r="D114" s="6" t="s">
        <v>359</v>
      </c>
      <c r="E114" s="17">
        <v>1273</v>
      </c>
      <c r="F114" s="17">
        <v>1567</v>
      </c>
      <c r="G114" s="17">
        <v>1808</v>
      </c>
    </row>
    <row r="115" spans="1:7" ht="27.95" customHeight="1" x14ac:dyDescent="0.3">
      <c r="A115" s="151"/>
      <c r="B115" s="11" t="s">
        <v>183</v>
      </c>
      <c r="C115" s="19" t="s">
        <v>380</v>
      </c>
      <c r="D115" s="6" t="s">
        <v>360</v>
      </c>
      <c r="E115" s="17">
        <v>1362</v>
      </c>
      <c r="F115" s="17">
        <v>1686</v>
      </c>
      <c r="G115" s="17">
        <v>1919</v>
      </c>
    </row>
    <row r="116" spans="1:7" s="3" customFormat="1" ht="84.75" customHeight="1" x14ac:dyDescent="0.4">
      <c r="A116" s="122"/>
      <c r="B116" s="123"/>
      <c r="C116" s="124" t="s">
        <v>460</v>
      </c>
      <c r="D116" s="125"/>
      <c r="E116" s="125"/>
      <c r="F116" s="125"/>
      <c r="G116" s="126"/>
    </row>
    <row r="117" spans="1:7" x14ac:dyDescent="0.3">
      <c r="A117" s="136" t="s">
        <v>245</v>
      </c>
      <c r="B117" s="136"/>
      <c r="C117" s="136"/>
      <c r="D117" s="136"/>
      <c r="E117" s="136"/>
      <c r="F117" s="136"/>
      <c r="G117" s="136"/>
    </row>
    <row r="118" spans="1:7" x14ac:dyDescent="0.3">
      <c r="A118" s="141"/>
      <c r="B118" s="141"/>
      <c r="C118" s="141"/>
      <c r="D118" s="141"/>
      <c r="E118" s="2" t="s">
        <v>247</v>
      </c>
      <c r="F118" s="2" t="s">
        <v>248</v>
      </c>
      <c r="G118" s="2" t="s">
        <v>249</v>
      </c>
    </row>
    <row r="119" spans="1:7" ht="62.25" customHeight="1" x14ac:dyDescent="0.3">
      <c r="A119" s="142" t="s">
        <v>250</v>
      </c>
      <c r="B119" s="129" t="s">
        <v>251</v>
      </c>
      <c r="C119" s="143" t="s">
        <v>252</v>
      </c>
      <c r="D119" s="144" t="s">
        <v>253</v>
      </c>
      <c r="E119" s="131" t="s">
        <v>254</v>
      </c>
      <c r="F119" s="44" t="s">
        <v>262</v>
      </c>
      <c r="G119" s="132" t="s">
        <v>256</v>
      </c>
    </row>
    <row r="120" spans="1:7" x14ac:dyDescent="0.3">
      <c r="A120" s="142"/>
      <c r="B120" s="129"/>
      <c r="C120" s="143"/>
      <c r="D120" s="144"/>
      <c r="E120" s="131"/>
      <c r="F120" s="133" t="s">
        <v>264</v>
      </c>
      <c r="G120" s="132"/>
    </row>
    <row r="121" spans="1:7" ht="79.5" customHeight="1" x14ac:dyDescent="0.3">
      <c r="A121" s="142"/>
      <c r="B121" s="129"/>
      <c r="C121" s="143"/>
      <c r="D121" s="144"/>
      <c r="E121" s="131"/>
      <c r="F121" s="133"/>
      <c r="G121" s="43" t="s">
        <v>258</v>
      </c>
    </row>
    <row r="122" spans="1:7" x14ac:dyDescent="0.3">
      <c r="A122" s="142"/>
      <c r="B122" s="129"/>
      <c r="C122" s="143"/>
      <c r="D122" s="144"/>
      <c r="E122" s="131"/>
      <c r="F122" s="133"/>
      <c r="G122" s="43" t="s">
        <v>259</v>
      </c>
    </row>
    <row r="123" spans="1:7" x14ac:dyDescent="0.3">
      <c r="A123" s="142"/>
      <c r="B123" s="129"/>
      <c r="C123" s="143"/>
      <c r="D123" s="144"/>
      <c r="E123" s="131"/>
      <c r="F123" s="133"/>
      <c r="G123" s="134" t="s">
        <v>260</v>
      </c>
    </row>
    <row r="124" spans="1:7" ht="108.75" customHeight="1" x14ac:dyDescent="0.3">
      <c r="A124" s="142"/>
      <c r="B124" s="129"/>
      <c r="C124" s="143"/>
      <c r="D124" s="144"/>
      <c r="E124" s="131"/>
      <c r="F124" s="133"/>
      <c r="G124" s="134"/>
    </row>
    <row r="125" spans="1:7" ht="19.5" customHeight="1" x14ac:dyDescent="0.3">
      <c r="A125" s="140" t="s">
        <v>290</v>
      </c>
      <c r="B125" s="11" t="s">
        <v>199</v>
      </c>
      <c r="C125" s="23" t="s">
        <v>396</v>
      </c>
      <c r="D125" s="11" t="s">
        <v>200</v>
      </c>
      <c r="E125" s="17">
        <v>651</v>
      </c>
      <c r="F125" s="17">
        <v>733</v>
      </c>
      <c r="G125" s="17">
        <v>771</v>
      </c>
    </row>
    <row r="126" spans="1:7" ht="19.5" customHeight="1" x14ac:dyDescent="0.3">
      <c r="A126" s="140"/>
      <c r="B126" s="11" t="s">
        <v>201</v>
      </c>
      <c r="C126" s="23" t="s">
        <v>396</v>
      </c>
      <c r="D126" s="13" t="s">
        <v>202</v>
      </c>
      <c r="E126" s="17">
        <v>668</v>
      </c>
      <c r="F126" s="17">
        <v>750</v>
      </c>
      <c r="G126" s="17">
        <v>788</v>
      </c>
    </row>
    <row r="127" spans="1:7" ht="19.5" customHeight="1" x14ac:dyDescent="0.3">
      <c r="A127" s="140"/>
      <c r="B127" s="11" t="s">
        <v>203</v>
      </c>
      <c r="C127" s="20" t="s">
        <v>320</v>
      </c>
      <c r="D127" s="13" t="s">
        <v>204</v>
      </c>
      <c r="E127" s="17">
        <v>685</v>
      </c>
      <c r="F127" s="17">
        <v>768</v>
      </c>
      <c r="G127" s="17">
        <v>806</v>
      </c>
    </row>
    <row r="128" spans="1:7" ht="19.5" customHeight="1" x14ac:dyDescent="0.3">
      <c r="A128" s="140"/>
      <c r="B128" s="11" t="s">
        <v>205</v>
      </c>
      <c r="C128" s="20" t="s">
        <v>320</v>
      </c>
      <c r="D128" s="13" t="s">
        <v>426</v>
      </c>
      <c r="E128" s="17">
        <v>702</v>
      </c>
      <c r="F128" s="17">
        <v>758</v>
      </c>
      <c r="G128" s="17">
        <v>822</v>
      </c>
    </row>
    <row r="129" spans="1:7" ht="20.25" customHeight="1" x14ac:dyDescent="0.3">
      <c r="A129" s="140" t="s">
        <v>291</v>
      </c>
      <c r="B129" s="11" t="s">
        <v>192</v>
      </c>
      <c r="C129" s="20" t="s">
        <v>497</v>
      </c>
      <c r="D129" s="15" t="s">
        <v>507</v>
      </c>
      <c r="E129" s="17">
        <v>1190</v>
      </c>
      <c r="F129" s="17">
        <v>1389</v>
      </c>
      <c r="G129" s="17">
        <v>1528</v>
      </c>
    </row>
    <row r="130" spans="1:7" ht="20.25" customHeight="1" x14ac:dyDescent="0.3">
      <c r="A130" s="140"/>
      <c r="B130" s="11" t="s">
        <v>193</v>
      </c>
      <c r="C130" s="20" t="s">
        <v>497</v>
      </c>
      <c r="D130" s="15" t="s">
        <v>508</v>
      </c>
      <c r="E130" s="17">
        <v>1367</v>
      </c>
      <c r="F130" s="17">
        <v>1606</v>
      </c>
      <c r="G130" s="17">
        <v>1791</v>
      </c>
    </row>
    <row r="131" spans="1:7" ht="20.25" customHeight="1" x14ac:dyDescent="0.3">
      <c r="A131" s="140"/>
      <c r="B131" s="11" t="s">
        <v>194</v>
      </c>
      <c r="C131" s="20" t="s">
        <v>497</v>
      </c>
      <c r="D131" s="15" t="s">
        <v>509</v>
      </c>
      <c r="E131" s="17">
        <v>1584</v>
      </c>
      <c r="F131" s="17">
        <v>1816</v>
      </c>
      <c r="G131" s="17">
        <v>2024</v>
      </c>
    </row>
    <row r="132" spans="1:7" ht="27.75" customHeight="1" x14ac:dyDescent="0.3">
      <c r="A132" s="140" t="s">
        <v>292</v>
      </c>
      <c r="B132" s="11" t="s">
        <v>206</v>
      </c>
      <c r="C132" s="12" t="s">
        <v>321</v>
      </c>
      <c r="D132" s="11" t="s">
        <v>207</v>
      </c>
      <c r="E132" s="17">
        <v>1184</v>
      </c>
      <c r="F132" s="17">
        <v>1289</v>
      </c>
      <c r="G132" s="17">
        <v>1314</v>
      </c>
    </row>
    <row r="133" spans="1:7" ht="27.75" customHeight="1" x14ac:dyDescent="0.3">
      <c r="A133" s="140"/>
      <c r="B133" s="11" t="s">
        <v>208</v>
      </c>
      <c r="C133" s="12" t="s">
        <v>321</v>
      </c>
      <c r="D133" s="11" t="s">
        <v>209</v>
      </c>
      <c r="E133" s="17">
        <v>1170</v>
      </c>
      <c r="F133" s="17">
        <v>1222</v>
      </c>
      <c r="G133" s="17">
        <v>1266</v>
      </c>
    </row>
    <row r="134" spans="1:7" ht="19.5" customHeight="1" x14ac:dyDescent="0.3">
      <c r="A134" s="135" t="s">
        <v>293</v>
      </c>
      <c r="B134" s="13" t="s">
        <v>219</v>
      </c>
      <c r="C134" s="19" t="s">
        <v>322</v>
      </c>
      <c r="D134" s="15" t="s">
        <v>340</v>
      </c>
      <c r="E134" s="17">
        <v>1048</v>
      </c>
      <c r="F134" s="17">
        <v>1115</v>
      </c>
      <c r="G134" s="17">
        <v>1155</v>
      </c>
    </row>
    <row r="135" spans="1:7" ht="19.5" customHeight="1" x14ac:dyDescent="0.3">
      <c r="A135" s="135"/>
      <c r="B135" s="13" t="s">
        <v>220</v>
      </c>
      <c r="C135" s="19" t="s">
        <v>322</v>
      </c>
      <c r="D135" s="15" t="s">
        <v>341</v>
      </c>
      <c r="E135" s="17">
        <v>1089</v>
      </c>
      <c r="F135" s="17">
        <v>1142</v>
      </c>
      <c r="G135" s="17">
        <v>1180</v>
      </c>
    </row>
    <row r="136" spans="1:7" ht="19.5" customHeight="1" x14ac:dyDescent="0.3">
      <c r="A136" s="135"/>
      <c r="B136" s="13" t="s">
        <v>221</v>
      </c>
      <c r="C136" s="19" t="s">
        <v>322</v>
      </c>
      <c r="D136" s="15" t="s">
        <v>432</v>
      </c>
      <c r="E136" s="17">
        <v>1486</v>
      </c>
      <c r="F136" s="17">
        <v>1594</v>
      </c>
      <c r="G136" s="17">
        <v>1772</v>
      </c>
    </row>
    <row r="137" spans="1:7" ht="19.5" customHeight="1" x14ac:dyDescent="0.3">
      <c r="A137" s="135"/>
      <c r="B137" s="13" t="s">
        <v>366</v>
      </c>
      <c r="C137" s="19" t="s">
        <v>322</v>
      </c>
      <c r="D137" s="15" t="s">
        <v>365</v>
      </c>
      <c r="E137" s="17">
        <v>1568</v>
      </c>
      <c r="F137" s="17">
        <v>1733</v>
      </c>
      <c r="G137" s="17">
        <v>1921</v>
      </c>
    </row>
    <row r="138" spans="1:7" ht="19.5" customHeight="1" x14ac:dyDescent="0.3">
      <c r="A138" s="135"/>
      <c r="B138" s="13" t="s">
        <v>364</v>
      </c>
      <c r="C138" s="19" t="s">
        <v>322</v>
      </c>
      <c r="D138" s="15" t="s">
        <v>367</v>
      </c>
      <c r="E138" s="17">
        <v>1739</v>
      </c>
      <c r="F138" s="17">
        <v>1869</v>
      </c>
      <c r="G138" s="17">
        <v>2064</v>
      </c>
    </row>
    <row r="139" spans="1:7" ht="19.5" customHeight="1" x14ac:dyDescent="0.3">
      <c r="A139" s="135"/>
      <c r="B139" s="13" t="s">
        <v>222</v>
      </c>
      <c r="C139" s="19" t="s">
        <v>322</v>
      </c>
      <c r="D139" s="15" t="s">
        <v>223</v>
      </c>
      <c r="E139" s="17">
        <v>725</v>
      </c>
      <c r="F139" s="17">
        <v>772</v>
      </c>
      <c r="G139" s="17">
        <v>821</v>
      </c>
    </row>
    <row r="140" spans="1:7" ht="57" customHeight="1" x14ac:dyDescent="0.3">
      <c r="A140" s="42" t="s">
        <v>294</v>
      </c>
      <c r="B140" s="15" t="s">
        <v>3</v>
      </c>
      <c r="C140" s="19" t="s">
        <v>4</v>
      </c>
      <c r="D140" s="15" t="s">
        <v>5</v>
      </c>
      <c r="E140" s="17">
        <v>609</v>
      </c>
      <c r="F140" s="17">
        <v>716</v>
      </c>
      <c r="G140" s="17">
        <v>746</v>
      </c>
    </row>
    <row r="141" spans="1:7" ht="19.5" customHeight="1" x14ac:dyDescent="0.3">
      <c r="A141" s="135" t="s">
        <v>448</v>
      </c>
      <c r="B141" s="13" t="s">
        <v>227</v>
      </c>
      <c r="C141" s="23" t="s">
        <v>381</v>
      </c>
      <c r="D141" s="13" t="s">
        <v>224</v>
      </c>
      <c r="E141" s="17">
        <v>687</v>
      </c>
      <c r="F141" s="17">
        <v>726</v>
      </c>
      <c r="G141" s="17">
        <v>757</v>
      </c>
    </row>
    <row r="142" spans="1:7" ht="19.5" customHeight="1" x14ac:dyDescent="0.3">
      <c r="A142" s="135"/>
      <c r="B142" s="13" t="s">
        <v>228</v>
      </c>
      <c r="C142" s="23" t="s">
        <v>381</v>
      </c>
      <c r="D142" s="13" t="s">
        <v>225</v>
      </c>
      <c r="E142" s="17">
        <v>719</v>
      </c>
      <c r="F142" s="17">
        <v>757</v>
      </c>
      <c r="G142" s="17">
        <v>788</v>
      </c>
    </row>
    <row r="143" spans="1:7" ht="19.5" customHeight="1" x14ac:dyDescent="0.3">
      <c r="A143" s="135"/>
      <c r="B143" s="13" t="s">
        <v>229</v>
      </c>
      <c r="C143" s="23" t="s">
        <v>381</v>
      </c>
      <c r="D143" s="13" t="s">
        <v>226</v>
      </c>
      <c r="E143" s="17">
        <v>737</v>
      </c>
      <c r="F143" s="17">
        <v>791</v>
      </c>
      <c r="G143" s="17">
        <v>822</v>
      </c>
    </row>
    <row r="144" spans="1:7" ht="20.25" customHeight="1" x14ac:dyDescent="0.3">
      <c r="A144" s="140" t="s">
        <v>295</v>
      </c>
      <c r="B144" s="11" t="s">
        <v>189</v>
      </c>
      <c r="C144" s="12" t="s">
        <v>323</v>
      </c>
      <c r="D144" s="6" t="s">
        <v>342</v>
      </c>
      <c r="E144" s="17">
        <v>1746</v>
      </c>
      <c r="F144" s="17">
        <v>2006</v>
      </c>
      <c r="G144" s="17">
        <v>2232</v>
      </c>
    </row>
    <row r="145" spans="1:7" ht="20.25" customHeight="1" x14ac:dyDescent="0.3">
      <c r="A145" s="140"/>
      <c r="B145" s="11" t="s">
        <v>190</v>
      </c>
      <c r="C145" s="12" t="s">
        <v>323</v>
      </c>
      <c r="D145" s="6" t="s">
        <v>343</v>
      </c>
      <c r="E145" s="17">
        <v>1809</v>
      </c>
      <c r="F145" s="17">
        <v>2130</v>
      </c>
      <c r="G145" s="17">
        <v>2289</v>
      </c>
    </row>
    <row r="146" spans="1:7" ht="20.25" customHeight="1" x14ac:dyDescent="0.3">
      <c r="A146" s="140"/>
      <c r="B146" s="11" t="s">
        <v>191</v>
      </c>
      <c r="C146" s="12" t="s">
        <v>323</v>
      </c>
      <c r="D146" s="6" t="s">
        <v>344</v>
      </c>
      <c r="E146" s="17">
        <v>1912</v>
      </c>
      <c r="F146" s="17">
        <v>2222</v>
      </c>
      <c r="G146" s="17">
        <v>2421</v>
      </c>
    </row>
    <row r="147" spans="1:7" ht="33" customHeight="1" x14ac:dyDescent="0.3">
      <c r="A147" s="135" t="s">
        <v>316</v>
      </c>
      <c r="B147" s="13" t="s">
        <v>212</v>
      </c>
      <c r="C147" s="12" t="s">
        <v>375</v>
      </c>
      <c r="D147" s="6" t="s">
        <v>362</v>
      </c>
      <c r="E147" s="17">
        <v>849</v>
      </c>
      <c r="F147" s="17">
        <v>1058</v>
      </c>
      <c r="G147" s="17">
        <v>1141</v>
      </c>
    </row>
    <row r="148" spans="1:7" ht="33" customHeight="1" x14ac:dyDescent="0.3">
      <c r="A148" s="135"/>
      <c r="B148" s="13" t="s">
        <v>213</v>
      </c>
      <c r="C148" s="12" t="s">
        <v>324</v>
      </c>
      <c r="D148" s="6" t="s">
        <v>361</v>
      </c>
      <c r="E148" s="17">
        <v>904</v>
      </c>
      <c r="F148" s="17">
        <v>1094</v>
      </c>
      <c r="G148" s="17">
        <v>1181</v>
      </c>
    </row>
    <row r="149" spans="1:7" ht="33" customHeight="1" x14ac:dyDescent="0.3">
      <c r="A149" s="137" t="s">
        <v>316</v>
      </c>
      <c r="B149" s="11" t="s">
        <v>483</v>
      </c>
      <c r="C149" s="12" t="s">
        <v>324</v>
      </c>
      <c r="D149" s="6" t="s">
        <v>484</v>
      </c>
      <c r="E149" s="49">
        <v>1676</v>
      </c>
      <c r="F149" s="50">
        <v>1759</v>
      </c>
      <c r="G149" s="50">
        <v>1972</v>
      </c>
    </row>
    <row r="150" spans="1:7" ht="33" customHeight="1" x14ac:dyDescent="0.3">
      <c r="A150" s="138"/>
      <c r="B150" s="11" t="s">
        <v>485</v>
      </c>
      <c r="C150" s="12" t="s">
        <v>324</v>
      </c>
      <c r="D150" s="6" t="s">
        <v>486</v>
      </c>
      <c r="E150" s="49">
        <v>1747</v>
      </c>
      <c r="F150" s="50">
        <v>1817</v>
      </c>
      <c r="G150" s="50">
        <v>2081</v>
      </c>
    </row>
    <row r="151" spans="1:7" ht="33" customHeight="1" x14ac:dyDescent="0.3">
      <c r="A151" s="139"/>
      <c r="B151" s="11" t="s">
        <v>487</v>
      </c>
      <c r="C151" s="12" t="s">
        <v>324</v>
      </c>
      <c r="D151" s="6" t="s">
        <v>488</v>
      </c>
      <c r="E151" s="49">
        <v>1824</v>
      </c>
      <c r="F151" s="50">
        <v>1878</v>
      </c>
      <c r="G151" s="50">
        <v>2203</v>
      </c>
    </row>
    <row r="152" spans="1:7" ht="34.5" customHeight="1" x14ac:dyDescent="0.3">
      <c r="A152" s="145" t="s">
        <v>299</v>
      </c>
      <c r="B152" s="11" t="s">
        <v>232</v>
      </c>
      <c r="C152" s="23" t="s">
        <v>372</v>
      </c>
      <c r="D152" s="22" t="s">
        <v>233</v>
      </c>
      <c r="E152" s="10">
        <v>932</v>
      </c>
      <c r="F152" s="10">
        <v>1005</v>
      </c>
      <c r="G152" s="10">
        <v>1027</v>
      </c>
    </row>
    <row r="153" spans="1:7" ht="34.5" customHeight="1" x14ac:dyDescent="0.3">
      <c r="A153" s="146"/>
      <c r="B153" s="11" t="s">
        <v>230</v>
      </c>
      <c r="C153" s="23" t="s">
        <v>372</v>
      </c>
      <c r="D153" s="22" t="s">
        <v>231</v>
      </c>
      <c r="E153" s="17">
        <v>951</v>
      </c>
      <c r="F153" s="17">
        <v>1038</v>
      </c>
      <c r="G153" s="17">
        <v>1061</v>
      </c>
    </row>
    <row r="154" spans="1:7" s="3" customFormat="1" ht="84.75" customHeight="1" x14ac:dyDescent="0.4">
      <c r="A154" s="122"/>
      <c r="B154" s="123"/>
      <c r="C154" s="124" t="s">
        <v>460</v>
      </c>
      <c r="D154" s="125"/>
      <c r="E154" s="125"/>
      <c r="F154" s="125"/>
      <c r="G154" s="126"/>
    </row>
    <row r="155" spans="1:7" x14ac:dyDescent="0.3">
      <c r="A155" s="136" t="s">
        <v>245</v>
      </c>
      <c r="B155" s="136"/>
      <c r="C155" s="136"/>
      <c r="D155" s="136"/>
      <c r="E155" s="136"/>
      <c r="F155" s="136"/>
      <c r="G155" s="136"/>
    </row>
    <row r="156" spans="1:7" x14ac:dyDescent="0.3">
      <c r="A156" s="141"/>
      <c r="B156" s="141"/>
      <c r="C156" s="141"/>
      <c r="D156" s="141"/>
      <c r="E156" s="2" t="s">
        <v>247</v>
      </c>
      <c r="F156" s="2" t="s">
        <v>248</v>
      </c>
      <c r="G156" s="2" t="s">
        <v>249</v>
      </c>
    </row>
    <row r="157" spans="1:7" ht="60.75" customHeight="1" x14ac:dyDescent="0.3">
      <c r="A157" s="142" t="s">
        <v>250</v>
      </c>
      <c r="B157" s="129" t="s">
        <v>251</v>
      </c>
      <c r="C157" s="143" t="s">
        <v>252</v>
      </c>
      <c r="D157" s="144" t="s">
        <v>253</v>
      </c>
      <c r="E157" s="131" t="s">
        <v>254</v>
      </c>
      <c r="F157" s="44" t="s">
        <v>262</v>
      </c>
      <c r="G157" s="132" t="s">
        <v>256</v>
      </c>
    </row>
    <row r="158" spans="1:7" x14ac:dyDescent="0.3">
      <c r="A158" s="142"/>
      <c r="B158" s="129"/>
      <c r="C158" s="143"/>
      <c r="D158" s="144"/>
      <c r="E158" s="131"/>
      <c r="F158" s="133" t="s">
        <v>264</v>
      </c>
      <c r="G158" s="132"/>
    </row>
    <row r="159" spans="1:7" ht="80.25" customHeight="1" x14ac:dyDescent="0.3">
      <c r="A159" s="142"/>
      <c r="B159" s="129"/>
      <c r="C159" s="143"/>
      <c r="D159" s="144"/>
      <c r="E159" s="131"/>
      <c r="F159" s="133"/>
      <c r="G159" s="43" t="s">
        <v>258</v>
      </c>
    </row>
    <row r="160" spans="1:7" x14ac:dyDescent="0.3">
      <c r="A160" s="142"/>
      <c r="B160" s="129"/>
      <c r="C160" s="143"/>
      <c r="D160" s="144"/>
      <c r="E160" s="131"/>
      <c r="F160" s="133"/>
      <c r="G160" s="43" t="s">
        <v>259</v>
      </c>
    </row>
    <row r="161" spans="1:7" x14ac:dyDescent="0.3">
      <c r="A161" s="142"/>
      <c r="B161" s="129"/>
      <c r="C161" s="143"/>
      <c r="D161" s="144"/>
      <c r="E161" s="131"/>
      <c r="F161" s="133"/>
      <c r="G161" s="134" t="s">
        <v>260</v>
      </c>
    </row>
    <row r="162" spans="1:7" ht="108.75" customHeight="1" x14ac:dyDescent="0.3">
      <c r="A162" s="142"/>
      <c r="B162" s="129"/>
      <c r="C162" s="143"/>
      <c r="D162" s="144"/>
      <c r="E162" s="131"/>
      <c r="F162" s="133"/>
      <c r="G162" s="134"/>
    </row>
    <row r="163" spans="1:7" ht="23.25" customHeight="1" x14ac:dyDescent="0.3">
      <c r="A163" s="140" t="s">
        <v>300</v>
      </c>
      <c r="B163" s="11" t="s">
        <v>148</v>
      </c>
      <c r="C163" s="12" t="s">
        <v>325</v>
      </c>
      <c r="D163" s="15" t="s">
        <v>433</v>
      </c>
      <c r="E163" s="17">
        <v>1541</v>
      </c>
      <c r="F163" s="17">
        <v>1637</v>
      </c>
      <c r="G163" s="17">
        <v>1733</v>
      </c>
    </row>
    <row r="164" spans="1:7" ht="23.25" customHeight="1" x14ac:dyDescent="0.3">
      <c r="A164" s="140"/>
      <c r="B164" s="11" t="s">
        <v>149</v>
      </c>
      <c r="C164" s="12" t="s">
        <v>325</v>
      </c>
      <c r="D164" s="15" t="s">
        <v>434</v>
      </c>
      <c r="E164" s="17">
        <v>1633</v>
      </c>
      <c r="F164" s="17">
        <v>1735</v>
      </c>
      <c r="G164" s="17">
        <v>1845</v>
      </c>
    </row>
    <row r="165" spans="1:7" ht="23.25" customHeight="1" x14ac:dyDescent="0.3">
      <c r="A165" s="140"/>
      <c r="B165" s="11" t="s">
        <v>150</v>
      </c>
      <c r="C165" s="12" t="s">
        <v>325</v>
      </c>
      <c r="D165" s="15" t="s">
        <v>435</v>
      </c>
      <c r="E165" s="17">
        <v>1764</v>
      </c>
      <c r="F165" s="17">
        <v>1839</v>
      </c>
      <c r="G165" s="17">
        <v>2054</v>
      </c>
    </row>
    <row r="166" spans="1:7" ht="57.75" customHeight="1" x14ac:dyDescent="0.3">
      <c r="A166" s="41" t="s">
        <v>301</v>
      </c>
      <c r="B166" s="11" t="s">
        <v>210</v>
      </c>
      <c r="C166" s="7" t="s">
        <v>382</v>
      </c>
      <c r="D166" s="6" t="s">
        <v>211</v>
      </c>
      <c r="E166" s="17">
        <v>1123</v>
      </c>
      <c r="F166" s="17">
        <v>1445</v>
      </c>
      <c r="G166" s="17">
        <v>1738</v>
      </c>
    </row>
    <row r="167" spans="1:7" ht="24.75" customHeight="1" x14ac:dyDescent="0.3">
      <c r="A167" s="140" t="s">
        <v>302</v>
      </c>
      <c r="B167" s="11" t="s">
        <v>124</v>
      </c>
      <c r="C167" s="12" t="s">
        <v>125</v>
      </c>
      <c r="D167" s="11" t="s">
        <v>126</v>
      </c>
      <c r="E167" s="17">
        <v>1826</v>
      </c>
      <c r="F167" s="17">
        <v>2064</v>
      </c>
      <c r="G167" s="17">
        <v>2397</v>
      </c>
    </row>
    <row r="168" spans="1:7" ht="24.75" customHeight="1" x14ac:dyDescent="0.3">
      <c r="A168" s="140"/>
      <c r="B168" s="11" t="s">
        <v>127</v>
      </c>
      <c r="C168" s="12" t="s">
        <v>125</v>
      </c>
      <c r="D168" s="11" t="s">
        <v>128</v>
      </c>
      <c r="E168" s="17">
        <v>2125</v>
      </c>
      <c r="F168" s="17">
        <v>2286</v>
      </c>
      <c r="G168" s="17">
        <v>2752</v>
      </c>
    </row>
    <row r="169" spans="1:7" ht="24.75" customHeight="1" x14ac:dyDescent="0.3">
      <c r="A169" s="140"/>
      <c r="B169" s="11" t="s">
        <v>129</v>
      </c>
      <c r="C169" s="12" t="s">
        <v>125</v>
      </c>
      <c r="D169" s="11" t="s">
        <v>345</v>
      </c>
      <c r="E169" s="17">
        <v>2526</v>
      </c>
      <c r="F169" s="17">
        <v>2786</v>
      </c>
      <c r="G169" s="17">
        <v>3435</v>
      </c>
    </row>
    <row r="170" spans="1:7" ht="19.5" customHeight="1" x14ac:dyDescent="0.3">
      <c r="A170" s="140" t="s">
        <v>286</v>
      </c>
      <c r="B170" s="11" t="s">
        <v>185</v>
      </c>
      <c r="C170" s="19" t="s">
        <v>383</v>
      </c>
      <c r="D170" s="15" t="s">
        <v>436</v>
      </c>
      <c r="E170" s="17">
        <v>1449</v>
      </c>
      <c r="F170" s="17">
        <v>1502</v>
      </c>
      <c r="G170" s="17">
        <v>1612</v>
      </c>
    </row>
    <row r="171" spans="1:7" ht="19.5" customHeight="1" x14ac:dyDescent="0.3">
      <c r="A171" s="140"/>
      <c r="B171" s="11" t="s">
        <v>186</v>
      </c>
      <c r="C171" s="19" t="s">
        <v>383</v>
      </c>
      <c r="D171" s="15" t="s">
        <v>437</v>
      </c>
      <c r="E171" s="17">
        <v>1524</v>
      </c>
      <c r="F171" s="17">
        <v>1588</v>
      </c>
      <c r="G171" s="17">
        <v>1683</v>
      </c>
    </row>
    <row r="172" spans="1:7" ht="19.5" customHeight="1" x14ac:dyDescent="0.3">
      <c r="A172" s="140"/>
      <c r="B172" s="11" t="s">
        <v>187</v>
      </c>
      <c r="C172" s="19" t="s">
        <v>383</v>
      </c>
      <c r="D172" s="15" t="s">
        <v>438</v>
      </c>
      <c r="E172" s="17">
        <v>1630</v>
      </c>
      <c r="F172" s="17">
        <v>1691</v>
      </c>
      <c r="G172" s="17">
        <v>1791</v>
      </c>
    </row>
    <row r="173" spans="1:7" ht="19.5" customHeight="1" x14ac:dyDescent="0.3">
      <c r="A173" s="140"/>
      <c r="B173" s="11" t="s">
        <v>188</v>
      </c>
      <c r="C173" s="19" t="s">
        <v>383</v>
      </c>
      <c r="D173" s="15" t="s">
        <v>439</v>
      </c>
      <c r="E173" s="17">
        <v>1694</v>
      </c>
      <c r="F173" s="17">
        <v>1747</v>
      </c>
      <c r="G173" s="17">
        <v>1832</v>
      </c>
    </row>
    <row r="174" spans="1:7" ht="19.5" customHeight="1" x14ac:dyDescent="0.3">
      <c r="A174" s="135" t="s">
        <v>303</v>
      </c>
      <c r="B174" s="13" t="s">
        <v>102</v>
      </c>
      <c r="C174" s="30" t="s">
        <v>397</v>
      </c>
      <c r="D174" s="15" t="s">
        <v>440</v>
      </c>
      <c r="E174" s="17">
        <v>1606</v>
      </c>
      <c r="F174" s="17">
        <v>1644</v>
      </c>
      <c r="G174" s="17">
        <v>1718</v>
      </c>
    </row>
    <row r="175" spans="1:7" ht="19.5" customHeight="1" x14ac:dyDescent="0.3">
      <c r="A175" s="135"/>
      <c r="B175" s="13" t="s">
        <v>103</v>
      </c>
      <c r="C175" s="30" t="s">
        <v>397</v>
      </c>
      <c r="D175" s="15" t="s">
        <v>441</v>
      </c>
      <c r="E175" s="17">
        <v>1672</v>
      </c>
      <c r="F175" s="17">
        <v>1707</v>
      </c>
      <c r="G175" s="17">
        <v>1778</v>
      </c>
    </row>
    <row r="176" spans="1:7" ht="19.5" customHeight="1" x14ac:dyDescent="0.3">
      <c r="A176" s="135"/>
      <c r="B176" s="13" t="s">
        <v>104</v>
      </c>
      <c r="C176" s="30" t="s">
        <v>397</v>
      </c>
      <c r="D176" s="15" t="s">
        <v>442</v>
      </c>
      <c r="E176" s="17">
        <v>1738</v>
      </c>
      <c r="F176" s="17">
        <v>1785</v>
      </c>
      <c r="G176" s="17">
        <v>1861</v>
      </c>
    </row>
    <row r="177" spans="1:7" ht="19.5" customHeight="1" x14ac:dyDescent="0.3">
      <c r="A177" s="135"/>
      <c r="B177" s="13" t="s">
        <v>105</v>
      </c>
      <c r="C177" s="30" t="s">
        <v>397</v>
      </c>
      <c r="D177" s="15" t="s">
        <v>443</v>
      </c>
      <c r="E177" s="17">
        <v>1859</v>
      </c>
      <c r="F177" s="17">
        <v>1909</v>
      </c>
      <c r="G177" s="17">
        <v>1998</v>
      </c>
    </row>
    <row r="178" spans="1:7" ht="33.75" customHeight="1" x14ac:dyDescent="0.3">
      <c r="A178" s="140" t="s">
        <v>304</v>
      </c>
      <c r="B178" s="11" t="s">
        <v>234</v>
      </c>
      <c r="C178" s="20" t="s">
        <v>326</v>
      </c>
      <c r="D178" s="15" t="s">
        <v>510</v>
      </c>
      <c r="E178" s="17">
        <v>1232</v>
      </c>
      <c r="F178" s="17">
        <v>1291</v>
      </c>
      <c r="G178" s="17">
        <v>1338</v>
      </c>
    </row>
    <row r="179" spans="1:7" ht="33.75" customHeight="1" x14ac:dyDescent="0.3">
      <c r="A179" s="140"/>
      <c r="B179" s="11" t="s">
        <v>235</v>
      </c>
      <c r="C179" s="20" t="s">
        <v>326</v>
      </c>
      <c r="D179" s="11" t="s">
        <v>236</v>
      </c>
      <c r="E179" s="17">
        <v>1205</v>
      </c>
      <c r="F179" s="17">
        <v>1265</v>
      </c>
      <c r="G179" s="17">
        <v>1312</v>
      </c>
    </row>
    <row r="180" spans="1:7" ht="32.25" customHeight="1" x14ac:dyDescent="0.3">
      <c r="A180" s="140" t="s">
        <v>305</v>
      </c>
      <c r="B180" s="13" t="s">
        <v>297</v>
      </c>
      <c r="C180" s="20" t="s">
        <v>296</v>
      </c>
      <c r="D180" s="11" t="s">
        <v>1</v>
      </c>
      <c r="E180" s="17">
        <v>1324</v>
      </c>
      <c r="F180" s="17">
        <v>1694</v>
      </c>
      <c r="G180" s="17">
        <v>1815</v>
      </c>
    </row>
    <row r="181" spans="1:7" ht="32.25" customHeight="1" x14ac:dyDescent="0.3">
      <c r="A181" s="140"/>
      <c r="B181" s="13" t="s">
        <v>298</v>
      </c>
      <c r="C181" s="20" t="s">
        <v>0</v>
      </c>
      <c r="D181" s="11" t="s">
        <v>2</v>
      </c>
      <c r="E181" s="17">
        <v>1500</v>
      </c>
      <c r="F181" s="17">
        <v>1921</v>
      </c>
      <c r="G181" s="17">
        <v>2042</v>
      </c>
    </row>
    <row r="182" spans="1:7" ht="19.5" customHeight="1" x14ac:dyDescent="0.3">
      <c r="A182" s="145" t="s">
        <v>273</v>
      </c>
      <c r="B182" s="11" t="s">
        <v>140</v>
      </c>
      <c r="C182" s="12" t="s">
        <v>327</v>
      </c>
      <c r="D182" s="6" t="s">
        <v>141</v>
      </c>
      <c r="E182" s="17">
        <v>1276</v>
      </c>
      <c r="F182" s="17">
        <v>1434</v>
      </c>
      <c r="G182" s="17">
        <v>1483</v>
      </c>
    </row>
    <row r="183" spans="1:7" ht="19.5" customHeight="1" x14ac:dyDescent="0.3">
      <c r="A183" s="150"/>
      <c r="B183" s="11" t="s">
        <v>138</v>
      </c>
      <c r="C183" s="12" t="s">
        <v>327</v>
      </c>
      <c r="D183" s="6" t="s">
        <v>139</v>
      </c>
      <c r="E183" s="17">
        <v>1489</v>
      </c>
      <c r="F183" s="17">
        <v>1619</v>
      </c>
      <c r="G183" s="17">
        <v>1668</v>
      </c>
    </row>
    <row r="184" spans="1:7" ht="19.5" customHeight="1" x14ac:dyDescent="0.3">
      <c r="A184" s="150"/>
      <c r="B184" s="11" t="s">
        <v>136</v>
      </c>
      <c r="C184" s="12" t="s">
        <v>327</v>
      </c>
      <c r="D184" s="6" t="s">
        <v>137</v>
      </c>
      <c r="E184" s="17">
        <v>1519</v>
      </c>
      <c r="F184" s="17">
        <v>1649</v>
      </c>
      <c r="G184" s="17">
        <v>1698</v>
      </c>
    </row>
    <row r="185" spans="1:7" ht="19.5" customHeight="1" x14ac:dyDescent="0.3">
      <c r="A185" s="150"/>
      <c r="B185" s="11" t="s">
        <v>134</v>
      </c>
      <c r="C185" s="12" t="s">
        <v>327</v>
      </c>
      <c r="D185" s="6" t="s">
        <v>135</v>
      </c>
      <c r="E185" s="17">
        <v>1775</v>
      </c>
      <c r="F185" s="17">
        <v>1880</v>
      </c>
      <c r="G185" s="17">
        <v>1988</v>
      </c>
    </row>
    <row r="186" spans="1:7" ht="19.5" customHeight="1" x14ac:dyDescent="0.3">
      <c r="A186" s="150"/>
      <c r="B186" s="11" t="s">
        <v>132</v>
      </c>
      <c r="C186" s="12" t="s">
        <v>327</v>
      </c>
      <c r="D186" s="6" t="s">
        <v>133</v>
      </c>
      <c r="E186" s="17">
        <v>1837</v>
      </c>
      <c r="F186" s="17">
        <v>1920</v>
      </c>
      <c r="G186" s="17">
        <v>2019</v>
      </c>
    </row>
    <row r="187" spans="1:7" ht="19.5" customHeight="1" x14ac:dyDescent="0.3">
      <c r="A187" s="146"/>
      <c r="B187" s="11" t="s">
        <v>130</v>
      </c>
      <c r="C187" s="12" t="s">
        <v>327</v>
      </c>
      <c r="D187" s="6" t="s">
        <v>131</v>
      </c>
      <c r="E187" s="17">
        <v>2074</v>
      </c>
      <c r="F187" s="17">
        <v>2238</v>
      </c>
      <c r="G187" s="17">
        <v>2351</v>
      </c>
    </row>
    <row r="188" spans="1:7" ht="36" customHeight="1" x14ac:dyDescent="0.3">
      <c r="A188" s="140" t="s">
        <v>306</v>
      </c>
      <c r="B188" s="11" t="s">
        <v>106</v>
      </c>
      <c r="C188" s="21" t="s">
        <v>384</v>
      </c>
      <c r="D188" s="22" t="s">
        <v>107</v>
      </c>
      <c r="E188" s="17">
        <v>1370</v>
      </c>
      <c r="F188" s="17">
        <v>1484</v>
      </c>
      <c r="G188" s="17">
        <v>1688</v>
      </c>
    </row>
    <row r="189" spans="1:7" ht="36" customHeight="1" x14ac:dyDescent="0.3">
      <c r="A189" s="140"/>
      <c r="B189" s="11" t="s">
        <v>108</v>
      </c>
      <c r="C189" s="21" t="s">
        <v>384</v>
      </c>
      <c r="D189" s="22" t="s">
        <v>109</v>
      </c>
      <c r="E189" s="17">
        <v>1192</v>
      </c>
      <c r="F189" s="17">
        <v>1379</v>
      </c>
      <c r="G189" s="17">
        <v>1538</v>
      </c>
    </row>
    <row r="190" spans="1:7" s="3" customFormat="1" ht="84.75" customHeight="1" x14ac:dyDescent="0.4">
      <c r="A190" s="122"/>
      <c r="B190" s="123"/>
      <c r="C190" s="124" t="s">
        <v>461</v>
      </c>
      <c r="D190" s="125"/>
      <c r="E190" s="125"/>
      <c r="F190" s="125"/>
      <c r="G190" s="126"/>
    </row>
    <row r="191" spans="1:7" x14ac:dyDescent="0.3">
      <c r="A191" s="136" t="s">
        <v>265</v>
      </c>
      <c r="B191" s="136"/>
      <c r="C191" s="136"/>
      <c r="D191" s="136"/>
      <c r="E191" s="136"/>
      <c r="F191" s="136"/>
      <c r="G191" s="136"/>
    </row>
    <row r="192" spans="1:7" x14ac:dyDescent="0.3">
      <c r="A192" s="136" t="s">
        <v>266</v>
      </c>
      <c r="B192" s="136"/>
      <c r="C192" s="136"/>
      <c r="D192" s="136"/>
      <c r="E192" s="136"/>
      <c r="F192" s="136"/>
      <c r="G192" s="136"/>
    </row>
    <row r="193" spans="1:7" x14ac:dyDescent="0.3">
      <c r="A193" s="136" t="s">
        <v>267</v>
      </c>
      <c r="B193" s="136"/>
      <c r="C193" s="136"/>
      <c r="D193" s="136"/>
      <c r="E193" s="136"/>
      <c r="F193" s="136"/>
      <c r="G193" s="136"/>
    </row>
    <row r="194" spans="1:7" x14ac:dyDescent="0.3">
      <c r="A194" s="136" t="s">
        <v>268</v>
      </c>
      <c r="B194" s="136"/>
      <c r="C194" s="136"/>
      <c r="D194" s="136"/>
      <c r="E194" s="136"/>
      <c r="F194" s="136"/>
      <c r="G194" s="136"/>
    </row>
    <row r="195" spans="1:7" x14ac:dyDescent="0.3">
      <c r="A195" s="141"/>
      <c r="B195" s="141"/>
      <c r="C195" s="141"/>
      <c r="D195" s="141"/>
      <c r="E195" s="2" t="s">
        <v>247</v>
      </c>
      <c r="F195" s="2" t="s">
        <v>248</v>
      </c>
      <c r="G195" s="2" t="s">
        <v>249</v>
      </c>
    </row>
    <row r="196" spans="1:7" ht="60.75" customHeight="1" x14ac:dyDescent="0.3">
      <c r="A196" s="142" t="s">
        <v>250</v>
      </c>
      <c r="B196" s="129" t="s">
        <v>251</v>
      </c>
      <c r="C196" s="143" t="s">
        <v>252</v>
      </c>
      <c r="D196" s="144" t="s">
        <v>253</v>
      </c>
      <c r="E196" s="131" t="s">
        <v>254</v>
      </c>
      <c r="F196" s="44" t="s">
        <v>262</v>
      </c>
      <c r="G196" s="132" t="s">
        <v>256</v>
      </c>
    </row>
    <row r="197" spans="1:7" x14ac:dyDescent="0.3">
      <c r="A197" s="142"/>
      <c r="B197" s="129"/>
      <c r="C197" s="143"/>
      <c r="D197" s="144"/>
      <c r="E197" s="131"/>
      <c r="F197" s="133" t="s">
        <v>264</v>
      </c>
      <c r="G197" s="132"/>
    </row>
    <row r="198" spans="1:7" ht="88.5" customHeight="1" x14ac:dyDescent="0.3">
      <c r="A198" s="142"/>
      <c r="B198" s="129"/>
      <c r="C198" s="143"/>
      <c r="D198" s="144"/>
      <c r="E198" s="131"/>
      <c r="F198" s="133"/>
      <c r="G198" s="43" t="s">
        <v>258</v>
      </c>
    </row>
    <row r="199" spans="1:7" x14ac:dyDescent="0.3">
      <c r="A199" s="142"/>
      <c r="B199" s="129"/>
      <c r="C199" s="143"/>
      <c r="D199" s="144"/>
      <c r="E199" s="131"/>
      <c r="F199" s="133"/>
      <c r="G199" s="43" t="s">
        <v>259</v>
      </c>
    </row>
    <row r="200" spans="1:7" x14ac:dyDescent="0.3">
      <c r="A200" s="142"/>
      <c r="B200" s="129"/>
      <c r="C200" s="143"/>
      <c r="D200" s="144"/>
      <c r="E200" s="131"/>
      <c r="F200" s="133"/>
      <c r="G200" s="134" t="s">
        <v>260</v>
      </c>
    </row>
    <row r="201" spans="1:7" ht="99" customHeight="1" x14ac:dyDescent="0.3">
      <c r="A201" s="142"/>
      <c r="B201" s="129"/>
      <c r="C201" s="143"/>
      <c r="D201" s="144"/>
      <c r="E201" s="131"/>
      <c r="F201" s="133"/>
      <c r="G201" s="134"/>
    </row>
    <row r="202" spans="1:7" ht="21.75" customHeight="1" x14ac:dyDescent="0.3">
      <c r="A202" s="140" t="s">
        <v>307</v>
      </c>
      <c r="B202" s="11" t="s">
        <v>237</v>
      </c>
      <c r="C202" s="24" t="s">
        <v>385</v>
      </c>
      <c r="D202" s="11" t="s">
        <v>238</v>
      </c>
      <c r="E202" s="17" t="s">
        <v>317</v>
      </c>
      <c r="F202" s="17">
        <v>4411</v>
      </c>
      <c r="G202" s="17">
        <v>4687</v>
      </c>
    </row>
    <row r="203" spans="1:7" ht="21.75" customHeight="1" x14ac:dyDescent="0.3">
      <c r="A203" s="140"/>
      <c r="B203" s="11" t="s">
        <v>239</v>
      </c>
      <c r="C203" s="24" t="s">
        <v>385</v>
      </c>
      <c r="D203" s="11" t="s">
        <v>240</v>
      </c>
      <c r="E203" s="17" t="s">
        <v>317</v>
      </c>
      <c r="F203" s="17">
        <v>4808</v>
      </c>
      <c r="G203" s="17">
        <v>4999</v>
      </c>
    </row>
    <row r="204" spans="1:7" ht="21.75" customHeight="1" x14ac:dyDescent="0.3">
      <c r="A204" s="140"/>
      <c r="B204" s="11" t="s">
        <v>241</v>
      </c>
      <c r="C204" s="24" t="s">
        <v>385</v>
      </c>
      <c r="D204" s="11" t="s">
        <v>242</v>
      </c>
      <c r="E204" s="17" t="s">
        <v>317</v>
      </c>
      <c r="F204" s="17">
        <v>5212</v>
      </c>
      <c r="G204" s="17">
        <v>5540</v>
      </c>
    </row>
    <row r="205" spans="1:7" ht="21.75" customHeight="1" x14ac:dyDescent="0.3">
      <c r="A205" s="140"/>
      <c r="B205" s="11" t="s">
        <v>243</v>
      </c>
      <c r="C205" s="24" t="s">
        <v>385</v>
      </c>
      <c r="D205" s="11" t="s">
        <v>244</v>
      </c>
      <c r="E205" s="17" t="s">
        <v>317</v>
      </c>
      <c r="F205" s="17">
        <v>6238</v>
      </c>
      <c r="G205" s="17">
        <v>6758</v>
      </c>
    </row>
    <row r="206" spans="1:7" ht="21.75" customHeight="1" x14ac:dyDescent="0.3">
      <c r="A206" s="145" t="s">
        <v>278</v>
      </c>
      <c r="B206" s="47" t="s">
        <v>464</v>
      </c>
      <c r="C206" s="21" t="s">
        <v>491</v>
      </c>
      <c r="D206" s="22" t="s">
        <v>9</v>
      </c>
      <c r="E206" s="48">
        <v>4680</v>
      </c>
      <c r="F206" s="9">
        <v>4971</v>
      </c>
      <c r="G206" s="10">
        <v>5675</v>
      </c>
    </row>
    <row r="207" spans="1:7" ht="21.75" customHeight="1" x14ac:dyDescent="0.3">
      <c r="A207" s="150"/>
      <c r="B207" s="47" t="s">
        <v>465</v>
      </c>
      <c r="C207" s="21" t="s">
        <v>491</v>
      </c>
      <c r="D207" s="11" t="s">
        <v>466</v>
      </c>
      <c r="E207" s="48">
        <v>5331</v>
      </c>
      <c r="F207" s="9">
        <v>5676</v>
      </c>
      <c r="G207" s="10">
        <v>6477</v>
      </c>
    </row>
    <row r="208" spans="1:7" ht="21.75" customHeight="1" x14ac:dyDescent="0.3">
      <c r="A208" s="150"/>
      <c r="B208" s="47" t="s">
        <v>467</v>
      </c>
      <c r="C208" s="21" t="s">
        <v>491</v>
      </c>
      <c r="D208" s="11" t="s">
        <v>13</v>
      </c>
      <c r="E208" s="48">
        <v>5437</v>
      </c>
      <c r="F208" s="9">
        <v>5934</v>
      </c>
      <c r="G208" s="10">
        <v>6909</v>
      </c>
    </row>
    <row r="209" spans="1:8" ht="21.75" customHeight="1" x14ac:dyDescent="0.3">
      <c r="A209" s="150"/>
      <c r="B209" s="47" t="s">
        <v>468</v>
      </c>
      <c r="C209" s="21" t="s">
        <v>491</v>
      </c>
      <c r="D209" s="22" t="s">
        <v>39</v>
      </c>
      <c r="E209" s="48">
        <v>6302</v>
      </c>
      <c r="F209" s="9">
        <v>6808</v>
      </c>
      <c r="G209" s="10">
        <v>7974</v>
      </c>
    </row>
    <row r="210" spans="1:8" ht="21.75" customHeight="1" x14ac:dyDescent="0.3">
      <c r="A210" s="150"/>
      <c r="B210" s="47" t="s">
        <v>469</v>
      </c>
      <c r="C210" s="21" t="s">
        <v>491</v>
      </c>
      <c r="D210" s="22" t="s">
        <v>17</v>
      </c>
      <c r="E210" s="48">
        <v>7683</v>
      </c>
      <c r="F210" s="9">
        <v>8857</v>
      </c>
      <c r="G210" s="10">
        <v>10169</v>
      </c>
    </row>
    <row r="211" spans="1:8" ht="21.75" customHeight="1" x14ac:dyDescent="0.3">
      <c r="A211" s="146"/>
      <c r="B211" s="47" t="s">
        <v>470</v>
      </c>
      <c r="C211" s="21" t="s">
        <v>491</v>
      </c>
      <c r="D211" s="22" t="s">
        <v>19</v>
      </c>
      <c r="E211" s="48">
        <v>7919</v>
      </c>
      <c r="F211" s="9">
        <v>9052</v>
      </c>
      <c r="G211" s="10">
        <v>10408</v>
      </c>
    </row>
    <row r="212" spans="1:8" ht="39.950000000000003" customHeight="1" x14ac:dyDescent="0.3">
      <c r="A212" s="145" t="s">
        <v>278</v>
      </c>
      <c r="B212" s="11" t="s">
        <v>118</v>
      </c>
      <c r="C212" s="24" t="s">
        <v>328</v>
      </c>
      <c r="D212" s="11" t="s">
        <v>454</v>
      </c>
      <c r="E212" s="17">
        <v>2006</v>
      </c>
      <c r="F212" s="17">
        <v>2269</v>
      </c>
      <c r="G212" s="17">
        <v>2424</v>
      </c>
    </row>
    <row r="213" spans="1:8" ht="39.950000000000003" customHeight="1" x14ac:dyDescent="0.3">
      <c r="A213" s="146"/>
      <c r="B213" s="11" t="s">
        <v>119</v>
      </c>
      <c r="C213" s="24" t="s">
        <v>328</v>
      </c>
      <c r="D213" s="11" t="s">
        <v>455</v>
      </c>
      <c r="E213" s="17">
        <v>2108</v>
      </c>
      <c r="F213" s="17">
        <v>2371</v>
      </c>
      <c r="G213" s="17">
        <v>2646</v>
      </c>
    </row>
    <row r="214" spans="1:8" ht="21.75" customHeight="1" x14ac:dyDescent="0.3">
      <c r="A214" s="147" t="s">
        <v>490</v>
      </c>
      <c r="B214" s="11" t="s">
        <v>450</v>
      </c>
      <c r="C214" s="24" t="s">
        <v>482</v>
      </c>
      <c r="D214" s="11" t="s">
        <v>238</v>
      </c>
      <c r="E214" s="17">
        <v>3372</v>
      </c>
      <c r="F214" s="17">
        <v>3680</v>
      </c>
      <c r="G214" s="17">
        <v>4235</v>
      </c>
      <c r="H214" s="40"/>
    </row>
    <row r="215" spans="1:8" ht="21.75" customHeight="1" x14ac:dyDescent="0.3">
      <c r="A215" s="148"/>
      <c r="B215" s="11" t="s">
        <v>451</v>
      </c>
      <c r="C215" s="24" t="s">
        <v>482</v>
      </c>
      <c r="D215" s="11" t="s">
        <v>240</v>
      </c>
      <c r="E215" s="17">
        <v>3714</v>
      </c>
      <c r="F215" s="17">
        <v>4108</v>
      </c>
      <c r="G215" s="17">
        <v>4726</v>
      </c>
      <c r="H215" s="40"/>
    </row>
    <row r="216" spans="1:8" ht="21.75" customHeight="1" x14ac:dyDescent="0.3">
      <c r="A216" s="148"/>
      <c r="B216" s="11" t="s">
        <v>452</v>
      </c>
      <c r="C216" s="24" t="s">
        <v>482</v>
      </c>
      <c r="D216" s="11" t="s">
        <v>242</v>
      </c>
      <c r="E216" s="17">
        <v>4154</v>
      </c>
      <c r="F216" s="17">
        <v>4377</v>
      </c>
      <c r="G216" s="17">
        <v>5052</v>
      </c>
      <c r="H216" s="40"/>
    </row>
    <row r="217" spans="1:8" ht="21.75" customHeight="1" x14ac:dyDescent="0.3">
      <c r="A217" s="149"/>
      <c r="B217" s="11" t="s">
        <v>453</v>
      </c>
      <c r="C217" s="24" t="s">
        <v>482</v>
      </c>
      <c r="D217" s="11" t="s">
        <v>244</v>
      </c>
      <c r="E217" s="17">
        <v>5255</v>
      </c>
      <c r="F217" s="17">
        <v>5542</v>
      </c>
      <c r="G217" s="17">
        <v>6377</v>
      </c>
      <c r="H217" s="40"/>
    </row>
    <row r="218" spans="1:8" ht="20.25" x14ac:dyDescent="0.3">
      <c r="A218" s="140" t="s">
        <v>282</v>
      </c>
      <c r="B218" s="15" t="s">
        <v>34</v>
      </c>
      <c r="C218" s="33" t="s">
        <v>395</v>
      </c>
      <c r="D218" s="11" t="s">
        <v>7</v>
      </c>
      <c r="E218" s="17">
        <v>4334</v>
      </c>
      <c r="F218" s="17">
        <v>5040</v>
      </c>
      <c r="G218" s="17">
        <v>5491</v>
      </c>
    </row>
    <row r="219" spans="1:8" ht="20.25" x14ac:dyDescent="0.3">
      <c r="A219" s="140"/>
      <c r="B219" s="15" t="s">
        <v>35</v>
      </c>
      <c r="C219" s="33" t="s">
        <v>395</v>
      </c>
      <c r="D219" s="11" t="s">
        <v>9</v>
      </c>
      <c r="E219" s="17">
        <v>4489</v>
      </c>
      <c r="F219" s="17">
        <v>5189</v>
      </c>
      <c r="G219" s="17">
        <v>5671</v>
      </c>
    </row>
    <row r="220" spans="1:8" ht="20.25" x14ac:dyDescent="0.3">
      <c r="A220" s="140"/>
      <c r="B220" s="15" t="s">
        <v>36</v>
      </c>
      <c r="C220" s="33" t="s">
        <v>395</v>
      </c>
      <c r="D220" s="11" t="s">
        <v>11</v>
      </c>
      <c r="E220" s="17">
        <v>5015</v>
      </c>
      <c r="F220" s="17">
        <v>5546</v>
      </c>
      <c r="G220" s="17">
        <v>6102</v>
      </c>
    </row>
    <row r="221" spans="1:8" ht="20.25" x14ac:dyDescent="0.3">
      <c r="A221" s="140"/>
      <c r="B221" s="15" t="s">
        <v>37</v>
      </c>
      <c r="C221" s="33" t="s">
        <v>395</v>
      </c>
      <c r="D221" s="11" t="s">
        <v>13</v>
      </c>
      <c r="E221" s="17">
        <v>5263</v>
      </c>
      <c r="F221" s="17">
        <v>5797</v>
      </c>
      <c r="G221" s="17">
        <v>6386</v>
      </c>
    </row>
    <row r="222" spans="1:8" ht="20.25" x14ac:dyDescent="0.3">
      <c r="A222" s="140"/>
      <c r="B222" s="15" t="s">
        <v>38</v>
      </c>
      <c r="C222" s="33" t="s">
        <v>395</v>
      </c>
      <c r="D222" s="11" t="s">
        <v>39</v>
      </c>
      <c r="E222" s="17">
        <v>5528</v>
      </c>
      <c r="F222" s="17">
        <v>6659</v>
      </c>
      <c r="G222" s="17">
        <v>6991</v>
      </c>
    </row>
    <row r="223" spans="1:8" ht="20.25" x14ac:dyDescent="0.3">
      <c r="A223" s="140"/>
      <c r="B223" s="15" t="s">
        <v>40</v>
      </c>
      <c r="C223" s="33" t="s">
        <v>395</v>
      </c>
      <c r="D223" s="11" t="s">
        <v>17</v>
      </c>
      <c r="E223" s="17">
        <v>6970</v>
      </c>
      <c r="F223" s="17">
        <v>7899</v>
      </c>
      <c r="G223" s="17">
        <v>8554</v>
      </c>
    </row>
    <row r="224" spans="1:8" ht="20.25" x14ac:dyDescent="0.3">
      <c r="A224" s="140"/>
      <c r="B224" s="15" t="s">
        <v>41</v>
      </c>
      <c r="C224" s="33" t="s">
        <v>395</v>
      </c>
      <c r="D224" s="11" t="s">
        <v>19</v>
      </c>
      <c r="E224" s="17">
        <v>7613</v>
      </c>
      <c r="F224" s="17">
        <v>8453</v>
      </c>
      <c r="G224" s="17">
        <v>9121</v>
      </c>
    </row>
    <row r="225" spans="1:7" ht="20.25" x14ac:dyDescent="0.3">
      <c r="A225" s="135" t="s">
        <v>281</v>
      </c>
      <c r="B225" s="11" t="s">
        <v>42</v>
      </c>
      <c r="C225" s="7" t="s">
        <v>498</v>
      </c>
      <c r="D225" s="18" t="s">
        <v>506</v>
      </c>
      <c r="E225" s="17" t="s">
        <v>317</v>
      </c>
      <c r="F225" s="17">
        <v>6527</v>
      </c>
      <c r="G225" s="17">
        <v>7583</v>
      </c>
    </row>
    <row r="226" spans="1:7" ht="20.25" x14ac:dyDescent="0.3">
      <c r="A226" s="135"/>
      <c r="B226" s="11" t="s">
        <v>43</v>
      </c>
      <c r="C226" s="7" t="s">
        <v>498</v>
      </c>
      <c r="D226" s="18" t="s">
        <v>427</v>
      </c>
      <c r="E226" s="17" t="s">
        <v>317</v>
      </c>
      <c r="F226" s="17">
        <v>6889</v>
      </c>
      <c r="G226" s="17">
        <v>8029</v>
      </c>
    </row>
    <row r="227" spans="1:7" ht="20.25" x14ac:dyDescent="0.3">
      <c r="A227" s="135"/>
      <c r="B227" s="11" t="s">
        <v>44</v>
      </c>
      <c r="C227" s="7" t="s">
        <v>498</v>
      </c>
      <c r="D227" s="18" t="s">
        <v>39</v>
      </c>
      <c r="E227" s="17" t="s">
        <v>317</v>
      </c>
      <c r="F227" s="17">
        <v>7511</v>
      </c>
      <c r="G227" s="17">
        <v>8749</v>
      </c>
    </row>
    <row r="228" spans="1:7" ht="20.25" x14ac:dyDescent="0.3">
      <c r="A228" s="135"/>
      <c r="B228" s="6" t="s">
        <v>45</v>
      </c>
      <c r="C228" s="7" t="s">
        <v>498</v>
      </c>
      <c r="D228" s="6" t="s">
        <v>17</v>
      </c>
      <c r="E228" s="17" t="s">
        <v>317</v>
      </c>
      <c r="F228" s="17">
        <v>8833</v>
      </c>
      <c r="G228" s="17">
        <v>10028</v>
      </c>
    </row>
    <row r="229" spans="1:7" ht="20.25" x14ac:dyDescent="0.3">
      <c r="A229" s="135"/>
      <c r="B229" s="6" t="s">
        <v>46</v>
      </c>
      <c r="C229" s="7" t="s">
        <v>498</v>
      </c>
      <c r="D229" s="6" t="s">
        <v>19</v>
      </c>
      <c r="E229" s="17" t="s">
        <v>317</v>
      </c>
      <c r="F229" s="17">
        <v>9181</v>
      </c>
      <c r="G229" s="17">
        <v>10406</v>
      </c>
    </row>
    <row r="230" spans="1:7" ht="20.25" x14ac:dyDescent="0.3">
      <c r="A230" s="135" t="s">
        <v>281</v>
      </c>
      <c r="B230" s="15" t="s">
        <v>347</v>
      </c>
      <c r="C230" s="16" t="s">
        <v>499</v>
      </c>
      <c r="D230" s="18" t="s">
        <v>506</v>
      </c>
      <c r="E230" s="17">
        <v>5761</v>
      </c>
      <c r="F230" s="17">
        <v>6319</v>
      </c>
      <c r="G230" s="17">
        <v>7104</v>
      </c>
    </row>
    <row r="231" spans="1:7" ht="20.25" x14ac:dyDescent="0.3">
      <c r="A231" s="135"/>
      <c r="B231" s="11" t="s">
        <v>348</v>
      </c>
      <c r="C231" s="16" t="s">
        <v>499</v>
      </c>
      <c r="D231" s="18" t="s">
        <v>427</v>
      </c>
      <c r="E231" s="17">
        <v>5883</v>
      </c>
      <c r="F231" s="17">
        <v>6627</v>
      </c>
      <c r="G231" s="17">
        <v>7487</v>
      </c>
    </row>
    <row r="232" spans="1:7" ht="20.25" x14ac:dyDescent="0.3">
      <c r="A232" s="135"/>
      <c r="B232" s="11" t="s">
        <v>349</v>
      </c>
      <c r="C232" s="16" t="s">
        <v>499</v>
      </c>
      <c r="D232" s="18" t="s">
        <v>39</v>
      </c>
      <c r="E232" s="17">
        <v>6526</v>
      </c>
      <c r="F232" s="17">
        <v>7213</v>
      </c>
      <c r="G232" s="17">
        <v>8137</v>
      </c>
    </row>
    <row r="233" spans="1:7" ht="20.25" x14ac:dyDescent="0.3">
      <c r="A233" s="135"/>
      <c r="B233" s="6" t="s">
        <v>350</v>
      </c>
      <c r="C233" s="16" t="s">
        <v>499</v>
      </c>
      <c r="D233" s="6" t="s">
        <v>17</v>
      </c>
      <c r="E233" s="17">
        <v>7520</v>
      </c>
      <c r="F233" s="17">
        <v>8435</v>
      </c>
      <c r="G233" s="17">
        <v>9261</v>
      </c>
    </row>
    <row r="234" spans="1:7" ht="20.25" x14ac:dyDescent="0.3">
      <c r="A234" s="135"/>
      <c r="B234" s="6" t="s">
        <v>351</v>
      </c>
      <c r="C234" s="16" t="s">
        <v>499</v>
      </c>
      <c r="D234" s="6" t="s">
        <v>19</v>
      </c>
      <c r="E234" s="17">
        <v>7821</v>
      </c>
      <c r="F234" s="17">
        <v>8734</v>
      </c>
      <c r="G234" s="17">
        <v>9573</v>
      </c>
    </row>
    <row r="235" spans="1:7" ht="20.25" x14ac:dyDescent="0.3">
      <c r="A235" s="135" t="s">
        <v>285</v>
      </c>
      <c r="B235" s="15" t="s">
        <v>20</v>
      </c>
      <c r="C235" s="16" t="s">
        <v>446</v>
      </c>
      <c r="D235" s="32" t="s">
        <v>7</v>
      </c>
      <c r="E235" s="17">
        <v>4549</v>
      </c>
      <c r="F235" s="17">
        <v>5378</v>
      </c>
      <c r="G235" s="17">
        <v>5794</v>
      </c>
    </row>
    <row r="236" spans="1:7" ht="20.25" x14ac:dyDescent="0.3">
      <c r="A236" s="135"/>
      <c r="B236" s="15" t="s">
        <v>21</v>
      </c>
      <c r="C236" s="16" t="s">
        <v>446</v>
      </c>
      <c r="D236" s="32" t="s">
        <v>9</v>
      </c>
      <c r="E236" s="17">
        <v>4966</v>
      </c>
      <c r="F236" s="17">
        <v>5819</v>
      </c>
      <c r="G236" s="17">
        <v>6251</v>
      </c>
    </row>
    <row r="237" spans="1:7" ht="20.25" x14ac:dyDescent="0.3">
      <c r="A237" s="135"/>
      <c r="B237" s="15" t="s">
        <v>22</v>
      </c>
      <c r="C237" s="16" t="s">
        <v>446</v>
      </c>
      <c r="D237" s="32" t="s">
        <v>11</v>
      </c>
      <c r="E237" s="17">
        <v>5331</v>
      </c>
      <c r="F237" s="17">
        <v>6099</v>
      </c>
      <c r="G237" s="17">
        <v>6598</v>
      </c>
    </row>
    <row r="238" spans="1:7" ht="20.25" x14ac:dyDescent="0.3">
      <c r="A238" s="135"/>
      <c r="B238" s="15" t="s">
        <v>23</v>
      </c>
      <c r="C238" s="16" t="s">
        <v>446</v>
      </c>
      <c r="D238" s="32" t="s">
        <v>13</v>
      </c>
      <c r="E238" s="17">
        <v>5511</v>
      </c>
      <c r="F238" s="17">
        <v>6283</v>
      </c>
      <c r="G238" s="17">
        <v>6871</v>
      </c>
    </row>
    <row r="239" spans="1:7" ht="20.25" x14ac:dyDescent="0.3">
      <c r="A239" s="135"/>
      <c r="B239" s="15" t="s">
        <v>24</v>
      </c>
      <c r="C239" s="16" t="s">
        <v>446</v>
      </c>
      <c r="D239" s="32" t="s">
        <v>15</v>
      </c>
      <c r="E239" s="17">
        <v>5792</v>
      </c>
      <c r="F239" s="17">
        <v>6528</v>
      </c>
      <c r="G239" s="17">
        <v>7108</v>
      </c>
    </row>
    <row r="240" spans="1:7" ht="20.25" x14ac:dyDescent="0.3">
      <c r="A240" s="135"/>
      <c r="B240" s="15" t="s">
        <v>25</v>
      </c>
      <c r="C240" s="16" t="s">
        <v>446</v>
      </c>
      <c r="D240" s="15" t="s">
        <v>17</v>
      </c>
      <c r="E240" s="17">
        <v>6370</v>
      </c>
      <c r="F240" s="17">
        <v>7394</v>
      </c>
      <c r="G240" s="17">
        <v>8009</v>
      </c>
    </row>
    <row r="241" spans="1:7" ht="20.25" x14ac:dyDescent="0.3">
      <c r="A241" s="135"/>
      <c r="B241" s="15" t="s">
        <v>26</v>
      </c>
      <c r="C241" s="16" t="s">
        <v>446</v>
      </c>
      <c r="D241" s="15" t="s">
        <v>19</v>
      </c>
      <c r="E241" s="17">
        <v>6655</v>
      </c>
      <c r="F241" s="17">
        <v>7636</v>
      </c>
      <c r="G241" s="17">
        <v>8240</v>
      </c>
    </row>
    <row r="242" spans="1:7" ht="20.25" x14ac:dyDescent="0.3">
      <c r="A242" s="135" t="s">
        <v>283</v>
      </c>
      <c r="B242" s="13" t="s">
        <v>61</v>
      </c>
      <c r="C242" s="14" t="s">
        <v>447</v>
      </c>
      <c r="D242" s="13" t="s">
        <v>7</v>
      </c>
      <c r="E242" s="17">
        <v>2959</v>
      </c>
      <c r="F242" s="17">
        <v>3151</v>
      </c>
      <c r="G242" s="17">
        <v>3403</v>
      </c>
    </row>
    <row r="243" spans="1:7" ht="20.25" x14ac:dyDescent="0.3">
      <c r="A243" s="135"/>
      <c r="B243" s="13" t="s">
        <v>62</v>
      </c>
      <c r="C243" s="14" t="s">
        <v>447</v>
      </c>
      <c r="D243" s="13" t="s">
        <v>9</v>
      </c>
      <c r="E243" s="17">
        <v>3072</v>
      </c>
      <c r="F243" s="17">
        <v>3281</v>
      </c>
      <c r="G243" s="17">
        <v>3560</v>
      </c>
    </row>
    <row r="244" spans="1:7" ht="20.25" x14ac:dyDescent="0.3">
      <c r="A244" s="135"/>
      <c r="B244" s="13" t="s">
        <v>63</v>
      </c>
      <c r="C244" s="14" t="s">
        <v>447</v>
      </c>
      <c r="D244" s="13" t="s">
        <v>11</v>
      </c>
      <c r="E244" s="17">
        <v>3579</v>
      </c>
      <c r="F244" s="17">
        <v>3631</v>
      </c>
      <c r="G244" s="17">
        <v>3976</v>
      </c>
    </row>
    <row r="245" spans="1:7" ht="20.25" x14ac:dyDescent="0.3">
      <c r="A245" s="135"/>
      <c r="B245" s="13" t="s">
        <v>64</v>
      </c>
      <c r="C245" s="14" t="s">
        <v>447</v>
      </c>
      <c r="D245" s="13" t="s">
        <v>13</v>
      </c>
      <c r="E245" s="17">
        <v>4126</v>
      </c>
      <c r="F245" s="17">
        <v>4159</v>
      </c>
      <c r="G245" s="17">
        <v>4457</v>
      </c>
    </row>
    <row r="246" spans="1:7" ht="20.25" x14ac:dyDescent="0.3">
      <c r="A246" s="135"/>
      <c r="B246" s="13" t="s">
        <v>65</v>
      </c>
      <c r="C246" s="14" t="s">
        <v>447</v>
      </c>
      <c r="D246" s="13" t="s">
        <v>39</v>
      </c>
      <c r="E246" s="17">
        <v>4432</v>
      </c>
      <c r="F246" s="17">
        <v>4588</v>
      </c>
      <c r="G246" s="17">
        <v>5036</v>
      </c>
    </row>
    <row r="247" spans="1:7" ht="20.25" x14ac:dyDescent="0.3">
      <c r="A247" s="135"/>
      <c r="B247" s="13" t="s">
        <v>66</v>
      </c>
      <c r="C247" s="14" t="s">
        <v>447</v>
      </c>
      <c r="D247" s="13" t="s">
        <v>17</v>
      </c>
      <c r="E247" s="17">
        <v>5644</v>
      </c>
      <c r="F247" s="17">
        <v>5995</v>
      </c>
      <c r="G247" s="17">
        <v>6421</v>
      </c>
    </row>
    <row r="248" spans="1:7" ht="20.25" x14ac:dyDescent="0.3">
      <c r="A248" s="135"/>
      <c r="B248" s="13" t="s">
        <v>67</v>
      </c>
      <c r="C248" s="14" t="s">
        <v>447</v>
      </c>
      <c r="D248" s="13" t="s">
        <v>19</v>
      </c>
      <c r="E248" s="17">
        <v>6215</v>
      </c>
      <c r="F248" s="17">
        <v>6483</v>
      </c>
      <c r="G248" s="17">
        <v>6922</v>
      </c>
    </row>
    <row r="249" spans="1:7" ht="20.25" x14ac:dyDescent="0.3">
      <c r="A249" s="135" t="s">
        <v>279</v>
      </c>
      <c r="B249" s="11" t="s">
        <v>27</v>
      </c>
      <c r="C249" s="7" t="s">
        <v>329</v>
      </c>
      <c r="D249" s="18" t="s">
        <v>7</v>
      </c>
      <c r="E249" s="17">
        <v>4787</v>
      </c>
      <c r="F249" s="17">
        <v>5873</v>
      </c>
      <c r="G249" s="17">
        <v>6333</v>
      </c>
    </row>
    <row r="250" spans="1:7" ht="20.25" x14ac:dyDescent="0.3">
      <c r="A250" s="135"/>
      <c r="B250" s="11" t="s">
        <v>28</v>
      </c>
      <c r="C250" s="7" t="s">
        <v>329</v>
      </c>
      <c r="D250" s="18" t="s">
        <v>9</v>
      </c>
      <c r="E250" s="17">
        <v>5022</v>
      </c>
      <c r="F250" s="17">
        <v>6084</v>
      </c>
      <c r="G250" s="17">
        <v>6515</v>
      </c>
    </row>
    <row r="251" spans="1:7" ht="20.25" x14ac:dyDescent="0.3">
      <c r="A251" s="135"/>
      <c r="B251" s="6" t="s">
        <v>29</v>
      </c>
      <c r="C251" s="7" t="s">
        <v>329</v>
      </c>
      <c r="D251" s="18" t="s">
        <v>11</v>
      </c>
      <c r="E251" s="17">
        <v>5393</v>
      </c>
      <c r="F251" s="17">
        <v>6398</v>
      </c>
      <c r="G251" s="17">
        <v>6908</v>
      </c>
    </row>
    <row r="252" spans="1:7" ht="20.25" x14ac:dyDescent="0.3">
      <c r="A252" s="135"/>
      <c r="B252" s="6" t="s">
        <v>30</v>
      </c>
      <c r="C252" s="7" t="s">
        <v>329</v>
      </c>
      <c r="D252" s="18" t="s">
        <v>13</v>
      </c>
      <c r="E252" s="17">
        <v>5591</v>
      </c>
      <c r="F252" s="17">
        <v>6563</v>
      </c>
      <c r="G252" s="17">
        <v>7218</v>
      </c>
    </row>
    <row r="253" spans="1:7" ht="20.25" x14ac:dyDescent="0.3">
      <c r="A253" s="135"/>
      <c r="B253" s="6" t="s">
        <v>31</v>
      </c>
      <c r="C253" s="7" t="s">
        <v>329</v>
      </c>
      <c r="D253" s="18" t="s">
        <v>15</v>
      </c>
      <c r="E253" s="17">
        <v>5886</v>
      </c>
      <c r="F253" s="17">
        <v>6883</v>
      </c>
      <c r="G253" s="17">
        <v>7485</v>
      </c>
    </row>
    <row r="254" spans="1:7" ht="20.25" x14ac:dyDescent="0.3">
      <c r="A254" s="135"/>
      <c r="B254" s="6" t="s">
        <v>32</v>
      </c>
      <c r="C254" s="7" t="s">
        <v>329</v>
      </c>
      <c r="D254" s="6" t="s">
        <v>17</v>
      </c>
      <c r="E254" s="17">
        <v>6540</v>
      </c>
      <c r="F254" s="17">
        <v>7863</v>
      </c>
      <c r="G254" s="17">
        <v>8504</v>
      </c>
    </row>
    <row r="255" spans="1:7" ht="20.25" x14ac:dyDescent="0.3">
      <c r="A255" s="135"/>
      <c r="B255" s="6" t="s">
        <v>33</v>
      </c>
      <c r="C255" s="7" t="s">
        <v>329</v>
      </c>
      <c r="D255" s="6" t="s">
        <v>19</v>
      </c>
      <c r="E255" s="17">
        <v>6799</v>
      </c>
      <c r="F255" s="17">
        <v>8136</v>
      </c>
      <c r="G255" s="17">
        <v>8766</v>
      </c>
    </row>
    <row r="256" spans="1:7" ht="20.25" x14ac:dyDescent="0.3">
      <c r="A256" s="135" t="s">
        <v>308</v>
      </c>
      <c r="B256" s="13" t="s">
        <v>47</v>
      </c>
      <c r="C256" s="16" t="s">
        <v>500</v>
      </c>
      <c r="D256" s="32" t="s">
        <v>48</v>
      </c>
      <c r="E256" s="17" t="s">
        <v>317</v>
      </c>
      <c r="F256" s="17">
        <v>5393</v>
      </c>
      <c r="G256" s="17">
        <v>6325</v>
      </c>
    </row>
    <row r="257" spans="1:7" ht="20.25" x14ac:dyDescent="0.3">
      <c r="A257" s="135"/>
      <c r="B257" s="13" t="s">
        <v>49</v>
      </c>
      <c r="C257" s="16" t="s">
        <v>500</v>
      </c>
      <c r="D257" s="32" t="s">
        <v>11</v>
      </c>
      <c r="E257" s="17" t="s">
        <v>317</v>
      </c>
      <c r="F257" s="17">
        <v>5605</v>
      </c>
      <c r="G257" s="17">
        <v>6625</v>
      </c>
    </row>
    <row r="258" spans="1:7" ht="20.25" x14ac:dyDescent="0.3">
      <c r="A258" s="135"/>
      <c r="B258" s="13" t="s">
        <v>50</v>
      </c>
      <c r="C258" s="16" t="s">
        <v>500</v>
      </c>
      <c r="D258" s="32" t="s">
        <v>427</v>
      </c>
      <c r="E258" s="17" t="s">
        <v>317</v>
      </c>
      <c r="F258" s="17">
        <v>6096</v>
      </c>
      <c r="G258" s="17">
        <v>7332</v>
      </c>
    </row>
    <row r="259" spans="1:7" ht="20.25" x14ac:dyDescent="0.3">
      <c r="A259" s="135"/>
      <c r="B259" s="13" t="s">
        <v>51</v>
      </c>
      <c r="C259" s="16" t="s">
        <v>500</v>
      </c>
      <c r="D259" s="32" t="s">
        <v>39</v>
      </c>
      <c r="E259" s="17" t="s">
        <v>317</v>
      </c>
      <c r="F259" s="17">
        <v>6618</v>
      </c>
      <c r="G259" s="17">
        <v>7862</v>
      </c>
    </row>
    <row r="260" spans="1:7" ht="20.25" x14ac:dyDescent="0.3">
      <c r="A260" s="135"/>
      <c r="B260" s="15" t="s">
        <v>52</v>
      </c>
      <c r="C260" s="16" t="s">
        <v>500</v>
      </c>
      <c r="D260" s="15" t="s">
        <v>17</v>
      </c>
      <c r="E260" s="17" t="s">
        <v>317</v>
      </c>
      <c r="F260" s="17">
        <v>7853</v>
      </c>
      <c r="G260" s="17">
        <v>9072</v>
      </c>
    </row>
    <row r="261" spans="1:7" ht="20.25" x14ac:dyDescent="0.3">
      <c r="A261" s="135"/>
      <c r="B261" s="15" t="s">
        <v>53</v>
      </c>
      <c r="C261" s="16" t="s">
        <v>500</v>
      </c>
      <c r="D261" s="15" t="s">
        <v>19</v>
      </c>
      <c r="E261" s="17" t="s">
        <v>317</v>
      </c>
      <c r="F261" s="17">
        <v>8098</v>
      </c>
      <c r="G261" s="17">
        <v>9438</v>
      </c>
    </row>
    <row r="262" spans="1:7" ht="20.25" x14ac:dyDescent="0.3">
      <c r="A262" s="135" t="s">
        <v>308</v>
      </c>
      <c r="B262" s="13" t="s">
        <v>352</v>
      </c>
      <c r="C262" s="16" t="s">
        <v>501</v>
      </c>
      <c r="D262" s="32" t="s">
        <v>48</v>
      </c>
      <c r="E262" s="17">
        <v>4705</v>
      </c>
      <c r="F262" s="17">
        <v>5140</v>
      </c>
      <c r="G262" s="17">
        <v>5832</v>
      </c>
    </row>
    <row r="263" spans="1:7" ht="20.25" x14ac:dyDescent="0.3">
      <c r="A263" s="135"/>
      <c r="B263" s="13" t="s">
        <v>353</v>
      </c>
      <c r="C263" s="16" t="s">
        <v>501</v>
      </c>
      <c r="D263" s="32" t="s">
        <v>11</v>
      </c>
      <c r="E263" s="17">
        <v>4992</v>
      </c>
      <c r="F263" s="17">
        <v>5347</v>
      </c>
      <c r="G263" s="17">
        <v>6021</v>
      </c>
    </row>
    <row r="264" spans="1:7" ht="20.25" x14ac:dyDescent="0.3">
      <c r="A264" s="135"/>
      <c r="B264" s="13" t="s">
        <v>354</v>
      </c>
      <c r="C264" s="16" t="s">
        <v>501</v>
      </c>
      <c r="D264" s="32" t="s">
        <v>427</v>
      </c>
      <c r="E264" s="17">
        <v>5205</v>
      </c>
      <c r="F264" s="17">
        <v>5598</v>
      </c>
      <c r="G264" s="17">
        <v>6484</v>
      </c>
    </row>
    <row r="265" spans="1:7" ht="20.25" x14ac:dyDescent="0.3">
      <c r="A265" s="135"/>
      <c r="B265" s="13" t="s">
        <v>355</v>
      </c>
      <c r="C265" s="16" t="s">
        <v>501</v>
      </c>
      <c r="D265" s="32" t="s">
        <v>39</v>
      </c>
      <c r="E265" s="17">
        <v>5739</v>
      </c>
      <c r="F265" s="17">
        <v>6074</v>
      </c>
      <c r="G265" s="17">
        <v>6991</v>
      </c>
    </row>
    <row r="266" spans="1:7" ht="20.25" x14ac:dyDescent="0.3">
      <c r="A266" s="135"/>
      <c r="B266" s="15" t="s">
        <v>356</v>
      </c>
      <c r="C266" s="16" t="s">
        <v>501</v>
      </c>
      <c r="D266" s="15" t="s">
        <v>17</v>
      </c>
      <c r="E266" s="17">
        <v>6576</v>
      </c>
      <c r="F266" s="17">
        <v>7250</v>
      </c>
      <c r="G266" s="17">
        <v>8088</v>
      </c>
    </row>
    <row r="267" spans="1:7" ht="20.25" x14ac:dyDescent="0.3">
      <c r="A267" s="135"/>
      <c r="B267" s="15" t="s">
        <v>357</v>
      </c>
      <c r="C267" s="16" t="s">
        <v>501</v>
      </c>
      <c r="D267" s="15" t="s">
        <v>19</v>
      </c>
      <c r="E267" s="17">
        <v>6795</v>
      </c>
      <c r="F267" s="17">
        <v>7445</v>
      </c>
      <c r="G267" s="17">
        <v>8372</v>
      </c>
    </row>
    <row r="268" spans="1:7" s="3" customFormat="1" ht="84.75" customHeight="1" x14ac:dyDescent="0.4">
      <c r="A268" s="122"/>
      <c r="B268" s="123"/>
      <c r="C268" s="124" t="s">
        <v>461</v>
      </c>
      <c r="D268" s="125"/>
      <c r="E268" s="125"/>
      <c r="F268" s="125"/>
      <c r="G268" s="126"/>
    </row>
    <row r="269" spans="1:7" x14ac:dyDescent="0.3">
      <c r="A269" s="136" t="s">
        <v>265</v>
      </c>
      <c r="B269" s="136"/>
      <c r="C269" s="136"/>
      <c r="D269" s="136"/>
      <c r="E269" s="136"/>
      <c r="F269" s="136"/>
      <c r="G269" s="136"/>
    </row>
    <row r="270" spans="1:7" x14ac:dyDescent="0.3">
      <c r="A270" s="136" t="s">
        <v>266</v>
      </c>
      <c r="B270" s="136"/>
      <c r="C270" s="136"/>
      <c r="D270" s="136"/>
      <c r="E270" s="136"/>
      <c r="F270" s="136"/>
      <c r="G270" s="136"/>
    </row>
    <row r="271" spans="1:7" x14ac:dyDescent="0.3">
      <c r="A271" s="136" t="s">
        <v>267</v>
      </c>
      <c r="B271" s="136"/>
      <c r="C271" s="136"/>
      <c r="D271" s="136"/>
      <c r="E271" s="136"/>
      <c r="F271" s="136"/>
      <c r="G271" s="136"/>
    </row>
    <row r="272" spans="1:7" x14ac:dyDescent="0.3">
      <c r="A272" s="136" t="s">
        <v>268</v>
      </c>
      <c r="B272" s="136"/>
      <c r="C272" s="136"/>
      <c r="D272" s="136"/>
      <c r="E272" s="136"/>
      <c r="F272" s="136"/>
      <c r="G272" s="136"/>
    </row>
    <row r="273" spans="1:7" x14ac:dyDescent="0.3">
      <c r="A273" s="141"/>
      <c r="B273" s="141"/>
      <c r="C273" s="141"/>
      <c r="D273" s="141"/>
      <c r="E273" s="2" t="s">
        <v>247</v>
      </c>
      <c r="F273" s="2" t="s">
        <v>248</v>
      </c>
      <c r="G273" s="2" t="s">
        <v>249</v>
      </c>
    </row>
    <row r="274" spans="1:7" ht="67.5" customHeight="1" x14ac:dyDescent="0.3">
      <c r="A274" s="142" t="s">
        <v>250</v>
      </c>
      <c r="B274" s="129" t="s">
        <v>251</v>
      </c>
      <c r="C274" s="143" t="s">
        <v>252</v>
      </c>
      <c r="D274" s="144" t="s">
        <v>253</v>
      </c>
      <c r="E274" s="131" t="s">
        <v>254</v>
      </c>
      <c r="F274" s="44" t="s">
        <v>262</v>
      </c>
      <c r="G274" s="132" t="s">
        <v>256</v>
      </c>
    </row>
    <row r="275" spans="1:7" x14ac:dyDescent="0.3">
      <c r="A275" s="142"/>
      <c r="B275" s="129"/>
      <c r="C275" s="143"/>
      <c r="D275" s="144"/>
      <c r="E275" s="131"/>
      <c r="F275" s="133" t="s">
        <v>264</v>
      </c>
      <c r="G275" s="132"/>
    </row>
    <row r="276" spans="1:7" ht="81.75" customHeight="1" x14ac:dyDescent="0.3">
      <c r="A276" s="142"/>
      <c r="B276" s="129"/>
      <c r="C276" s="143"/>
      <c r="D276" s="144"/>
      <c r="E276" s="131"/>
      <c r="F276" s="133"/>
      <c r="G276" s="43" t="s">
        <v>258</v>
      </c>
    </row>
    <row r="277" spans="1:7" x14ac:dyDescent="0.3">
      <c r="A277" s="142"/>
      <c r="B277" s="129"/>
      <c r="C277" s="143"/>
      <c r="D277" s="144"/>
      <c r="E277" s="131"/>
      <c r="F277" s="133"/>
      <c r="G277" s="43" t="s">
        <v>259</v>
      </c>
    </row>
    <row r="278" spans="1:7" x14ac:dyDescent="0.3">
      <c r="A278" s="142"/>
      <c r="B278" s="129"/>
      <c r="C278" s="143"/>
      <c r="D278" s="144"/>
      <c r="E278" s="131"/>
      <c r="F278" s="133"/>
      <c r="G278" s="134" t="s">
        <v>260</v>
      </c>
    </row>
    <row r="279" spans="1:7" ht="99" customHeight="1" x14ac:dyDescent="0.3">
      <c r="A279" s="142"/>
      <c r="B279" s="129"/>
      <c r="C279" s="143"/>
      <c r="D279" s="144"/>
      <c r="E279" s="131"/>
      <c r="F279" s="133"/>
      <c r="G279" s="134"/>
    </row>
    <row r="280" spans="1:7" ht="20.25" x14ac:dyDescent="0.3">
      <c r="A280" s="135" t="s">
        <v>331</v>
      </c>
      <c r="B280" s="13" t="s">
        <v>74</v>
      </c>
      <c r="C280" s="14" t="s">
        <v>75</v>
      </c>
      <c r="D280" s="13" t="s">
        <v>7</v>
      </c>
      <c r="E280" s="17">
        <v>2760</v>
      </c>
      <c r="F280" s="17">
        <v>3416</v>
      </c>
      <c r="G280" s="17">
        <v>3965</v>
      </c>
    </row>
    <row r="281" spans="1:7" ht="20.25" x14ac:dyDescent="0.3">
      <c r="A281" s="135"/>
      <c r="B281" s="13" t="s">
        <v>76</v>
      </c>
      <c r="C281" s="14" t="s">
        <v>75</v>
      </c>
      <c r="D281" s="13" t="s">
        <v>9</v>
      </c>
      <c r="E281" s="17">
        <v>2890</v>
      </c>
      <c r="F281" s="17">
        <v>3585</v>
      </c>
      <c r="G281" s="17">
        <v>4211</v>
      </c>
    </row>
    <row r="282" spans="1:7" ht="20.25" x14ac:dyDescent="0.3">
      <c r="A282" s="135"/>
      <c r="B282" s="13" t="s">
        <v>77</v>
      </c>
      <c r="C282" s="14" t="s">
        <v>75</v>
      </c>
      <c r="D282" s="13" t="s">
        <v>11</v>
      </c>
      <c r="E282" s="17">
        <v>3248</v>
      </c>
      <c r="F282" s="17">
        <v>3961</v>
      </c>
      <c r="G282" s="17">
        <v>4707</v>
      </c>
    </row>
    <row r="283" spans="1:7" ht="20.25" x14ac:dyDescent="0.3">
      <c r="A283" s="135"/>
      <c r="B283" s="13" t="s">
        <v>78</v>
      </c>
      <c r="C283" s="14" t="s">
        <v>75</v>
      </c>
      <c r="D283" s="13" t="s">
        <v>13</v>
      </c>
      <c r="E283" s="17">
        <v>3462</v>
      </c>
      <c r="F283" s="17">
        <v>4209</v>
      </c>
      <c r="G283" s="17">
        <v>4920</v>
      </c>
    </row>
    <row r="284" spans="1:7" ht="20.25" x14ac:dyDescent="0.3">
      <c r="A284" s="135"/>
      <c r="B284" s="13" t="s">
        <v>79</v>
      </c>
      <c r="C284" s="14" t="s">
        <v>75</v>
      </c>
      <c r="D284" s="13" t="s">
        <v>39</v>
      </c>
      <c r="E284" s="17">
        <v>3889</v>
      </c>
      <c r="F284" s="17">
        <v>4648</v>
      </c>
      <c r="G284" s="17">
        <v>5438</v>
      </c>
    </row>
    <row r="285" spans="1:7" ht="20.25" x14ac:dyDescent="0.3">
      <c r="A285" s="135"/>
      <c r="B285" s="13" t="s">
        <v>80</v>
      </c>
      <c r="C285" s="14" t="s">
        <v>75</v>
      </c>
      <c r="D285" s="13" t="s">
        <v>17</v>
      </c>
      <c r="E285" s="17">
        <v>5540</v>
      </c>
      <c r="F285" s="17">
        <v>6077</v>
      </c>
      <c r="G285" s="17">
        <v>6865</v>
      </c>
    </row>
    <row r="286" spans="1:7" ht="20.25" x14ac:dyDescent="0.3">
      <c r="A286" s="135"/>
      <c r="B286" s="13" t="s">
        <v>81</v>
      </c>
      <c r="C286" s="14" t="s">
        <v>75</v>
      </c>
      <c r="D286" s="13" t="s">
        <v>19</v>
      </c>
      <c r="E286" s="17">
        <v>5805</v>
      </c>
      <c r="F286" s="17">
        <v>6359</v>
      </c>
      <c r="G286" s="17">
        <v>7049</v>
      </c>
    </row>
    <row r="287" spans="1:7" ht="20.25" x14ac:dyDescent="0.3">
      <c r="A287" s="135" t="s">
        <v>309</v>
      </c>
      <c r="B287" s="13" t="s">
        <v>6</v>
      </c>
      <c r="C287" s="16" t="s">
        <v>445</v>
      </c>
      <c r="D287" s="32" t="s">
        <v>7</v>
      </c>
      <c r="E287" s="17">
        <v>5143</v>
      </c>
      <c r="F287" s="17">
        <v>6223</v>
      </c>
      <c r="G287" s="17">
        <v>6633</v>
      </c>
    </row>
    <row r="288" spans="1:7" ht="20.25" x14ac:dyDescent="0.3">
      <c r="A288" s="135"/>
      <c r="B288" s="13" t="s">
        <v>8</v>
      </c>
      <c r="C288" s="16" t="s">
        <v>445</v>
      </c>
      <c r="D288" s="32" t="s">
        <v>9</v>
      </c>
      <c r="E288" s="17">
        <v>5609</v>
      </c>
      <c r="F288" s="17">
        <v>6722</v>
      </c>
      <c r="G288" s="17">
        <v>7149</v>
      </c>
    </row>
    <row r="289" spans="1:7" ht="20.25" x14ac:dyDescent="0.3">
      <c r="A289" s="135"/>
      <c r="B289" s="13" t="s">
        <v>10</v>
      </c>
      <c r="C289" s="16" t="s">
        <v>445</v>
      </c>
      <c r="D289" s="32" t="s">
        <v>11</v>
      </c>
      <c r="E289" s="17">
        <v>6009</v>
      </c>
      <c r="F289" s="17">
        <v>7039</v>
      </c>
      <c r="G289" s="17">
        <v>7542</v>
      </c>
    </row>
    <row r="290" spans="1:7" ht="20.25" x14ac:dyDescent="0.3">
      <c r="A290" s="135"/>
      <c r="B290" s="13" t="s">
        <v>12</v>
      </c>
      <c r="C290" s="16" t="s">
        <v>445</v>
      </c>
      <c r="D290" s="32" t="s">
        <v>13</v>
      </c>
      <c r="E290" s="17">
        <v>6207</v>
      </c>
      <c r="F290" s="17">
        <v>7204</v>
      </c>
      <c r="G290" s="17">
        <v>7852</v>
      </c>
    </row>
    <row r="291" spans="1:7" ht="20.25" x14ac:dyDescent="0.3">
      <c r="A291" s="135"/>
      <c r="B291" s="13" t="s">
        <v>14</v>
      </c>
      <c r="C291" s="16" t="s">
        <v>445</v>
      </c>
      <c r="D291" s="32" t="s">
        <v>15</v>
      </c>
      <c r="E291" s="17">
        <v>6517</v>
      </c>
      <c r="F291" s="17">
        <v>7524</v>
      </c>
      <c r="G291" s="17">
        <v>8120</v>
      </c>
    </row>
    <row r="292" spans="1:7" ht="20.25" x14ac:dyDescent="0.3">
      <c r="A292" s="135"/>
      <c r="B292" s="15" t="s">
        <v>16</v>
      </c>
      <c r="C292" s="16" t="s">
        <v>445</v>
      </c>
      <c r="D292" s="15" t="s">
        <v>17</v>
      </c>
      <c r="E292" s="17">
        <v>7170</v>
      </c>
      <c r="F292" s="17">
        <v>8504</v>
      </c>
      <c r="G292" s="17">
        <v>9138</v>
      </c>
    </row>
    <row r="293" spans="1:7" ht="20.25" x14ac:dyDescent="0.3">
      <c r="A293" s="135"/>
      <c r="B293" s="15" t="s">
        <v>18</v>
      </c>
      <c r="C293" s="16" t="s">
        <v>445</v>
      </c>
      <c r="D293" s="15" t="s">
        <v>19</v>
      </c>
      <c r="E293" s="17">
        <v>7473</v>
      </c>
      <c r="F293" s="17">
        <v>8777</v>
      </c>
      <c r="G293" s="17">
        <v>9400</v>
      </c>
    </row>
    <row r="294" spans="1:7" ht="20.25" x14ac:dyDescent="0.3">
      <c r="A294" s="135" t="s">
        <v>273</v>
      </c>
      <c r="B294" s="13" t="s">
        <v>54</v>
      </c>
      <c r="C294" s="14" t="s">
        <v>386</v>
      </c>
      <c r="D294" s="13" t="s">
        <v>7</v>
      </c>
      <c r="E294" s="17" t="s">
        <v>317</v>
      </c>
      <c r="F294" s="17">
        <v>3803</v>
      </c>
      <c r="G294" s="17">
        <v>4043</v>
      </c>
    </row>
    <row r="295" spans="1:7" ht="20.25" x14ac:dyDescent="0.3">
      <c r="A295" s="135"/>
      <c r="B295" s="13" t="s">
        <v>55</v>
      </c>
      <c r="C295" s="14" t="s">
        <v>386</v>
      </c>
      <c r="D295" s="13" t="s">
        <v>9</v>
      </c>
      <c r="E295" s="17" t="s">
        <v>317</v>
      </c>
      <c r="F295" s="17">
        <v>3942</v>
      </c>
      <c r="G295" s="17">
        <v>4214</v>
      </c>
    </row>
    <row r="296" spans="1:7" ht="20.25" x14ac:dyDescent="0.3">
      <c r="A296" s="135"/>
      <c r="B296" s="13" t="s">
        <v>56</v>
      </c>
      <c r="C296" s="14" t="s">
        <v>386</v>
      </c>
      <c r="D296" s="13" t="s">
        <v>11</v>
      </c>
      <c r="E296" s="17" t="s">
        <v>317</v>
      </c>
      <c r="F296" s="17">
        <v>4262</v>
      </c>
      <c r="G296" s="17">
        <v>4598</v>
      </c>
    </row>
    <row r="297" spans="1:7" ht="20.25" x14ac:dyDescent="0.3">
      <c r="A297" s="135"/>
      <c r="B297" s="13" t="s">
        <v>57</v>
      </c>
      <c r="C297" s="14" t="s">
        <v>386</v>
      </c>
      <c r="D297" s="13" t="s">
        <v>13</v>
      </c>
      <c r="E297" s="17" t="s">
        <v>317</v>
      </c>
      <c r="F297" s="17">
        <v>4439</v>
      </c>
      <c r="G297" s="17">
        <v>4820</v>
      </c>
    </row>
    <row r="298" spans="1:7" ht="20.25" x14ac:dyDescent="0.3">
      <c r="A298" s="135"/>
      <c r="B298" s="13" t="s">
        <v>58</v>
      </c>
      <c r="C298" s="14" t="s">
        <v>386</v>
      </c>
      <c r="D298" s="13" t="s">
        <v>39</v>
      </c>
      <c r="E298" s="17" t="s">
        <v>317</v>
      </c>
      <c r="F298" s="17">
        <v>4993</v>
      </c>
      <c r="G298" s="17">
        <v>5444</v>
      </c>
    </row>
    <row r="299" spans="1:7" ht="20.25" x14ac:dyDescent="0.3">
      <c r="A299" s="135"/>
      <c r="B299" s="13" t="s">
        <v>59</v>
      </c>
      <c r="C299" s="14" t="s">
        <v>386</v>
      </c>
      <c r="D299" s="13" t="s">
        <v>17</v>
      </c>
      <c r="E299" s="17" t="s">
        <v>317</v>
      </c>
      <c r="F299" s="17">
        <v>6285</v>
      </c>
      <c r="G299" s="17">
        <v>6717</v>
      </c>
    </row>
    <row r="300" spans="1:7" ht="20.25" x14ac:dyDescent="0.3">
      <c r="A300" s="135"/>
      <c r="B300" s="13" t="s">
        <v>60</v>
      </c>
      <c r="C300" s="14" t="s">
        <v>386</v>
      </c>
      <c r="D300" s="13" t="s">
        <v>19</v>
      </c>
      <c r="E300" s="17" t="s">
        <v>317</v>
      </c>
      <c r="F300" s="17">
        <v>6438</v>
      </c>
      <c r="G300" s="17">
        <v>6909</v>
      </c>
    </row>
    <row r="301" spans="1:7" ht="20.25" x14ac:dyDescent="0.3">
      <c r="A301" s="135" t="s">
        <v>310</v>
      </c>
      <c r="B301" s="11" t="s">
        <v>68</v>
      </c>
      <c r="C301" s="20" t="s">
        <v>471</v>
      </c>
      <c r="D301" s="25" t="s">
        <v>9</v>
      </c>
      <c r="E301" s="17">
        <v>4697</v>
      </c>
      <c r="F301" s="17">
        <v>5115</v>
      </c>
      <c r="G301" s="17">
        <v>5954</v>
      </c>
    </row>
    <row r="302" spans="1:7" ht="20.25" x14ac:dyDescent="0.3">
      <c r="A302" s="135"/>
      <c r="B302" s="11" t="s">
        <v>69</v>
      </c>
      <c r="C302" s="20" t="s">
        <v>471</v>
      </c>
      <c r="D302" s="25" t="s">
        <v>11</v>
      </c>
      <c r="E302" s="17">
        <v>5092</v>
      </c>
      <c r="F302" s="17">
        <v>5478</v>
      </c>
      <c r="G302" s="17">
        <v>6388</v>
      </c>
    </row>
    <row r="303" spans="1:7" ht="23.25" customHeight="1" x14ac:dyDescent="0.3">
      <c r="A303" s="135"/>
      <c r="B303" s="11" t="s">
        <v>70</v>
      </c>
      <c r="C303" s="20" t="s">
        <v>471</v>
      </c>
      <c r="D303" s="25" t="s">
        <v>13</v>
      </c>
      <c r="E303" s="17">
        <v>5273</v>
      </c>
      <c r="F303" s="17">
        <v>5678</v>
      </c>
      <c r="G303" s="17">
        <v>6627</v>
      </c>
    </row>
    <row r="304" spans="1:7" ht="20.25" x14ac:dyDescent="0.3">
      <c r="A304" s="135"/>
      <c r="B304" s="11" t="s">
        <v>71</v>
      </c>
      <c r="C304" s="20" t="s">
        <v>471</v>
      </c>
      <c r="D304" s="11" t="s">
        <v>444</v>
      </c>
      <c r="E304" s="17">
        <v>5884</v>
      </c>
      <c r="F304" s="17">
        <v>6305</v>
      </c>
      <c r="G304" s="17">
        <v>7346</v>
      </c>
    </row>
    <row r="305" spans="1:7" ht="20.25" x14ac:dyDescent="0.3">
      <c r="A305" s="135"/>
      <c r="B305" s="11" t="s">
        <v>72</v>
      </c>
      <c r="C305" s="20" t="s">
        <v>471</v>
      </c>
      <c r="D305" s="11" t="s">
        <v>17</v>
      </c>
      <c r="E305" s="17">
        <v>6935</v>
      </c>
      <c r="F305" s="17">
        <v>7603</v>
      </c>
      <c r="G305" s="17">
        <v>8623</v>
      </c>
    </row>
    <row r="306" spans="1:7" ht="20.25" x14ac:dyDescent="0.3">
      <c r="A306" s="135"/>
      <c r="B306" s="11" t="s">
        <v>73</v>
      </c>
      <c r="C306" s="20" t="s">
        <v>471</v>
      </c>
      <c r="D306" s="11" t="s">
        <v>19</v>
      </c>
      <c r="E306" s="17">
        <v>7242</v>
      </c>
      <c r="F306" s="17">
        <v>7779</v>
      </c>
      <c r="G306" s="17">
        <v>8843</v>
      </c>
    </row>
    <row r="307" spans="1:7" ht="20.25" x14ac:dyDescent="0.3">
      <c r="A307" s="137" t="s">
        <v>310</v>
      </c>
      <c r="B307" s="11" t="s">
        <v>472</v>
      </c>
      <c r="C307" s="20" t="s">
        <v>489</v>
      </c>
      <c r="D307" s="8" t="s">
        <v>9</v>
      </c>
      <c r="E307" s="29">
        <v>4801</v>
      </c>
      <c r="F307" s="10">
        <v>4853</v>
      </c>
      <c r="G307" s="10">
        <v>5504</v>
      </c>
    </row>
    <row r="308" spans="1:7" ht="20.25" x14ac:dyDescent="0.3">
      <c r="A308" s="138"/>
      <c r="B308" s="11" t="s">
        <v>473</v>
      </c>
      <c r="C308" s="20" t="s">
        <v>489</v>
      </c>
      <c r="D308" s="8" t="s">
        <v>11</v>
      </c>
      <c r="E308" s="29">
        <v>5370</v>
      </c>
      <c r="F308" s="10">
        <v>5215</v>
      </c>
      <c r="G308" s="10">
        <v>5938</v>
      </c>
    </row>
    <row r="309" spans="1:7" ht="20.25" x14ac:dyDescent="0.3">
      <c r="A309" s="138"/>
      <c r="B309" s="11" t="s">
        <v>474</v>
      </c>
      <c r="C309" s="20" t="s">
        <v>489</v>
      </c>
      <c r="D309" s="8" t="s">
        <v>475</v>
      </c>
      <c r="E309" s="29">
        <v>5615</v>
      </c>
      <c r="F309" s="10">
        <v>5415</v>
      </c>
      <c r="G309" s="10">
        <v>6189</v>
      </c>
    </row>
    <row r="310" spans="1:7" ht="20.25" x14ac:dyDescent="0.3">
      <c r="A310" s="138"/>
      <c r="B310" s="11" t="s">
        <v>476</v>
      </c>
      <c r="C310" s="20" t="s">
        <v>489</v>
      </c>
      <c r="D310" s="6" t="s">
        <v>477</v>
      </c>
      <c r="E310" s="29">
        <v>6397</v>
      </c>
      <c r="F310" s="10">
        <v>6042</v>
      </c>
      <c r="G310" s="10">
        <v>6895</v>
      </c>
    </row>
    <row r="311" spans="1:7" ht="20.25" x14ac:dyDescent="0.3">
      <c r="A311" s="138"/>
      <c r="B311" s="11" t="s">
        <v>478</v>
      </c>
      <c r="C311" s="20" t="s">
        <v>489</v>
      </c>
      <c r="D311" s="6" t="s">
        <v>479</v>
      </c>
      <c r="E311" s="29">
        <v>7714</v>
      </c>
      <c r="F311" s="10">
        <v>7503</v>
      </c>
      <c r="G311" s="10">
        <v>8335</v>
      </c>
    </row>
    <row r="312" spans="1:7" ht="20.25" x14ac:dyDescent="0.3">
      <c r="A312" s="139"/>
      <c r="B312" s="11" t="s">
        <v>480</v>
      </c>
      <c r="C312" s="20" t="s">
        <v>489</v>
      </c>
      <c r="D312" s="6" t="s">
        <v>481</v>
      </c>
      <c r="E312" s="29">
        <v>8088</v>
      </c>
      <c r="F312" s="10">
        <v>7677</v>
      </c>
      <c r="G312" s="10">
        <v>8553</v>
      </c>
    </row>
    <row r="313" spans="1:7" s="3" customFormat="1" ht="84.75" customHeight="1" x14ac:dyDescent="0.4">
      <c r="A313" s="122"/>
      <c r="B313" s="123"/>
      <c r="C313" s="124" t="s">
        <v>462</v>
      </c>
      <c r="D313" s="125"/>
      <c r="E313" s="125"/>
      <c r="F313" s="125"/>
      <c r="G313" s="126"/>
    </row>
    <row r="314" spans="1:7" x14ac:dyDescent="0.3">
      <c r="A314" s="127" t="s">
        <v>245</v>
      </c>
      <c r="B314" s="127"/>
      <c r="C314" s="127"/>
      <c r="D314" s="127"/>
      <c r="E314" s="127"/>
      <c r="F314" s="127"/>
      <c r="G314" s="127"/>
    </row>
    <row r="315" spans="1:7" x14ac:dyDescent="0.3">
      <c r="A315" s="127" t="s">
        <v>246</v>
      </c>
      <c r="B315" s="127"/>
      <c r="C315" s="127"/>
      <c r="D315" s="127"/>
      <c r="E315" s="127"/>
      <c r="F315" s="127"/>
      <c r="G315" s="127"/>
    </row>
    <row r="316" spans="1:7" x14ac:dyDescent="0.3">
      <c r="A316" s="128"/>
      <c r="B316" s="128"/>
      <c r="C316" s="128"/>
      <c r="D316" s="128"/>
      <c r="E316" s="5" t="s">
        <v>247</v>
      </c>
      <c r="F316" s="5" t="s">
        <v>248</v>
      </c>
      <c r="G316" s="5" t="s">
        <v>249</v>
      </c>
    </row>
    <row r="317" spans="1:7" ht="62.25" customHeight="1" x14ac:dyDescent="0.3">
      <c r="A317" s="129" t="s">
        <v>250</v>
      </c>
      <c r="B317" s="129" t="s">
        <v>251</v>
      </c>
      <c r="C317" s="129" t="s">
        <v>269</v>
      </c>
      <c r="D317" s="130" t="s">
        <v>253</v>
      </c>
      <c r="E317" s="131" t="s">
        <v>254</v>
      </c>
      <c r="F317" s="44" t="s">
        <v>262</v>
      </c>
      <c r="G317" s="132" t="s">
        <v>256</v>
      </c>
    </row>
    <row r="318" spans="1:7" x14ac:dyDescent="0.3">
      <c r="A318" s="129"/>
      <c r="B318" s="129"/>
      <c r="C318" s="129"/>
      <c r="D318" s="130"/>
      <c r="E318" s="131"/>
      <c r="F318" s="133" t="s">
        <v>363</v>
      </c>
      <c r="G318" s="132"/>
    </row>
    <row r="319" spans="1:7" ht="89.25" customHeight="1" x14ac:dyDescent="0.3">
      <c r="A319" s="129"/>
      <c r="B319" s="129"/>
      <c r="C319" s="129"/>
      <c r="D319" s="130"/>
      <c r="E319" s="131"/>
      <c r="F319" s="133"/>
      <c r="G319" s="43" t="s">
        <v>258</v>
      </c>
    </row>
    <row r="320" spans="1:7" x14ac:dyDescent="0.3">
      <c r="A320" s="129"/>
      <c r="B320" s="129"/>
      <c r="C320" s="129"/>
      <c r="D320" s="130"/>
      <c r="E320" s="131"/>
      <c r="F320" s="133"/>
      <c r="G320" s="43" t="s">
        <v>259</v>
      </c>
    </row>
    <row r="321" spans="1:7" x14ac:dyDescent="0.3">
      <c r="A321" s="129"/>
      <c r="B321" s="129"/>
      <c r="C321" s="129"/>
      <c r="D321" s="130"/>
      <c r="E321" s="131"/>
      <c r="F321" s="133"/>
      <c r="G321" s="134" t="s">
        <v>260</v>
      </c>
    </row>
    <row r="322" spans="1:7" ht="98.25" customHeight="1" x14ac:dyDescent="0.3">
      <c r="A322" s="129"/>
      <c r="B322" s="129"/>
      <c r="C322" s="129"/>
      <c r="D322" s="130"/>
      <c r="E322" s="131"/>
      <c r="F322" s="133"/>
      <c r="G322" s="134"/>
    </row>
    <row r="323" spans="1:7" ht="27.75" customHeight="1" x14ac:dyDescent="0.3">
      <c r="A323" s="140" t="s">
        <v>275</v>
      </c>
      <c r="B323" s="11" t="s">
        <v>176</v>
      </c>
      <c r="C323" s="7" t="s">
        <v>330</v>
      </c>
      <c r="D323" s="15" t="s">
        <v>428</v>
      </c>
      <c r="E323" s="17">
        <v>2438</v>
      </c>
      <c r="F323" s="17">
        <v>2982</v>
      </c>
      <c r="G323" s="17">
        <v>3555</v>
      </c>
    </row>
    <row r="324" spans="1:7" ht="27.75" customHeight="1" x14ac:dyDescent="0.3">
      <c r="A324" s="140"/>
      <c r="B324" s="11" t="s">
        <v>177</v>
      </c>
      <c r="C324" s="7" t="s">
        <v>330</v>
      </c>
      <c r="D324" s="15" t="s">
        <v>429</v>
      </c>
      <c r="E324" s="17">
        <v>2529</v>
      </c>
      <c r="F324" s="17">
        <v>3067</v>
      </c>
      <c r="G324" s="17">
        <v>3685</v>
      </c>
    </row>
    <row r="325" spans="1:7" ht="27.75" customHeight="1" x14ac:dyDescent="0.3">
      <c r="A325" s="140"/>
      <c r="B325" s="11" t="s">
        <v>178</v>
      </c>
      <c r="C325" s="7" t="s">
        <v>330</v>
      </c>
      <c r="D325" s="15" t="s">
        <v>430</v>
      </c>
      <c r="E325" s="17">
        <v>2822</v>
      </c>
      <c r="F325" s="17">
        <v>3419</v>
      </c>
      <c r="G325" s="17">
        <v>4118</v>
      </c>
    </row>
    <row r="326" spans="1:7" s="3" customFormat="1" ht="84.75" customHeight="1" x14ac:dyDescent="0.4">
      <c r="A326" s="122"/>
      <c r="B326" s="123"/>
      <c r="C326" s="124" t="s">
        <v>463</v>
      </c>
      <c r="D326" s="125"/>
      <c r="E326" s="125"/>
      <c r="F326" s="125"/>
      <c r="G326" s="126"/>
    </row>
    <row r="327" spans="1:7" x14ac:dyDescent="0.3">
      <c r="A327" s="136" t="s">
        <v>245</v>
      </c>
      <c r="B327" s="136"/>
      <c r="C327" s="136"/>
      <c r="D327" s="136"/>
      <c r="E327" s="136"/>
      <c r="F327" s="136"/>
      <c r="G327" s="136"/>
    </row>
    <row r="328" spans="1:7" x14ac:dyDescent="0.3">
      <c r="A328" s="136" t="s">
        <v>246</v>
      </c>
      <c r="B328" s="136"/>
      <c r="C328" s="136"/>
      <c r="D328" s="136"/>
      <c r="E328" s="136"/>
      <c r="F328" s="136"/>
      <c r="G328" s="136"/>
    </row>
    <row r="329" spans="1:7" x14ac:dyDescent="0.3">
      <c r="A329" s="141"/>
      <c r="B329" s="141"/>
      <c r="C329" s="141"/>
      <c r="D329" s="141"/>
      <c r="E329" s="2" t="s">
        <v>247</v>
      </c>
      <c r="F329" s="2" t="s">
        <v>248</v>
      </c>
      <c r="G329" s="2" t="s">
        <v>249</v>
      </c>
    </row>
    <row r="330" spans="1:7" ht="62.25" customHeight="1" x14ac:dyDescent="0.3">
      <c r="A330" s="142" t="s">
        <v>250</v>
      </c>
      <c r="B330" s="129" t="s">
        <v>251</v>
      </c>
      <c r="C330" s="143" t="s">
        <v>252</v>
      </c>
      <c r="D330" s="144" t="s">
        <v>253</v>
      </c>
      <c r="E330" s="131" t="s">
        <v>254</v>
      </c>
      <c r="F330" s="44" t="s">
        <v>262</v>
      </c>
      <c r="G330" s="132" t="s">
        <v>256</v>
      </c>
    </row>
    <row r="331" spans="1:7" x14ac:dyDescent="0.3">
      <c r="A331" s="142"/>
      <c r="B331" s="129"/>
      <c r="C331" s="143"/>
      <c r="D331" s="144"/>
      <c r="E331" s="131"/>
      <c r="F331" s="133" t="s">
        <v>270</v>
      </c>
      <c r="G331" s="132"/>
    </row>
    <row r="332" spans="1:7" ht="78.75" customHeight="1" x14ac:dyDescent="0.3">
      <c r="A332" s="142"/>
      <c r="B332" s="129"/>
      <c r="C332" s="143"/>
      <c r="D332" s="144"/>
      <c r="E332" s="131"/>
      <c r="F332" s="133"/>
      <c r="G332" s="43" t="s">
        <v>258</v>
      </c>
    </row>
    <row r="333" spans="1:7" x14ac:dyDescent="0.3">
      <c r="A333" s="142"/>
      <c r="B333" s="129"/>
      <c r="C333" s="143"/>
      <c r="D333" s="144"/>
      <c r="E333" s="131"/>
      <c r="F333" s="133"/>
      <c r="G333" s="43" t="s">
        <v>259</v>
      </c>
    </row>
    <row r="334" spans="1:7" x14ac:dyDescent="0.3">
      <c r="A334" s="142"/>
      <c r="B334" s="129"/>
      <c r="C334" s="143"/>
      <c r="D334" s="144"/>
      <c r="E334" s="131"/>
      <c r="F334" s="133"/>
      <c r="G334" s="134" t="s">
        <v>260</v>
      </c>
    </row>
    <row r="335" spans="1:7" ht="105.75" customHeight="1" x14ac:dyDescent="0.3">
      <c r="A335" s="142"/>
      <c r="B335" s="129"/>
      <c r="C335" s="143"/>
      <c r="D335" s="144"/>
      <c r="E335" s="131"/>
      <c r="F335" s="133"/>
      <c r="G335" s="134"/>
    </row>
    <row r="336" spans="1:7" ht="24.95" customHeight="1" x14ac:dyDescent="0.3">
      <c r="A336" s="135" t="s">
        <v>276</v>
      </c>
      <c r="B336" s="13" t="s">
        <v>110</v>
      </c>
      <c r="C336" s="19" t="s">
        <v>346</v>
      </c>
      <c r="D336" s="13" t="s">
        <v>111</v>
      </c>
      <c r="E336" s="17">
        <v>1549</v>
      </c>
      <c r="F336" s="17">
        <v>1700</v>
      </c>
      <c r="G336" s="17">
        <v>1841</v>
      </c>
    </row>
    <row r="337" spans="1:7" ht="24.95" customHeight="1" x14ac:dyDescent="0.3">
      <c r="A337" s="135"/>
      <c r="B337" s="13" t="s">
        <v>112</v>
      </c>
      <c r="C337" s="19" t="s">
        <v>346</v>
      </c>
      <c r="D337" s="13" t="s">
        <v>113</v>
      </c>
      <c r="E337" s="17">
        <v>1675</v>
      </c>
      <c r="F337" s="17">
        <v>1955</v>
      </c>
      <c r="G337" s="17">
        <v>2061</v>
      </c>
    </row>
    <row r="338" spans="1:7" ht="24.95" customHeight="1" x14ac:dyDescent="0.3">
      <c r="A338" s="135"/>
      <c r="B338" s="13" t="s">
        <v>114</v>
      </c>
      <c r="C338" s="19" t="s">
        <v>346</v>
      </c>
      <c r="D338" s="13" t="s">
        <v>115</v>
      </c>
      <c r="E338" s="17">
        <v>1867</v>
      </c>
      <c r="F338" s="17">
        <v>2040</v>
      </c>
      <c r="G338" s="17">
        <v>2214</v>
      </c>
    </row>
    <row r="339" spans="1:7" ht="24.95" customHeight="1" x14ac:dyDescent="0.3">
      <c r="A339" s="135"/>
      <c r="B339" s="13" t="s">
        <v>116</v>
      </c>
      <c r="C339" s="19" t="s">
        <v>346</v>
      </c>
      <c r="D339" s="13" t="s">
        <v>117</v>
      </c>
      <c r="E339" s="17">
        <v>1976</v>
      </c>
      <c r="F339" s="17">
        <v>2175</v>
      </c>
      <c r="G339" s="17">
        <v>2292</v>
      </c>
    </row>
  </sheetData>
  <mergeCells count="200">
    <mergeCell ref="G71:G72"/>
    <mergeCell ref="A6:D6"/>
    <mergeCell ref="A7:A12"/>
    <mergeCell ref="B7:B12"/>
    <mergeCell ref="C7:C12"/>
    <mergeCell ref="D7:D12"/>
    <mergeCell ref="E7:E12"/>
    <mergeCell ref="A37:A40"/>
    <mergeCell ref="G49:G50"/>
    <mergeCell ref="A51:A54"/>
    <mergeCell ref="A55:A58"/>
    <mergeCell ref="A59:A62"/>
    <mergeCell ref="A1:G1"/>
    <mergeCell ref="A2:G2"/>
    <mergeCell ref="A3:B3"/>
    <mergeCell ref="C3:G3"/>
    <mergeCell ref="A4:G4"/>
    <mergeCell ref="A5:G5"/>
    <mergeCell ref="A25:A28"/>
    <mergeCell ref="A29:A32"/>
    <mergeCell ref="A33:A36"/>
    <mergeCell ref="G7:G8"/>
    <mergeCell ref="F8:F12"/>
    <mergeCell ref="G11:G12"/>
    <mergeCell ref="A13:A16"/>
    <mergeCell ref="A17:A20"/>
    <mergeCell ref="A21:A24"/>
    <mergeCell ref="A73:A76"/>
    <mergeCell ref="A78:A81"/>
    <mergeCell ref="A42:G42"/>
    <mergeCell ref="A43:G43"/>
    <mergeCell ref="A44:D44"/>
    <mergeCell ref="A45:A50"/>
    <mergeCell ref="B45:B50"/>
    <mergeCell ref="C45:C50"/>
    <mergeCell ref="D45:D50"/>
    <mergeCell ref="E45:E50"/>
    <mergeCell ref="G45:G46"/>
    <mergeCell ref="F46:F50"/>
    <mergeCell ref="A63:B63"/>
    <mergeCell ref="C63:G63"/>
    <mergeCell ref="A64:G64"/>
    <mergeCell ref="A65:G65"/>
    <mergeCell ref="A66:D66"/>
    <mergeCell ref="A67:A72"/>
    <mergeCell ref="B67:B72"/>
    <mergeCell ref="C67:C72"/>
    <mergeCell ref="D67:D72"/>
    <mergeCell ref="E67:E72"/>
    <mergeCell ref="G67:G68"/>
    <mergeCell ref="F68:F72"/>
    <mergeCell ref="F87:F91"/>
    <mergeCell ref="G90:G91"/>
    <mergeCell ref="A92:A93"/>
    <mergeCell ref="A94:A95"/>
    <mergeCell ref="A96:A97"/>
    <mergeCell ref="A98:A99"/>
    <mergeCell ref="A83:G83"/>
    <mergeCell ref="A84:G84"/>
    <mergeCell ref="A85:D85"/>
    <mergeCell ref="A86:A91"/>
    <mergeCell ref="B86:B91"/>
    <mergeCell ref="C86:C91"/>
    <mergeCell ref="D86:D91"/>
    <mergeCell ref="E86:E91"/>
    <mergeCell ref="G86:G87"/>
    <mergeCell ref="A102:G102"/>
    <mergeCell ref="A103:G103"/>
    <mergeCell ref="A104:D104"/>
    <mergeCell ref="A105:A110"/>
    <mergeCell ref="B105:B110"/>
    <mergeCell ref="C105:C110"/>
    <mergeCell ref="D105:D110"/>
    <mergeCell ref="E105:E110"/>
    <mergeCell ref="G105:G106"/>
    <mergeCell ref="A118:D118"/>
    <mergeCell ref="A119:A124"/>
    <mergeCell ref="B119:B124"/>
    <mergeCell ref="C119:C124"/>
    <mergeCell ref="D119:D124"/>
    <mergeCell ref="E119:E124"/>
    <mergeCell ref="F106:F110"/>
    <mergeCell ref="G109:G110"/>
    <mergeCell ref="A113:A115"/>
    <mergeCell ref="A117:G117"/>
    <mergeCell ref="A116:B116"/>
    <mergeCell ref="C116:G116"/>
    <mergeCell ref="A134:A139"/>
    <mergeCell ref="A141:A143"/>
    <mergeCell ref="A144:A146"/>
    <mergeCell ref="A147:A148"/>
    <mergeCell ref="A152:A153"/>
    <mergeCell ref="A154:B154"/>
    <mergeCell ref="C154:G154"/>
    <mergeCell ref="G119:G120"/>
    <mergeCell ref="F120:F124"/>
    <mergeCell ref="G123:G124"/>
    <mergeCell ref="A125:A128"/>
    <mergeCell ref="A129:A131"/>
    <mergeCell ref="A132:A133"/>
    <mergeCell ref="A149:A151"/>
    <mergeCell ref="A155:G155"/>
    <mergeCell ref="A156:D156"/>
    <mergeCell ref="A157:A162"/>
    <mergeCell ref="B157:B162"/>
    <mergeCell ref="C157:C162"/>
    <mergeCell ref="D157:D162"/>
    <mergeCell ref="E157:E162"/>
    <mergeCell ref="G157:G158"/>
    <mergeCell ref="F158:F162"/>
    <mergeCell ref="A180:A181"/>
    <mergeCell ref="A188:A189"/>
    <mergeCell ref="A191:G191"/>
    <mergeCell ref="A192:G192"/>
    <mergeCell ref="A190:B190"/>
    <mergeCell ref="C190:G190"/>
    <mergeCell ref="G161:G162"/>
    <mergeCell ref="A163:A165"/>
    <mergeCell ref="A167:A169"/>
    <mergeCell ref="A170:A173"/>
    <mergeCell ref="A174:A177"/>
    <mergeCell ref="A178:A179"/>
    <mergeCell ref="A182:A187"/>
    <mergeCell ref="F197:F201"/>
    <mergeCell ref="G200:G201"/>
    <mergeCell ref="A202:A205"/>
    <mergeCell ref="A212:A213"/>
    <mergeCell ref="A214:A217"/>
    <mergeCell ref="A218:A224"/>
    <mergeCell ref="A193:G193"/>
    <mergeCell ref="A194:G194"/>
    <mergeCell ref="A195:D195"/>
    <mergeCell ref="A196:A201"/>
    <mergeCell ref="B196:B201"/>
    <mergeCell ref="C196:C201"/>
    <mergeCell ref="D196:D201"/>
    <mergeCell ref="E196:E201"/>
    <mergeCell ref="G196:G197"/>
    <mergeCell ref="A206:A211"/>
    <mergeCell ref="A262:A267"/>
    <mergeCell ref="A280:A286"/>
    <mergeCell ref="A269:G269"/>
    <mergeCell ref="A270:G270"/>
    <mergeCell ref="A271:G271"/>
    <mergeCell ref="A268:B268"/>
    <mergeCell ref="C268:G268"/>
    <mergeCell ref="A225:A229"/>
    <mergeCell ref="A230:A234"/>
    <mergeCell ref="A235:A241"/>
    <mergeCell ref="A242:A248"/>
    <mergeCell ref="A249:A255"/>
    <mergeCell ref="A256:A261"/>
    <mergeCell ref="A273:D273"/>
    <mergeCell ref="A274:A279"/>
    <mergeCell ref="B274:B279"/>
    <mergeCell ref="C274:C279"/>
    <mergeCell ref="D274:D279"/>
    <mergeCell ref="E274:E279"/>
    <mergeCell ref="G274:G275"/>
    <mergeCell ref="F275:F279"/>
    <mergeCell ref="A307:A312"/>
    <mergeCell ref="G330:G331"/>
    <mergeCell ref="F331:F335"/>
    <mergeCell ref="G334:G335"/>
    <mergeCell ref="A336:A339"/>
    <mergeCell ref="A323:A325"/>
    <mergeCell ref="A327:G327"/>
    <mergeCell ref="A328:G328"/>
    <mergeCell ref="A329:D329"/>
    <mergeCell ref="A330:A335"/>
    <mergeCell ref="B330:B335"/>
    <mergeCell ref="C330:C335"/>
    <mergeCell ref="D330:D335"/>
    <mergeCell ref="E330:E335"/>
    <mergeCell ref="A326:B326"/>
    <mergeCell ref="C326:G326"/>
    <mergeCell ref="A82:B82"/>
    <mergeCell ref="C82:G82"/>
    <mergeCell ref="A41:B41"/>
    <mergeCell ref="C41:G41"/>
    <mergeCell ref="A101:B101"/>
    <mergeCell ref="C101:G101"/>
    <mergeCell ref="A315:G315"/>
    <mergeCell ref="A316:D316"/>
    <mergeCell ref="A317:A322"/>
    <mergeCell ref="B317:B322"/>
    <mergeCell ref="C317:C322"/>
    <mergeCell ref="D317:D322"/>
    <mergeCell ref="E317:E322"/>
    <mergeCell ref="G317:G318"/>
    <mergeCell ref="F318:F322"/>
    <mergeCell ref="G321:G322"/>
    <mergeCell ref="G278:G279"/>
    <mergeCell ref="A287:A293"/>
    <mergeCell ref="A294:A300"/>
    <mergeCell ref="A301:A306"/>
    <mergeCell ref="A314:G314"/>
    <mergeCell ref="A313:B313"/>
    <mergeCell ref="C313:G313"/>
    <mergeCell ref="A272:G272"/>
  </mergeCells>
  <pageMargins left="0" right="0" top="0.39370078740157483" bottom="0" header="0.39370078740157483" footer="0"/>
  <pageSetup paperSize="9" scale="42" fitToHeight="5" orientation="portrait" r:id="rId1"/>
  <headerFooter>
    <oddFooter>&amp;RPágina &amp;P de &amp;N</oddFooter>
  </headerFooter>
  <rowBreaks count="6" manualBreakCount="6">
    <brk id="62" max="16383" man="1"/>
    <brk id="100" max="16383" man="1"/>
    <brk id="153" max="16383" man="1"/>
    <brk id="189" max="16383" man="1"/>
    <brk id="267" max="16383" man="1"/>
    <brk id="3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Mark Up </vt:lpstr>
      <vt:lpstr>Venda</vt:lpstr>
      <vt:lpstr>Fábrica</vt:lpstr>
      <vt:lpstr>Fábrica!Area_de_impressao</vt:lpstr>
      <vt:lpstr>Venda!Area_de_impressao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Compras</cp:lastModifiedBy>
  <cp:lastPrinted>2023-01-10T13:17:07Z</cp:lastPrinted>
  <dcterms:created xsi:type="dcterms:W3CDTF">2022-10-11T17:54:00Z</dcterms:created>
  <dcterms:modified xsi:type="dcterms:W3CDTF">2023-01-19T11:31:41Z</dcterms:modified>
</cp:coreProperties>
</file>