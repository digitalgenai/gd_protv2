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251943AF-C432-49C3-A2B5-F2C2A8ECAC99}" xr6:coauthVersionLast="47" xr6:coauthVersionMax="47" xr10:uidLastSave="{00000000-0000-0000-0000-000000000000}"/>
  <workbookProtection workbookAlgorithmName="SHA-512" workbookHashValue="dpm2jEh24pblcwGUrPKg3Y8wr9jtO6FACBiiHnAP3SXn0nEYOWAQdsqhxaRTb7b42LJhdiNK+ZWRBy6KuPUNJg==" workbookSaltValue="8FQ8Q4I+cw1YEoOVUC4MxQ==" workbookSpinCount="100000" lockStructure="1"/>
  <bookViews>
    <workbookView xWindow="-120" yWindow="-120" windowWidth="24240" windowHeight="13020" tabRatio="780" firstSheet="1" activeTab="1" xr2:uid="{00000000-000D-0000-FFFF-FFFF00000000}"/>
  </bookViews>
  <sheets>
    <sheet name="Plan1" sheetId="1" state="hidden" r:id="rId1"/>
    <sheet name="Tabela 2023 - Price List 2023" sheetId="6" r:id="rId2"/>
    <sheet name="Tabela de Capas" sheetId="14" r:id="rId3"/>
    <sheet name="Condições - Conditions" sheetId="9" state="hidden" r:id="rId4"/>
    <sheet name="Mts Tecido Fornecido" sheetId="7" r:id="rId5"/>
    <sheet name="Tabela de OBS" sheetId="11" r:id="rId6"/>
    <sheet name="Markup" sheetId="5" state="hidden" r:id="rId7"/>
  </sheets>
  <definedNames>
    <definedName name="_xlnm.Print_Area" localSheetId="3">'Condições - Conditions'!$A$1:$G$30</definedName>
    <definedName name="_xlnm.Print_Area" localSheetId="4">'Mts Tecido Fornecido'!#REF!</definedName>
    <definedName name="_xlnm.Print_Area" localSheetId="0">Plan1!$A$1:$H$302</definedName>
    <definedName name="_xlnm.Print_Area" localSheetId="1">'Tabela 2023 - Price List 2023'!$B$1:$P$138</definedName>
  </definedNames>
  <calcPr calcId="191029"/>
  <fileRecoveryPr autoRecover="0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I17" i="6" l="1"/>
  <c r="J17" i="6" s="1"/>
  <c r="L17" i="6"/>
  <c r="M17" i="6" s="1"/>
  <c r="O17" i="6"/>
  <c r="P17" i="6" s="1"/>
  <c r="I30" i="6"/>
  <c r="J30" i="6" s="1"/>
  <c r="I31" i="6"/>
  <c r="J31" i="6" s="1"/>
  <c r="I32" i="6"/>
  <c r="J32" i="6" s="1"/>
  <c r="E118" i="14" l="1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3" i="14"/>
  <c r="E52" i="14"/>
  <c r="E51" i="14"/>
  <c r="E50" i="14"/>
  <c r="E49" i="14"/>
  <c r="E48" i="14"/>
  <c r="E47" i="14"/>
  <c r="E46" i="14"/>
  <c r="E45" i="14"/>
  <c r="E44" i="14"/>
  <c r="E39" i="14"/>
  <c r="E38" i="14"/>
  <c r="E37" i="14"/>
  <c r="E36" i="14"/>
  <c r="E31" i="14"/>
  <c r="E30" i="14"/>
  <c r="E29" i="14"/>
  <c r="E28" i="14"/>
  <c r="E23" i="14"/>
  <c r="E18" i="14"/>
  <c r="E17" i="14"/>
  <c r="E16" i="14"/>
  <c r="E15" i="14"/>
  <c r="E14" i="14"/>
  <c r="E13" i="14"/>
  <c r="E12" i="14"/>
  <c r="E11" i="14"/>
  <c r="E10" i="14"/>
  <c r="I65" i="6" l="1"/>
  <c r="J65" i="6" s="1"/>
  <c r="I80" i="6" l="1"/>
  <c r="J80" i="6" s="1"/>
  <c r="O111" i="6"/>
  <c r="P111" i="6" s="1"/>
  <c r="L111" i="6"/>
  <c r="M111" i="6" s="1"/>
  <c r="I111" i="6"/>
  <c r="J111" i="6" s="1"/>
  <c r="O110" i="6"/>
  <c r="P110" i="6" s="1"/>
  <c r="L110" i="6"/>
  <c r="M110" i="6" s="1"/>
  <c r="I110" i="6"/>
  <c r="J110" i="6" s="1"/>
  <c r="O109" i="6"/>
  <c r="P109" i="6" s="1"/>
  <c r="L109" i="6"/>
  <c r="M109" i="6" s="1"/>
  <c r="I109" i="6"/>
  <c r="J109" i="6" s="1"/>
  <c r="I96" i="6"/>
  <c r="J96" i="6" s="1"/>
  <c r="I95" i="6"/>
  <c r="J95" i="6" s="1"/>
  <c r="I94" i="6"/>
  <c r="J94" i="6" s="1"/>
  <c r="O88" i="6"/>
  <c r="P88" i="6" s="1"/>
  <c r="L88" i="6"/>
  <c r="M88" i="6" s="1"/>
  <c r="I88" i="6"/>
  <c r="J88" i="6" s="1"/>
  <c r="O68" i="6"/>
  <c r="P68" i="6" s="1"/>
  <c r="L68" i="6"/>
  <c r="M68" i="6" s="1"/>
  <c r="I68" i="6"/>
  <c r="J68" i="6" s="1"/>
  <c r="O23" i="6"/>
  <c r="P23" i="6" s="1"/>
  <c r="L23" i="6"/>
  <c r="M23" i="6" s="1"/>
  <c r="I23" i="6"/>
  <c r="J23" i="6" s="1"/>
  <c r="O114" i="6"/>
  <c r="P114" i="6" s="1"/>
  <c r="O113" i="6"/>
  <c r="P113" i="6" s="1"/>
  <c r="O112" i="6"/>
  <c r="P112" i="6" s="1"/>
  <c r="O108" i="6"/>
  <c r="P108" i="6" s="1"/>
  <c r="O107" i="6"/>
  <c r="P107" i="6" s="1"/>
  <c r="O106" i="6"/>
  <c r="P106" i="6" s="1"/>
  <c r="O105" i="6"/>
  <c r="P105" i="6" s="1"/>
  <c r="O104" i="6"/>
  <c r="P104" i="6" s="1"/>
  <c r="O103" i="6"/>
  <c r="P103" i="6" s="1"/>
  <c r="O102" i="6"/>
  <c r="P102" i="6" s="1"/>
  <c r="O101" i="6"/>
  <c r="P101" i="6" s="1"/>
  <c r="O100" i="6"/>
  <c r="P100" i="6" s="1"/>
  <c r="O89" i="6"/>
  <c r="P89" i="6" s="1"/>
  <c r="O87" i="6"/>
  <c r="P87" i="6" s="1"/>
  <c r="O86" i="6"/>
  <c r="P86" i="6" s="1"/>
  <c r="O85" i="6"/>
  <c r="P85" i="6" s="1"/>
  <c r="O84" i="6"/>
  <c r="P84" i="6" s="1"/>
  <c r="O83" i="6"/>
  <c r="P83" i="6" s="1"/>
  <c r="O82" i="6"/>
  <c r="P82" i="6" s="1"/>
  <c r="O69" i="6"/>
  <c r="P69" i="6" s="1"/>
  <c r="O67" i="6"/>
  <c r="P67" i="6" s="1"/>
  <c r="O66" i="6"/>
  <c r="P66" i="6" s="1"/>
  <c r="O65" i="6"/>
  <c r="P65" i="6" s="1"/>
  <c r="O64" i="6"/>
  <c r="P64" i="6" s="1"/>
  <c r="O63" i="6"/>
  <c r="P63" i="6" s="1"/>
  <c r="O62" i="6"/>
  <c r="P62" i="6" s="1"/>
  <c r="O61" i="6"/>
  <c r="P61" i="6" s="1"/>
  <c r="O24" i="6"/>
  <c r="P24" i="6" s="1"/>
  <c r="O22" i="6"/>
  <c r="P22" i="6" s="1"/>
  <c r="O21" i="6"/>
  <c r="P21" i="6" s="1"/>
  <c r="O20" i="6"/>
  <c r="P20" i="6" s="1"/>
  <c r="O19" i="6"/>
  <c r="P19" i="6" s="1"/>
  <c r="O18" i="6"/>
  <c r="P18" i="6" s="1"/>
  <c r="L61" i="6"/>
  <c r="M61" i="6" s="1"/>
  <c r="I61" i="6"/>
  <c r="J61" i="6" s="1"/>
  <c r="I20" i="6"/>
  <c r="J20" i="6" s="1"/>
  <c r="I53" i="6"/>
  <c r="J53" i="6" s="1"/>
  <c r="I54" i="6"/>
  <c r="J54" i="6" s="1"/>
  <c r="I52" i="6"/>
  <c r="J52" i="6" s="1"/>
  <c r="I51" i="6"/>
  <c r="J51" i="6" s="1"/>
  <c r="I50" i="6"/>
  <c r="J50" i="6" s="1"/>
  <c r="I49" i="6"/>
  <c r="J49" i="6" s="1"/>
  <c r="I125" i="6"/>
  <c r="J125" i="6" s="1"/>
  <c r="I124" i="6"/>
  <c r="J124" i="6" s="1"/>
  <c r="I123" i="6"/>
  <c r="J123" i="6" s="1"/>
  <c r="I122" i="6"/>
  <c r="J122" i="6" s="1"/>
  <c r="I121" i="6"/>
  <c r="J121" i="6" s="1"/>
  <c r="I120" i="6"/>
  <c r="J120" i="6" s="1"/>
  <c r="I119" i="6"/>
  <c r="J119" i="6" s="1"/>
  <c r="L114" i="6"/>
  <c r="M114" i="6" s="1"/>
  <c r="I114" i="6"/>
  <c r="J114" i="6" s="1"/>
  <c r="L113" i="6"/>
  <c r="M113" i="6" s="1"/>
  <c r="I113" i="6"/>
  <c r="J113" i="6" s="1"/>
  <c r="L112" i="6"/>
  <c r="M112" i="6" s="1"/>
  <c r="I112" i="6"/>
  <c r="J112" i="6" s="1"/>
  <c r="L108" i="6"/>
  <c r="M108" i="6" s="1"/>
  <c r="I108" i="6"/>
  <c r="J108" i="6" s="1"/>
  <c r="L107" i="6"/>
  <c r="M107" i="6" s="1"/>
  <c r="I107" i="6"/>
  <c r="J107" i="6" s="1"/>
  <c r="L106" i="6"/>
  <c r="M106" i="6" s="1"/>
  <c r="I106" i="6"/>
  <c r="J106" i="6" s="1"/>
  <c r="L105" i="6"/>
  <c r="M105" i="6" s="1"/>
  <c r="I105" i="6"/>
  <c r="J105" i="6" s="1"/>
  <c r="L104" i="6"/>
  <c r="M104" i="6" s="1"/>
  <c r="I104" i="6"/>
  <c r="J104" i="6" s="1"/>
  <c r="L103" i="6"/>
  <c r="M103" i="6" s="1"/>
  <c r="I103" i="6"/>
  <c r="J103" i="6" s="1"/>
  <c r="L102" i="6"/>
  <c r="M102" i="6" s="1"/>
  <c r="I102" i="6"/>
  <c r="J102" i="6" s="1"/>
  <c r="L101" i="6"/>
  <c r="M101" i="6" s="1"/>
  <c r="I101" i="6"/>
  <c r="J101" i="6" s="1"/>
  <c r="L100" i="6"/>
  <c r="M100" i="6" s="1"/>
  <c r="I100" i="6"/>
  <c r="J100" i="6" s="1"/>
  <c r="I99" i="6"/>
  <c r="J99" i="6" s="1"/>
  <c r="I98" i="6"/>
  <c r="J98" i="6" s="1"/>
  <c r="I97" i="6"/>
  <c r="J97" i="6" s="1"/>
  <c r="L89" i="6"/>
  <c r="M89" i="6" s="1"/>
  <c r="I89" i="6"/>
  <c r="J89" i="6" s="1"/>
  <c r="L87" i="6"/>
  <c r="M87" i="6" s="1"/>
  <c r="I87" i="6"/>
  <c r="J87" i="6" s="1"/>
  <c r="L86" i="6"/>
  <c r="M86" i="6" s="1"/>
  <c r="I86" i="6"/>
  <c r="J86" i="6" s="1"/>
  <c r="L85" i="6"/>
  <c r="M85" i="6" s="1"/>
  <c r="I85" i="6"/>
  <c r="J85" i="6" s="1"/>
  <c r="L84" i="6"/>
  <c r="M84" i="6" s="1"/>
  <c r="I84" i="6"/>
  <c r="J84" i="6" s="1"/>
  <c r="L83" i="6"/>
  <c r="M83" i="6" s="1"/>
  <c r="I83" i="6"/>
  <c r="J83" i="6" s="1"/>
  <c r="L82" i="6"/>
  <c r="M82" i="6" s="1"/>
  <c r="I82" i="6"/>
  <c r="J82" i="6" s="1"/>
  <c r="I81" i="6"/>
  <c r="J81" i="6" s="1"/>
  <c r="I79" i="6"/>
  <c r="J79" i="6" s="1"/>
  <c r="I78" i="6"/>
  <c r="J78" i="6" s="1"/>
  <c r="I77" i="6"/>
  <c r="J77" i="6" s="1"/>
  <c r="I76" i="6"/>
  <c r="J76" i="6" s="1"/>
  <c r="I75" i="6"/>
  <c r="J75" i="6" s="1"/>
  <c r="I74" i="6"/>
  <c r="J74" i="6" s="1"/>
  <c r="L69" i="6"/>
  <c r="M69" i="6" s="1"/>
  <c r="I69" i="6"/>
  <c r="J69" i="6" s="1"/>
  <c r="L67" i="6"/>
  <c r="M67" i="6" s="1"/>
  <c r="I67" i="6"/>
  <c r="J67" i="6" s="1"/>
  <c r="L66" i="6"/>
  <c r="M66" i="6" s="1"/>
  <c r="I66" i="6"/>
  <c r="J66" i="6" s="1"/>
  <c r="L65" i="6"/>
  <c r="M65" i="6" s="1"/>
  <c r="L64" i="6"/>
  <c r="M64" i="6" s="1"/>
  <c r="I64" i="6"/>
  <c r="J64" i="6" s="1"/>
  <c r="L63" i="6"/>
  <c r="M63" i="6" s="1"/>
  <c r="I63" i="6"/>
  <c r="J63" i="6" s="1"/>
  <c r="L62" i="6"/>
  <c r="M62" i="6" s="1"/>
  <c r="I62" i="6"/>
  <c r="J62" i="6" s="1"/>
  <c r="I60" i="6"/>
  <c r="J60" i="6" s="1"/>
  <c r="I59" i="6"/>
  <c r="J59" i="6" s="1"/>
  <c r="I44" i="6"/>
  <c r="J44" i="6" s="1"/>
  <c r="I43" i="6"/>
  <c r="J43" i="6" s="1"/>
  <c r="I42" i="6"/>
  <c r="J42" i="6" s="1"/>
  <c r="I41" i="6"/>
  <c r="J41" i="6" s="1"/>
  <c r="I40" i="6"/>
  <c r="J40" i="6" s="1"/>
  <c r="I39" i="6"/>
  <c r="J39" i="6" s="1"/>
  <c r="I38" i="6"/>
  <c r="J38" i="6" s="1"/>
  <c r="I37" i="6"/>
  <c r="J37" i="6" s="1"/>
  <c r="L24" i="6"/>
  <c r="M24" i="6" s="1"/>
  <c r="I24" i="6"/>
  <c r="J24" i="6" s="1"/>
  <c r="L22" i="6"/>
  <c r="M22" i="6" s="1"/>
  <c r="I22" i="6"/>
  <c r="J22" i="6" s="1"/>
  <c r="L21" i="6"/>
  <c r="M21" i="6" s="1"/>
  <c r="I21" i="6"/>
  <c r="J21" i="6" s="1"/>
  <c r="L20" i="6"/>
  <c r="M20" i="6" s="1"/>
  <c r="L19" i="6"/>
  <c r="M19" i="6" s="1"/>
  <c r="I19" i="6"/>
  <c r="J19" i="6" s="1"/>
  <c r="L18" i="6"/>
  <c r="M18" i="6" s="1"/>
  <c r="I18" i="6"/>
  <c r="J18" i="6" s="1"/>
  <c r="I16" i="6"/>
  <c r="J16" i="6" s="1"/>
  <c r="D2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do Microsoft Office</author>
    <author>EVOO</author>
  </authors>
  <commentList>
    <comment ref="D16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7" authorId="0" shapeId="0" xr:uid="{00000000-0006-0000-0100-000002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8" authorId="0" shapeId="0" xr:uid="{00000000-0006-0000-0100-000003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D19" authorId="0" shapeId="0" xr:uid="{00000000-0006-0000-0100-000004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D22" authorId="0" shapeId="0" xr:uid="{00000000-0006-0000-0100-000005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23" authorId="0" shapeId="0" xr:uid="{00000000-0006-0000-0100-000006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24" authorId="0" shapeId="0" xr:uid="{00000000-0006-0000-0100-000007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30" authorId="0" shapeId="0" xr:uid="{00000000-0006-0000-0100-000008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ALUMÍNIO / CORDA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31" authorId="0" shapeId="0" xr:uid="{00000000-0006-0000-0100-000009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32" authorId="0" shapeId="0" xr:uid="{00000000-0006-0000-0100-00000A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ALUMÍNIO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B37" authorId="1" shapeId="0" xr:uid="{00000000-0006-0000-0100-00000B000000}">
      <text>
        <r>
          <rPr>
            <sz val="10"/>
            <color rgb="FF000000"/>
            <rFont val="Arial"/>
            <family val="2"/>
          </rPr>
          <t>Altura do assento 70cm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D37" authorId="0" shapeId="0" xr:uid="{00000000-0006-0000-0100-00000C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MADEIRA / CORDA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38" authorId="0" shapeId="0" xr:uid="{00000000-0006-0000-0100-00000D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FIBRA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39" authorId="0" shapeId="0" xr:uid="{00000000-0006-0000-0100-00000E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CORDA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40" authorId="0" shapeId="0" xr:uid="{00000000-0006-0000-0100-00000F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MADEIRA / FIBRA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41" authorId="0" shapeId="0" xr:uid="{00000000-0006-0000-0100-000010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CORDA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42" authorId="0" shapeId="0" xr:uid="{00000000-0006-0000-0100-000011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MADEIRA / FIBRA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43" authorId="0" shapeId="0" xr:uid="{00000000-0006-0000-0100-000012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MADEIRA / CORDA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44" authorId="0" shapeId="0" xr:uid="{00000000-0006-0000-0100-000013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MADEIRA / FIBRA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49" authorId="0" shapeId="0" xr:uid="{00000000-0006-0000-0100-000014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MADEIRA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50" authorId="0" shapeId="0" xr:uid="{00000000-0006-0000-0100-000015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ALUMÍNIO / MADEIRA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51" authorId="0" shapeId="0" xr:uid="{00000000-0006-0000-0100-000016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MADEIRA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52" authorId="0" shapeId="0" xr:uid="{00000000-0006-0000-0100-000017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CORDA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53" authorId="0" shapeId="0" xr:uid="{00000000-0006-0000-0100-000018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MADEIRA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54" authorId="0" shapeId="0" xr:uid="{00000000-0006-0000-0100-000019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MADEIRA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59" authorId="0" shapeId="0" xr:uid="{00000000-0006-0000-0100-00001A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ALUMÍNIO / MADEIRA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60" authorId="0" shapeId="0" xr:uid="{00000000-0006-0000-0100-00001B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61" authorId="0" shapeId="0" xr:uid="{00000000-0006-0000-0100-00001C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62" authorId="0" shapeId="0" xr:uid="{00000000-0006-0000-0100-00001D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MADEIRA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63" authorId="0" shapeId="0" xr:uid="{00000000-0006-0000-0100-00001E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64" authorId="0" shapeId="0" xr:uid="{00000000-0006-0000-0100-00001F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67" authorId="0" shapeId="0" xr:uid="{00000000-0006-0000-0100-000020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TECIDO</t>
        </r>
        <r>
          <rPr>
            <sz val="10"/>
            <color indexed="81"/>
            <rFont val="Arial"/>
            <family val="2"/>
          </rPr>
          <t xml:space="preserve">
</t>
        </r>
      </text>
    </comment>
    <comment ref="D68" authorId="0" shapeId="0" xr:uid="{00000000-0006-0000-0100-000021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MADEIRA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69" authorId="0" shapeId="0" xr:uid="{00000000-0006-0000-0100-000022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MADEIRA / TECIDO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B74" authorId="1" shapeId="0" xr:uid="{00000000-0006-0000-0100-000023000000}">
      <text>
        <r>
          <rPr>
            <b/>
            <sz val="10"/>
            <color rgb="FF000000"/>
            <rFont val="Arial"/>
            <family val="2"/>
          </rPr>
          <t>Altura do assento 73cm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D74" authorId="0" shapeId="0" xr:uid="{00000000-0006-0000-0100-000024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ALUMÍNIO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75" authorId="0" shapeId="0" xr:uid="{00000000-0006-0000-0100-000025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76" authorId="0" shapeId="0" xr:uid="{00000000-0006-0000-0100-000026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77" authorId="0" shapeId="0" xr:uid="{00000000-0006-0000-0100-000027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78" authorId="0" shapeId="0" xr:uid="{00000000-0006-0000-0100-000028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79" authorId="0" shapeId="0" xr:uid="{00000000-0006-0000-0100-000029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80" authorId="0" shapeId="0" xr:uid="{00000000-0006-0000-0100-00002A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81" authorId="0" shapeId="0" xr:uid="{00000000-0006-0000-0100-00002B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TELA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82" authorId="0" shapeId="0" xr:uid="{00000000-0006-0000-0100-00002C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83" authorId="0" shapeId="0" xr:uid="{00000000-0006-0000-0100-00002D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84" authorId="0" shapeId="0" xr:uid="{00000000-0006-0000-0100-00002E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87" authorId="0" shapeId="0" xr:uid="{00000000-0006-0000-0100-00002F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88" authorId="0" shapeId="0" xr:uid="{00000000-0006-0000-0100-000030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sz val="10"/>
            <color indexed="81"/>
            <rFont val="Arial"/>
            <family val="2"/>
          </rPr>
          <t xml:space="preserve">
</t>
        </r>
      </text>
    </comment>
    <comment ref="D89" authorId="0" shapeId="0" xr:uid="{00000000-0006-0000-0100-000031000000}">
      <text>
        <r>
          <rPr>
            <sz val="10"/>
            <color indexed="81"/>
            <rFont val="Arial"/>
            <family val="2"/>
          </rPr>
          <t xml:space="preserve">Componentes do produto: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94" authorId="1" shapeId="0" xr:uid="{00000000-0006-0000-0100-000032000000}">
      <text>
        <r>
          <rPr>
            <sz val="10"/>
            <color rgb="FF000000"/>
            <rFont val="Arial"/>
            <family val="2"/>
          </rPr>
          <t>Componentes do produto</t>
        </r>
        <r>
          <rPr>
            <b/>
            <sz val="10"/>
            <color rgb="FF000000"/>
            <rFont val="Arial"/>
            <family val="2"/>
          </rPr>
          <t xml:space="preserve">: 
</t>
        </r>
        <r>
          <rPr>
            <b/>
            <sz val="10"/>
            <color rgb="FF000000"/>
            <rFont val="Arial"/>
            <family val="2"/>
          </rPr>
          <t>ALUMÍNIO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D97" authorId="0" shapeId="0" xr:uid="{00000000-0006-0000-0100-000033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99" authorId="0" shapeId="0" xr:uid="{00000000-0006-0000-0100-000034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00" authorId="0" shapeId="0" xr:uid="{00000000-0006-0000-0100-000035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01" authorId="0" shapeId="0" xr:uid="{00000000-0006-0000-0100-000036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02" authorId="0" shapeId="0" xr:uid="{00000000-0006-0000-0100-000037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03" authorId="0" shapeId="0" xr:uid="{00000000-0006-0000-0100-000038000000}">
      <text>
        <r>
          <rPr>
            <sz val="10"/>
            <color rgb="FF000000"/>
            <rFont val="Arial"/>
            <family val="2"/>
          </rPr>
          <t xml:space="preserve">Componentes do produto:
</t>
        </r>
        <r>
          <rPr>
            <b/>
            <sz val="10"/>
            <color rgb="FF000000"/>
            <rFont val="Arial"/>
            <family val="2"/>
          </rPr>
          <t>ALUMÍNIO / TECIDO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06" authorId="0" shapeId="0" xr:uid="{00000000-0006-0000-0100-000039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109" authorId="0" shapeId="0" xr:uid="{00000000-0006-0000-0100-00003A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D112" authorId="0" shapeId="0" xr:uid="{00000000-0006-0000-0100-00003B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TECIDO</t>
        </r>
        <r>
          <rPr>
            <b/>
            <sz val="10"/>
            <color indexed="81"/>
            <rFont val="Calibri"/>
            <family val="2"/>
          </rPr>
          <t xml:space="preserve">
</t>
        </r>
      </text>
    </comment>
    <comment ref="B119" authorId="1" shapeId="0" xr:uid="{00000000-0006-0000-0100-00003C000000}">
      <text>
        <r>
          <rPr>
            <b/>
            <sz val="10"/>
            <color rgb="FF000000"/>
            <rFont val="Arial"/>
            <family val="2"/>
          </rPr>
          <t>Altura do assento 71cm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D119" authorId="0" shapeId="0" xr:uid="{00000000-0006-0000-0100-00003D000000}">
      <text>
        <r>
          <rPr>
            <sz val="10"/>
            <color indexed="81"/>
            <rFont val="Arial"/>
            <family val="2"/>
          </rPr>
          <t xml:space="preserve">Componentes do produto: 
</t>
        </r>
        <r>
          <rPr>
            <b/>
            <sz val="10"/>
            <color indexed="81"/>
            <rFont val="Arial"/>
            <family val="2"/>
          </rPr>
          <t>ALUMÍNIO / MADEIRA / CORDA</t>
        </r>
        <r>
          <rPr>
            <sz val="10"/>
            <color indexed="81"/>
            <rFont val="Arial"/>
            <family val="2"/>
          </rPr>
          <t xml:space="preserve">
</t>
        </r>
      </text>
    </comment>
    <comment ref="B120" authorId="1" shapeId="0" xr:uid="{00000000-0006-0000-0100-00003E000000}">
      <text>
        <r>
          <rPr>
            <b/>
            <sz val="10"/>
            <color rgb="FF000000"/>
            <rFont val="Arial"/>
            <family val="2"/>
          </rPr>
          <t>Altura do assento 71cm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D120" authorId="0" shapeId="0" xr:uid="{00000000-0006-0000-0100-00003F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TELA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D121" authorId="0" shapeId="0" xr:uid="{00000000-0006-0000-0100-000040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22" authorId="0" shapeId="0" xr:uid="{00000000-0006-0000-0100-000041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CORDA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23" authorId="0" shapeId="0" xr:uid="{00000000-0006-0000-0100-000042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24" authorId="0" shapeId="0" xr:uid="{00000000-0006-0000-0100-000043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TELA</t>
        </r>
        <r>
          <rPr>
            <b/>
            <sz val="10"/>
            <color rgb="FF000000"/>
            <rFont val="Calibri"/>
            <family val="2"/>
          </rPr>
          <t xml:space="preserve">
</t>
        </r>
      </text>
    </comment>
    <comment ref="D125" authorId="0" shapeId="0" xr:uid="{00000000-0006-0000-0100-000044000000}">
      <text>
        <r>
          <rPr>
            <sz val="10"/>
            <color rgb="FF000000"/>
            <rFont val="Arial"/>
            <family val="2"/>
          </rPr>
          <t xml:space="preserve">Componentes do produto: 
</t>
        </r>
        <r>
          <rPr>
            <b/>
            <sz val="10"/>
            <color rgb="FF000000"/>
            <rFont val="Arial"/>
            <family val="2"/>
          </rPr>
          <t>ALUMÍNIO / MADEIRA / CORDA</t>
        </r>
        <r>
          <rPr>
            <sz val="10"/>
            <color rgb="FF000000"/>
            <rFont val="Arial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<sst xmlns="http://schemas.openxmlformats.org/spreadsheetml/2006/main" count="1570" uniqueCount="787">
  <si>
    <t>LINHA ACESSÓRIOS</t>
  </si>
  <si>
    <t>Cód</t>
  </si>
  <si>
    <t>Modelo</t>
  </si>
  <si>
    <t>Medidas cm</t>
  </si>
  <si>
    <t>Cubagem</t>
  </si>
  <si>
    <t>Peso kg</t>
  </si>
  <si>
    <t>Metragem tecido mts</t>
  </si>
  <si>
    <t>AC10</t>
  </si>
  <si>
    <t>Almofada Decorativa MD C/Botão</t>
  </si>
  <si>
    <t>A15/ L45/ P45</t>
  </si>
  <si>
    <t>AC11</t>
  </si>
  <si>
    <t>Almofada Decorativa GD C/Botão</t>
  </si>
  <si>
    <t>A15/ L55/ P55</t>
  </si>
  <si>
    <t>AC2</t>
  </si>
  <si>
    <t>Almofada Decorativa MD S/Botão</t>
  </si>
  <si>
    <t>AC3</t>
  </si>
  <si>
    <t>Almofada Decorativa GD S/Botão</t>
  </si>
  <si>
    <t>AC17</t>
  </si>
  <si>
    <t>Almofada Decorativa EG C/Botão</t>
  </si>
  <si>
    <t>A18/L65/P65</t>
  </si>
  <si>
    <t>AC33</t>
  </si>
  <si>
    <t>Almofada Decorativa EG S/Botão</t>
  </si>
  <si>
    <t>AC41</t>
  </si>
  <si>
    <t>A4/L53/P177</t>
  </si>
  <si>
    <t>AC43</t>
  </si>
  <si>
    <t>A40/L79/P10</t>
  </si>
  <si>
    <t>AC49</t>
  </si>
  <si>
    <t>Tampo de Madeira D120</t>
  </si>
  <si>
    <t>A3/D120</t>
  </si>
  <si>
    <t>===</t>
  </si>
  <si>
    <t>AC50</t>
  </si>
  <si>
    <t>Tampo de Madeira D150</t>
  </si>
  <si>
    <t>A3/D150</t>
  </si>
  <si>
    <t>AC52</t>
  </si>
  <si>
    <t>Tampo de Madeira Giratório D60</t>
  </si>
  <si>
    <t>AC53</t>
  </si>
  <si>
    <t>Tampo de Madeira Giratório D70</t>
  </si>
  <si>
    <t>A3/D70</t>
  </si>
  <si>
    <t>LINHA ALAMANDA</t>
  </si>
  <si>
    <t>ADA1</t>
  </si>
  <si>
    <t>Mesa Centro</t>
  </si>
  <si>
    <t>A35/L60/P90</t>
  </si>
  <si>
    <t>ADA2</t>
  </si>
  <si>
    <t>Mesa Lateral</t>
  </si>
  <si>
    <t>A45/L40/P40</t>
  </si>
  <si>
    <t>ADA3</t>
  </si>
  <si>
    <t>Poltrona</t>
  </si>
  <si>
    <t>A75/L90/P80</t>
  </si>
  <si>
    <t>ADA4</t>
  </si>
  <si>
    <t>Puff</t>
  </si>
  <si>
    <t>A47/L84/L60</t>
  </si>
  <si>
    <t>ADA5</t>
  </si>
  <si>
    <t>Sofa 2 Lugares</t>
  </si>
  <si>
    <t>A75/L145/P80</t>
  </si>
  <si>
    <t>ADA6</t>
  </si>
  <si>
    <t>Sofa 3 Lugares</t>
  </si>
  <si>
    <t>A75/L200/P80</t>
  </si>
  <si>
    <t>LINHA ALECRIM</t>
  </si>
  <si>
    <t>Espreguiçadeira</t>
  </si>
  <si>
    <t>Mesa D80</t>
  </si>
  <si>
    <t>Mesa D100</t>
  </si>
  <si>
    <t>Mesa D120</t>
  </si>
  <si>
    <t>Mesa Retangular</t>
  </si>
  <si>
    <t>Sofá 2 Lugares com 2 Braços</t>
  </si>
  <si>
    <t>Sofá 2 Lugares  1 Braço Direito</t>
  </si>
  <si>
    <t>Sofá 2 Lugares  1 Braço Esquerdo</t>
  </si>
  <si>
    <t xml:space="preserve">LINHA ANIS </t>
  </si>
  <si>
    <t>ANI1</t>
  </si>
  <si>
    <t>Cadeira</t>
  </si>
  <si>
    <t>A82/L55/P65</t>
  </si>
  <si>
    <t>ANI2</t>
  </si>
  <si>
    <t>A75/D80</t>
  </si>
  <si>
    <t>ANI3</t>
  </si>
  <si>
    <t>A75/D100</t>
  </si>
  <si>
    <t>ANI4</t>
  </si>
  <si>
    <t>A50/L59/P197</t>
  </si>
  <si>
    <t>LINHA ANTÚRIO</t>
  </si>
  <si>
    <t>Banqueta</t>
  </si>
  <si>
    <t>AR1</t>
  </si>
  <si>
    <t>A35/L76/P51</t>
  </si>
  <si>
    <t>AR2</t>
  </si>
  <si>
    <t>A43/L47/P47</t>
  </si>
  <si>
    <t>AR3</t>
  </si>
  <si>
    <t>A73/L76/P66</t>
  </si>
  <si>
    <t>AR4</t>
  </si>
  <si>
    <t>A48/L62/P45</t>
  </si>
  <si>
    <t>AR5</t>
  </si>
  <si>
    <t>Sofá 2 Lugares</t>
  </si>
  <si>
    <t>A73/L123/P66</t>
  </si>
  <si>
    <t>AR6</t>
  </si>
  <si>
    <t>Sofá 3 Lugares</t>
  </si>
  <si>
    <t>A73/L166/P66</t>
  </si>
  <si>
    <t>LINHA BELADONA</t>
  </si>
  <si>
    <t>BDNI</t>
  </si>
  <si>
    <t>A81/L70/P70</t>
  </si>
  <si>
    <t>BDN2</t>
  </si>
  <si>
    <t>A82/L57/P57</t>
  </si>
  <si>
    <t>BDN3</t>
  </si>
  <si>
    <t>A106/L57/P57</t>
  </si>
  <si>
    <t>Mesa Banqueta</t>
  </si>
  <si>
    <t>BDN4</t>
  </si>
  <si>
    <t>Mesa D100 sem tampo</t>
  </si>
  <si>
    <t>A72/D100</t>
  </si>
  <si>
    <t>BDN5</t>
  </si>
  <si>
    <t>Mesa D120 com tampo s/ Giratório</t>
  </si>
  <si>
    <t>A75/D120</t>
  </si>
  <si>
    <t>BDN6</t>
  </si>
  <si>
    <t>Mesa D150 com tampo s/ Giratório</t>
  </si>
  <si>
    <t>A75/D150</t>
  </si>
  <si>
    <t>BDN7</t>
  </si>
  <si>
    <t>Mesa D120 com tampo Giratório de 60cm</t>
  </si>
  <si>
    <t>A75/120</t>
  </si>
  <si>
    <t>BDN8</t>
  </si>
  <si>
    <t>Mesa D150 com tampo Giratório de 70cm</t>
  </si>
  <si>
    <t>A75/150</t>
  </si>
  <si>
    <t>BDN9</t>
  </si>
  <si>
    <t>A72/L190/P85</t>
  </si>
  <si>
    <t>BDN10</t>
  </si>
  <si>
    <t>A35/L90/P45</t>
  </si>
  <si>
    <t>LINHA BONINA</t>
  </si>
  <si>
    <t>BN1</t>
  </si>
  <si>
    <t>A72/L69/P55</t>
  </si>
  <si>
    <t>BN2</t>
  </si>
  <si>
    <t>A30/L100/P55</t>
  </si>
  <si>
    <t>A40/L50/P50</t>
  </si>
  <si>
    <t>LINHA CARDO</t>
  </si>
  <si>
    <t>Módulo de Canto</t>
  </si>
  <si>
    <t xml:space="preserve">Sofá 2 Lugares </t>
  </si>
  <si>
    <t>LINHA COLMO</t>
  </si>
  <si>
    <t xml:space="preserve">Cadeira </t>
  </si>
  <si>
    <t>CO1</t>
  </si>
  <si>
    <t>A36/L80/P55</t>
  </si>
  <si>
    <t>CO2</t>
  </si>
  <si>
    <t>A51/L57/P49</t>
  </si>
  <si>
    <t>CO3</t>
  </si>
  <si>
    <t>A81/L63/P68</t>
  </si>
  <si>
    <t>CO4</t>
  </si>
  <si>
    <t>A36/L57/P48</t>
  </si>
  <si>
    <t>CO5</t>
  </si>
  <si>
    <t>A81/L137/P68</t>
  </si>
  <si>
    <t>CO6</t>
  </si>
  <si>
    <t>A81/L165/P68</t>
  </si>
  <si>
    <t>LINHA ESTRELÍCIA</t>
  </si>
  <si>
    <t>Cadeira Descanso</t>
  </si>
  <si>
    <t>LINHA FLORACEA</t>
  </si>
  <si>
    <t>FC1</t>
  </si>
  <si>
    <t>Mesa Centro/Puff</t>
  </si>
  <si>
    <t>A40/L80/P80</t>
  </si>
  <si>
    <t>FC2</t>
  </si>
  <si>
    <t>A69/L92/P80</t>
  </si>
  <si>
    <t>FC3</t>
  </si>
  <si>
    <t>A69/L150/P80</t>
  </si>
  <si>
    <t>FC4</t>
  </si>
  <si>
    <t>A69/L210/P80</t>
  </si>
  <si>
    <t>LINHA GERBERA</t>
  </si>
  <si>
    <t>GB1</t>
  </si>
  <si>
    <t>Cadeira com braço</t>
  </si>
  <si>
    <t>A85/L56/57</t>
  </si>
  <si>
    <t>GB2</t>
  </si>
  <si>
    <t>Cadeira sem Braço</t>
  </si>
  <si>
    <t>A85/L47/57</t>
  </si>
  <si>
    <t>GB3</t>
  </si>
  <si>
    <t>Mesa D80 Trama Parcial</t>
  </si>
  <si>
    <t>GB4</t>
  </si>
  <si>
    <t>Mesa D100 trama Parcial</t>
  </si>
  <si>
    <t>GB5</t>
  </si>
  <si>
    <t>Cadeira com Braço Trama Total</t>
  </si>
  <si>
    <t>GB6</t>
  </si>
  <si>
    <t>Cadeira sem Braço Trama Total</t>
  </si>
  <si>
    <t>GB7</t>
  </si>
  <si>
    <t>Mesa D80 Trama Total</t>
  </si>
  <si>
    <t>GB8</t>
  </si>
  <si>
    <t>Mesa D100 Trama Total</t>
  </si>
  <si>
    <t>LINHA HERA( mudar todos os custos de pintura fibra e artesanto)</t>
  </si>
  <si>
    <t>HE1</t>
  </si>
  <si>
    <t>A34/L100/P100</t>
  </si>
  <si>
    <t>HE2</t>
  </si>
  <si>
    <t>A45/L50/P50</t>
  </si>
  <si>
    <t>HE3</t>
  </si>
  <si>
    <t>Poltrona com Braço Direito</t>
  </si>
  <si>
    <t>HE4</t>
  </si>
  <si>
    <t>Poltrona com Braço Esquerdo</t>
  </si>
  <si>
    <t>HE5</t>
  </si>
  <si>
    <t>Poltrona com 2 braços</t>
  </si>
  <si>
    <t>A68/L129/P90</t>
  </si>
  <si>
    <t>HE6</t>
  </si>
  <si>
    <t>Poltrona sem braços</t>
  </si>
  <si>
    <t>A68/L60/P90</t>
  </si>
  <si>
    <t>HE7</t>
  </si>
  <si>
    <t>A42/L100/P100</t>
  </si>
  <si>
    <t>HE8</t>
  </si>
  <si>
    <t>Chaise Long Braço Esquerdo</t>
  </si>
  <si>
    <t>A68/L92/P150</t>
  </si>
  <si>
    <t>HE9</t>
  </si>
  <si>
    <t>Chaise Long Braço Direito</t>
  </si>
  <si>
    <t>LINHA IXIA</t>
  </si>
  <si>
    <t>Namoradeira</t>
  </si>
  <si>
    <t>LINHA LUMINA</t>
  </si>
  <si>
    <t>Cadeira com Braço</t>
  </si>
  <si>
    <t>Cadeira Sem Braço</t>
  </si>
  <si>
    <t>LINHA NARCISO</t>
  </si>
  <si>
    <t>BG7</t>
  </si>
  <si>
    <t>A25/L65/P183</t>
  </si>
  <si>
    <t>NC13</t>
  </si>
  <si>
    <t>NC14</t>
  </si>
  <si>
    <t>Sofá 2 lugares</t>
  </si>
  <si>
    <t>NC15</t>
  </si>
  <si>
    <t>Sofá 3 lugares</t>
  </si>
  <si>
    <t>NC17</t>
  </si>
  <si>
    <t>A40/D78</t>
  </si>
  <si>
    <t>NC18</t>
  </si>
  <si>
    <t>A50/D58</t>
  </si>
  <si>
    <t>NC6</t>
  </si>
  <si>
    <t>Chaise Long 2 Lugares D160</t>
  </si>
  <si>
    <t>Almofada 65x65 (2 unid.)</t>
  </si>
  <si>
    <t>Almofada 45x45 (3 unid.)</t>
  </si>
  <si>
    <t>NC8</t>
  </si>
  <si>
    <t>A41/D56</t>
  </si>
  <si>
    <t>LINHA ROSA</t>
  </si>
  <si>
    <t>Cadeira sem braço</t>
  </si>
  <si>
    <t>A55/L70/P180</t>
  </si>
  <si>
    <t>Chaise long com Base (antiga jade )</t>
  </si>
  <si>
    <t>A78/L70/P180</t>
  </si>
  <si>
    <t>Sófa 2 Lugares</t>
  </si>
  <si>
    <t>Sófa 3 Lugares</t>
  </si>
  <si>
    <t>LINHA TANGO</t>
  </si>
  <si>
    <t>TA1</t>
  </si>
  <si>
    <t>A33/L91/P62</t>
  </si>
  <si>
    <t>TA2</t>
  </si>
  <si>
    <t>A40/L40/P40</t>
  </si>
  <si>
    <t>TA3</t>
  </si>
  <si>
    <t>A67/L101/P86</t>
  </si>
  <si>
    <t>TA4</t>
  </si>
  <si>
    <t>A47/L81/P61</t>
  </si>
  <si>
    <t>TA5</t>
  </si>
  <si>
    <t>A67/160/P86</t>
  </si>
  <si>
    <t>TA6</t>
  </si>
  <si>
    <t>A67/L242/P86</t>
  </si>
  <si>
    <t>A25/L65/P190</t>
  </si>
  <si>
    <t>A72/D80</t>
  </si>
  <si>
    <t>A72/D120</t>
  </si>
  <si>
    <t>A30/L90/P60</t>
  </si>
  <si>
    <t>A40/L45/P45</t>
  </si>
  <si>
    <t>A72/L210/P90</t>
  </si>
  <si>
    <t>CARDO</t>
  </si>
  <si>
    <t>A74/L90/P80</t>
  </si>
  <si>
    <t>A38/L80/P80</t>
  </si>
  <si>
    <t>A74/L190/P80</t>
  </si>
  <si>
    <t>A85/L56/P58</t>
  </si>
  <si>
    <t>A85/L50/P58</t>
  </si>
  <si>
    <t>Mesa Quadrada</t>
  </si>
  <si>
    <t>A75/L120/P120</t>
  </si>
  <si>
    <t>A75/L200/P100</t>
  </si>
  <si>
    <t>Mesa Retangular com Tecimento</t>
  </si>
  <si>
    <t>A30/L100/P100</t>
  </si>
  <si>
    <t>IGUAL A ROSA</t>
  </si>
  <si>
    <t>A35/L50/P50</t>
  </si>
  <si>
    <t>A100/L51/P51</t>
  </si>
  <si>
    <t>A80/L56/P58</t>
  </si>
  <si>
    <t>A50/L60/P182</t>
  </si>
  <si>
    <t>A49/L77/P195</t>
  </si>
  <si>
    <t>A102/D60</t>
  </si>
  <si>
    <t>A104/L59/P58</t>
  </si>
  <si>
    <t>A86/L62/P62</t>
  </si>
  <si>
    <t>A25/L80/P195</t>
  </si>
  <si>
    <t>A25/L60/P110</t>
  </si>
  <si>
    <t>A25/L60/P60</t>
  </si>
  <si>
    <t>A59/L90/P90</t>
  </si>
  <si>
    <t>A59/L204/P90</t>
  </si>
  <si>
    <t>A59/L197/P90</t>
  </si>
  <si>
    <t>A59/L190/P90</t>
  </si>
  <si>
    <t>A81/L60/P57</t>
  </si>
  <si>
    <t>A50/L78/P190</t>
  </si>
  <si>
    <t>A81/L150/P145</t>
  </si>
  <si>
    <t>A105/L52/P54</t>
  </si>
  <si>
    <t>A85/L55/P60</t>
  </si>
  <si>
    <t>A83/L70/P67</t>
  </si>
  <si>
    <t>A30/L70/P90</t>
  </si>
  <si>
    <t>A75/L100/P100</t>
  </si>
  <si>
    <t>PHOTOSHOP</t>
  </si>
  <si>
    <t>A75/L150/P100</t>
  </si>
  <si>
    <t>SEM MADEIRA</t>
  </si>
  <si>
    <t>IGUAL À LUMINA</t>
  </si>
  <si>
    <t>IGUAL À CARDO</t>
  </si>
  <si>
    <t>A63/L80/P80</t>
  </si>
  <si>
    <t>A63/L90/P80</t>
  </si>
  <si>
    <t>A63/L148/P80</t>
  </si>
  <si>
    <t>A63/L134/P80</t>
  </si>
  <si>
    <t>A63/L207/P80</t>
  </si>
  <si>
    <t>A80/L60/P58</t>
  </si>
  <si>
    <t>A30/L72/P195</t>
  </si>
  <si>
    <t>A72/L40/P120</t>
  </si>
  <si>
    <t>A75/L80/P80</t>
  </si>
  <si>
    <t>A100/L46/P56</t>
  </si>
  <si>
    <t>A20/L70/P195</t>
  </si>
  <si>
    <t>A30/L60/P90</t>
  </si>
  <si>
    <t>A75/L70/P85</t>
  </si>
  <si>
    <t>A75/L170/P85</t>
  </si>
  <si>
    <t>A68/L95/P90</t>
  </si>
  <si>
    <t>A68/L180/P90</t>
  </si>
  <si>
    <t>A68/L245/P90</t>
  </si>
  <si>
    <t>A104/L53/P50</t>
  </si>
  <si>
    <t>A85/L54/P62</t>
  </si>
  <si>
    <t>A49/L64/P200</t>
  </si>
  <si>
    <t>A85/L100/P62</t>
  </si>
  <si>
    <t>A87/L60/P58</t>
  </si>
  <si>
    <t>A87/L52/P58</t>
  </si>
  <si>
    <t>A70/L50/P50</t>
  </si>
  <si>
    <t>Mesa Retangular de Madeira</t>
  </si>
  <si>
    <t>Mesa Quadrada de Madeira</t>
  </si>
  <si>
    <t>A25/L75/P150</t>
  </si>
  <si>
    <t>A35/L150/P100</t>
  </si>
  <si>
    <t>A40/L60/P60</t>
  </si>
  <si>
    <t>PROCURAR FOTO</t>
  </si>
  <si>
    <t>A68/L118/P102</t>
  </si>
  <si>
    <t>A68/L320/P102</t>
  </si>
  <si>
    <t>A68/L240/P102</t>
  </si>
  <si>
    <t>A80/L92/P88</t>
  </si>
  <si>
    <t>A80/L160/P88</t>
  </si>
  <si>
    <t>A80/L225/P88</t>
  </si>
  <si>
    <t>A83/D160</t>
  </si>
  <si>
    <t>A78/L59/P56</t>
  </si>
  <si>
    <t>A78/L52/P56</t>
  </si>
  <si>
    <t>A30/L70/P200</t>
  </si>
  <si>
    <t>A72/L70/P80</t>
  </si>
  <si>
    <t>Almofada Retangular</t>
  </si>
  <si>
    <t>BDN12</t>
  </si>
  <si>
    <t>BDN16</t>
  </si>
  <si>
    <t>BN3</t>
  </si>
  <si>
    <t>CD1</t>
  </si>
  <si>
    <t>Almofada Espreguiçadeira</t>
  </si>
  <si>
    <t>Mesa 80x80</t>
  </si>
  <si>
    <t>Mesa 100x100</t>
  </si>
  <si>
    <t>MESA 1X1?</t>
  </si>
  <si>
    <t>AC60</t>
  </si>
  <si>
    <t>AC61</t>
  </si>
  <si>
    <t>AE1</t>
  </si>
  <si>
    <t>AE10</t>
  </si>
  <si>
    <t>AE11</t>
  </si>
  <si>
    <t>AE12</t>
  </si>
  <si>
    <t>AE13</t>
  </si>
  <si>
    <t>AE2</t>
  </si>
  <si>
    <t>AE3</t>
  </si>
  <si>
    <t>AE4</t>
  </si>
  <si>
    <t>AE5</t>
  </si>
  <si>
    <t>80/100/120?</t>
  </si>
  <si>
    <t>AE7</t>
  </si>
  <si>
    <t>AE8</t>
  </si>
  <si>
    <t>AE9</t>
  </si>
  <si>
    <t>AE15</t>
  </si>
  <si>
    <t>AE6</t>
  </si>
  <si>
    <t>RS7</t>
  </si>
  <si>
    <t>RS8</t>
  </si>
  <si>
    <t>CD10</t>
  </si>
  <si>
    <t>CD11</t>
  </si>
  <si>
    <t>CD12</t>
  </si>
  <si>
    <t>CD2</t>
  </si>
  <si>
    <t xml:space="preserve">Espreguiçadeira </t>
  </si>
  <si>
    <t>CD3</t>
  </si>
  <si>
    <t>CD4</t>
  </si>
  <si>
    <t>CD5</t>
  </si>
  <si>
    <t>CD8</t>
  </si>
  <si>
    <t>CD9</t>
  </si>
  <si>
    <t>EC10</t>
  </si>
  <si>
    <t>EC11</t>
  </si>
  <si>
    <t>EC13</t>
  </si>
  <si>
    <t>Sofá 2 Lugares sem Braços</t>
  </si>
  <si>
    <t>EC12</t>
  </si>
  <si>
    <t>EC14</t>
  </si>
  <si>
    <t>EC2</t>
  </si>
  <si>
    <t>EC1</t>
  </si>
  <si>
    <t>EC3</t>
  </si>
  <si>
    <t>EC4</t>
  </si>
  <si>
    <t>Mesa 100x100 com Madeira</t>
  </si>
  <si>
    <t>Mesa 150x100 com Madeira</t>
  </si>
  <si>
    <t>EC7</t>
  </si>
  <si>
    <t>EC8</t>
  </si>
  <si>
    <t>Sofá 2 Lugares com 1 Braço Direito</t>
  </si>
  <si>
    <t>Sofá 2 Lugares com 1 Braço Esquerdo</t>
  </si>
  <si>
    <t>EC9</t>
  </si>
  <si>
    <t>HE16</t>
  </si>
  <si>
    <t>HE15</t>
  </si>
  <si>
    <t>SAIU</t>
  </si>
  <si>
    <t>IX1</t>
  </si>
  <si>
    <t>IX2</t>
  </si>
  <si>
    <t>IX3</t>
  </si>
  <si>
    <t>IX5</t>
  </si>
  <si>
    <t>IX8</t>
  </si>
  <si>
    <t>IX7</t>
  </si>
  <si>
    <t>LU1</t>
  </si>
  <si>
    <t>LU2</t>
  </si>
  <si>
    <t>LU3</t>
  </si>
  <si>
    <t>LU4</t>
  </si>
  <si>
    <t>LU5</t>
  </si>
  <si>
    <t>LU6</t>
  </si>
  <si>
    <t>LU7</t>
  </si>
  <si>
    <t>LU8</t>
  </si>
  <si>
    <t>Mesa Centro de Madeira</t>
  </si>
  <si>
    <t>Mesa Centro com Tampo de Madeira</t>
  </si>
  <si>
    <t>LU9</t>
  </si>
  <si>
    <t>Mesa Lateral de Madeira</t>
  </si>
  <si>
    <t>Tem foto?</t>
  </si>
  <si>
    <t>RS1</t>
  </si>
  <si>
    <t>RS2</t>
  </si>
  <si>
    <t>RS3</t>
  </si>
  <si>
    <t>ANTIGA JADE</t>
  </si>
  <si>
    <t>RS4</t>
  </si>
  <si>
    <t>RS6</t>
  </si>
  <si>
    <t>MESA GÉRBERA?</t>
  </si>
  <si>
    <t>RS5</t>
  </si>
  <si>
    <t>Espreguiçadeira com Almofada</t>
  </si>
  <si>
    <t>RS9</t>
  </si>
  <si>
    <t>RS10</t>
  </si>
  <si>
    <t>RS11</t>
  </si>
  <si>
    <t>RS12</t>
  </si>
  <si>
    <t>TA35</t>
  </si>
  <si>
    <t>TA36</t>
  </si>
  <si>
    <t>TA37</t>
  </si>
  <si>
    <t xml:space="preserve">Mesa 2x1 </t>
  </si>
  <si>
    <t>(antiga lisianto toda tramada)</t>
  </si>
  <si>
    <t>GB14</t>
  </si>
  <si>
    <t>GB15</t>
  </si>
  <si>
    <t>GB16</t>
  </si>
  <si>
    <t>GB17</t>
  </si>
  <si>
    <t>GB18</t>
  </si>
  <si>
    <t>GB19</t>
  </si>
  <si>
    <t>FC24</t>
  </si>
  <si>
    <t>FC25</t>
  </si>
  <si>
    <t>FC27</t>
  </si>
  <si>
    <t>Mesa 40x120</t>
  </si>
  <si>
    <t>FC28</t>
  </si>
  <si>
    <t>FC29</t>
  </si>
  <si>
    <t>Chaise 2 Lugares</t>
  </si>
  <si>
    <t>CO15</t>
  </si>
  <si>
    <t>CO16</t>
  </si>
  <si>
    <t>CO17</t>
  </si>
  <si>
    <t>AR20</t>
  </si>
  <si>
    <t>AR21</t>
  </si>
  <si>
    <t>REPETIR FOTO DE 2011 (violeta)</t>
  </si>
  <si>
    <t>AR23</t>
  </si>
  <si>
    <t xml:space="preserve">Mesa D80 </t>
  </si>
  <si>
    <t>(antiga alpinea)</t>
  </si>
  <si>
    <t>AR24</t>
  </si>
  <si>
    <t>AR25</t>
  </si>
  <si>
    <t>AC64</t>
  </si>
  <si>
    <t>AC65</t>
  </si>
  <si>
    <t>Almofada Espreguiçadeira com Futon</t>
  </si>
  <si>
    <t>AC66</t>
  </si>
  <si>
    <t>AC67</t>
  </si>
  <si>
    <t>Tampo de Madeira 2x1</t>
  </si>
  <si>
    <t>Tampo de Madeira 1x1</t>
  </si>
  <si>
    <t>A3/L100/100</t>
  </si>
  <si>
    <t>A3/L200/100</t>
  </si>
  <si>
    <t>AE16</t>
  </si>
  <si>
    <t>A5/L71/178</t>
  </si>
  <si>
    <r>
      <t xml:space="preserve">Mesa Centro </t>
    </r>
    <r>
      <rPr>
        <b/>
        <sz val="9"/>
        <rFont val="Verdana"/>
        <family val="2"/>
      </rPr>
      <t xml:space="preserve"> </t>
    </r>
  </si>
  <si>
    <t>(madeira ripa fina)</t>
  </si>
  <si>
    <t xml:space="preserve">Mesa Lateral </t>
  </si>
  <si>
    <t>(madeira ripa Fina)</t>
  </si>
  <si>
    <r>
      <t xml:space="preserve">Sofá 2 Lugares com braço Direito   </t>
    </r>
    <r>
      <rPr>
        <b/>
        <sz val="9"/>
        <rFont val="Verdana"/>
        <family val="2"/>
      </rPr>
      <t xml:space="preserve"> </t>
    </r>
  </si>
  <si>
    <t xml:space="preserve">Sofá 2 Lugares com braço Esquerdo </t>
  </si>
  <si>
    <t>CO19</t>
  </si>
  <si>
    <t>Colmo Mesa D120</t>
  </si>
  <si>
    <t>CO20</t>
  </si>
  <si>
    <t>rever cadeiras gérbera</t>
  </si>
  <si>
    <t>(antiga Begonia)</t>
  </si>
  <si>
    <t>Ombrelone Central</t>
  </si>
  <si>
    <t>ver código e medidas</t>
  </si>
  <si>
    <t>Chaise Long sem Base</t>
  </si>
  <si>
    <t>Colmo Mesa D80</t>
  </si>
  <si>
    <t>Colmo Mesa D100</t>
  </si>
  <si>
    <t>CO21</t>
  </si>
  <si>
    <t>CADASTRAR</t>
  </si>
  <si>
    <t>FALTA MEDIDA</t>
  </si>
  <si>
    <t>OM15</t>
  </si>
  <si>
    <t>Ombrelone Lateral Bege</t>
  </si>
  <si>
    <t>A275/D350</t>
  </si>
  <si>
    <t>OM16</t>
  </si>
  <si>
    <t>Ombrelone Lateral Caqui</t>
  </si>
  <si>
    <t>OM17</t>
  </si>
  <si>
    <t>Ombrelone Lateral Cru</t>
  </si>
  <si>
    <t>BDN17</t>
  </si>
  <si>
    <t>Éder</t>
  </si>
  <si>
    <t>A72/L150/P80</t>
  </si>
  <si>
    <t>alterou a largura</t>
  </si>
  <si>
    <t xml:space="preserve"> </t>
  </si>
  <si>
    <t xml:space="preserve">   </t>
  </si>
  <si>
    <t>AR22</t>
  </si>
  <si>
    <t>CD13</t>
  </si>
  <si>
    <t>Sofá 2 Lugares sem Braço</t>
  </si>
  <si>
    <t>CD14</t>
  </si>
  <si>
    <t>A86/L110/P62</t>
  </si>
  <si>
    <t>Sofá</t>
  </si>
  <si>
    <t>Sofá Braço Direito</t>
  </si>
  <si>
    <t>Sofá Braço Esquerdo</t>
  </si>
  <si>
    <t>S* TECIDO</t>
  </si>
  <si>
    <t>TABELA DE MEDIDAS - TECIDO FORNECIDO</t>
  </si>
  <si>
    <t>Código</t>
  </si>
  <si>
    <t xml:space="preserve">Produto </t>
  </si>
  <si>
    <t>Assento</t>
  </si>
  <si>
    <t>Encosto</t>
  </si>
  <si>
    <t/>
  </si>
  <si>
    <t>Obs. Para tecidos listrados e estampados aumentar 30%</t>
  </si>
  <si>
    <t xml:space="preserve">Poltrona </t>
  </si>
  <si>
    <t xml:space="preserve">Sofá </t>
  </si>
  <si>
    <t xml:space="preserve">Sofá Braço Direito </t>
  </si>
  <si>
    <t>Sobre Encosto</t>
  </si>
  <si>
    <t>FOTO / PICTURE</t>
  </si>
  <si>
    <t>DESCRIÇÃO / DESCRIPTION</t>
  </si>
  <si>
    <t>markup</t>
  </si>
  <si>
    <t>última revisão</t>
  </si>
  <si>
    <t>A75 * Ø100</t>
  </si>
  <si>
    <t>A75 * Ø120</t>
  </si>
  <si>
    <t>A75 * Ø150</t>
  </si>
  <si>
    <t>A75 * Ø180</t>
  </si>
  <si>
    <t>A40 * L90 * P90</t>
  </si>
  <si>
    <t>A75 * Ø200</t>
  </si>
  <si>
    <t>pedidos com medidas especiais somente sob consulta prévia.</t>
  </si>
  <si>
    <t>frete FOB Cambé-PR;</t>
  </si>
  <si>
    <t>cadastro sujeito a aprovação;</t>
  </si>
  <si>
    <t>PESO/WEIGHT</t>
  </si>
  <si>
    <t>DIMENSÕES(cm)/DIMENSIONS</t>
  </si>
  <si>
    <t>VALOR/VALUE</t>
  </si>
  <si>
    <t>CÓD./CODE</t>
  </si>
  <si>
    <t>AO25</t>
  </si>
  <si>
    <t>AO7</t>
  </si>
  <si>
    <t>AO1</t>
  </si>
  <si>
    <t>AO2</t>
  </si>
  <si>
    <t>AO23</t>
  </si>
  <si>
    <t>AO24</t>
  </si>
  <si>
    <t>AO4</t>
  </si>
  <si>
    <t>AO5</t>
  </si>
  <si>
    <t>AO6</t>
  </si>
  <si>
    <t>ANI47</t>
  </si>
  <si>
    <t>ANI4TE</t>
  </si>
  <si>
    <t>BDN75</t>
  </si>
  <si>
    <t>BDN68</t>
  </si>
  <si>
    <t>BDN78</t>
  </si>
  <si>
    <t>BDN69</t>
  </si>
  <si>
    <t>BDN1</t>
  </si>
  <si>
    <t>BT17</t>
  </si>
  <si>
    <t>BN17</t>
  </si>
  <si>
    <t>BN17TE</t>
  </si>
  <si>
    <t>BN12</t>
  </si>
  <si>
    <t>BN36</t>
  </si>
  <si>
    <t>BN1TE</t>
  </si>
  <si>
    <t>CD84</t>
  </si>
  <si>
    <t>CD108</t>
  </si>
  <si>
    <t>CD108TE</t>
  </si>
  <si>
    <t>CD57</t>
  </si>
  <si>
    <t>CD191</t>
  </si>
  <si>
    <t>CD192</t>
  </si>
  <si>
    <t>EC14TE</t>
  </si>
  <si>
    <t>EC2TE</t>
  </si>
  <si>
    <t>EC16</t>
  </si>
  <si>
    <t>EC16TE</t>
  </si>
  <si>
    <t>EC3TE</t>
  </si>
  <si>
    <t>EC113</t>
  </si>
  <si>
    <t>BT20</t>
  </si>
  <si>
    <t>BT70</t>
  </si>
  <si>
    <t>BT71</t>
  </si>
  <si>
    <t>BT09</t>
  </si>
  <si>
    <t>BT19</t>
  </si>
  <si>
    <t>BT69</t>
  </si>
  <si>
    <t>HB14</t>
  </si>
  <si>
    <t>HB1</t>
  </si>
  <si>
    <t>HB15</t>
  </si>
  <si>
    <t>HB5</t>
  </si>
  <si>
    <t>HB9</t>
  </si>
  <si>
    <t>HB13</t>
  </si>
  <si>
    <t>HB3</t>
  </si>
  <si>
    <t>HB7</t>
  </si>
  <si>
    <t>HB11</t>
  </si>
  <si>
    <t>HB4</t>
  </si>
  <si>
    <t>HB8</t>
  </si>
  <si>
    <t>HB12</t>
  </si>
  <si>
    <t>HB2</t>
  </si>
  <si>
    <t>HB6</t>
  </si>
  <si>
    <t>HB10</t>
  </si>
  <si>
    <t>IICU25</t>
  </si>
  <si>
    <t>II73</t>
  </si>
  <si>
    <t>IICU26</t>
  </si>
  <si>
    <t>IICU26TE</t>
  </si>
  <si>
    <t>II67</t>
  </si>
  <si>
    <t>IICU22</t>
  </si>
  <si>
    <t>IICU23</t>
  </si>
  <si>
    <t>IICU23TE</t>
  </si>
  <si>
    <t>IICU35</t>
  </si>
  <si>
    <t>IICU59</t>
  </si>
  <si>
    <t>IICU51</t>
  </si>
  <si>
    <t>IICU28</t>
  </si>
  <si>
    <t>IICU29</t>
  </si>
  <si>
    <t>II74</t>
  </si>
  <si>
    <t>IICU18</t>
  </si>
  <si>
    <r>
      <t xml:space="preserve">Módulo de Canto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Modular Corner</t>
    </r>
  </si>
  <si>
    <r>
      <t xml:space="preserve">Poltrona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Armchair</t>
    </r>
  </si>
  <si>
    <r>
      <t xml:space="preserve">Sofá                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Sofa</t>
    </r>
  </si>
  <si>
    <r>
      <t xml:space="preserve">Sofá Braço Direito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Right Arm Sofa</t>
    </r>
  </si>
  <si>
    <r>
      <t xml:space="preserve">Sofá Braço Esquerdo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Left Arm Sofa</t>
    </r>
  </si>
  <si>
    <r>
      <t xml:space="preserve">Sofá sem Braço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    Modular Sofa </t>
    </r>
  </si>
  <si>
    <r>
      <t xml:space="preserve">Poltrona 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Armchair</t>
    </r>
  </si>
  <si>
    <r>
      <t>Puff / Módulo Canto</t>
    </r>
    <r>
      <rPr>
        <i/>
        <sz val="10"/>
        <rFont val="Arial"/>
        <family val="2"/>
      </rPr>
      <t xml:space="preserve">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Ottoman Modular Corner</t>
    </r>
  </si>
  <si>
    <r>
      <t xml:space="preserve">Módulo Canto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Modular Corner</t>
    </r>
  </si>
  <si>
    <r>
      <t xml:space="preserve">Sofá            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Sofa</t>
    </r>
  </si>
  <si>
    <r>
      <t xml:space="preserve">Sofá sem Braço                                                                                           </t>
    </r>
    <r>
      <rPr>
        <sz val="10"/>
        <color theme="1" tint="0.499984740745262"/>
        <rFont val="Arial"/>
        <family val="2"/>
      </rPr>
      <t>Modular Sofa</t>
    </r>
    <r>
      <rPr>
        <b/>
        <sz val="10"/>
        <rFont val="Arial"/>
        <family val="2"/>
      </rPr>
      <t xml:space="preserve"> </t>
    </r>
  </si>
  <si>
    <r>
      <t xml:space="preserve">Sofá Braço Esquerdo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Left Arm Sofa</t>
    </r>
  </si>
  <si>
    <r>
      <t xml:space="preserve">Sofá Braço Direito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Right Arm Sofa</t>
    </r>
  </si>
  <si>
    <r>
      <t xml:space="preserve">Módulo de Canto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Modular Corner</t>
    </r>
  </si>
  <si>
    <r>
      <t xml:space="preserve">Poltrona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Armchair</t>
    </r>
  </si>
  <si>
    <r>
      <t xml:space="preserve">Sofá               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Sofa</t>
    </r>
  </si>
  <si>
    <r>
      <t xml:space="preserve">Sofá Braço Direito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Right Armless Modular Sofa</t>
    </r>
  </si>
  <si>
    <r>
      <t xml:space="preserve">Sofá Braço Esquerdo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Right Armless Modular Sofa</t>
    </r>
  </si>
  <si>
    <r>
      <t xml:space="preserve">Banco       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Bench</t>
    </r>
  </si>
  <si>
    <r>
      <t xml:space="preserve">Mesa Centro Ripado Alumínio                                                                       </t>
    </r>
    <r>
      <rPr>
        <i/>
        <sz val="10"/>
        <color theme="1" tint="0.499984740745262"/>
        <rFont val="Arial"/>
        <family val="2"/>
      </rPr>
      <t>Coffee Table- Aluminum</t>
    </r>
  </si>
  <si>
    <r>
      <t xml:space="preserve">Mesa Centro / Módulo Canto                                                                         </t>
    </r>
    <r>
      <rPr>
        <i/>
        <sz val="10"/>
        <color theme="1" tint="0.499984740745262"/>
        <rFont val="Arial"/>
        <family val="2"/>
      </rPr>
      <t>Coffe Table / Modular Corner</t>
    </r>
  </si>
  <si>
    <r>
      <t xml:space="preserve">Poltrona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Armchair</t>
    </r>
  </si>
  <si>
    <r>
      <t xml:space="preserve">Poltrona sem braço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Modular Sofa</t>
    </r>
  </si>
  <si>
    <r>
      <t xml:space="preserve">Sofá Braço Direito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Right Arms Sofa</t>
    </r>
  </si>
  <si>
    <r>
      <t xml:space="preserve">Sofá Braço Esquerdo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Left Arms Sofa</t>
    </r>
  </si>
  <si>
    <r>
      <t xml:space="preserve">Sofá  sem Braço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Modular Sofa</t>
    </r>
  </si>
  <si>
    <t>COLEÇÃO AMARANTO</t>
  </si>
  <si>
    <t>Assento/Encosto/Braço</t>
  </si>
  <si>
    <t>A023</t>
  </si>
  <si>
    <t>Sofá sem braço</t>
  </si>
  <si>
    <t>COLEÇÃO CARDO</t>
  </si>
  <si>
    <t>Puff / Módulo Canto</t>
  </si>
  <si>
    <t>Sofá Modulo Canto</t>
  </si>
  <si>
    <t>CF191</t>
  </si>
  <si>
    <t>Sofá 2 Lugares Braço Esquerdo</t>
  </si>
  <si>
    <t>Sofá 2 Lugares Braço Direito</t>
  </si>
  <si>
    <t>COLEÇÃO ESTRELICIA - BRUNO FAUCZ</t>
  </si>
  <si>
    <t>Sofá Sem Braços</t>
  </si>
  <si>
    <t>COLEÇÃO HIBISCO</t>
  </si>
  <si>
    <t xml:space="preserve">Módulo Canto </t>
  </si>
  <si>
    <t xml:space="preserve">Poltrona sem braço </t>
  </si>
  <si>
    <t xml:space="preserve">Sofá Braço Esquerdo </t>
  </si>
  <si>
    <t xml:space="preserve">Sofá  sem Braço </t>
  </si>
  <si>
    <r>
      <t xml:space="preserve">COLEÇÃO AMARANTO - DESIGN ESTÚDIO DONAFLOR | </t>
    </r>
    <r>
      <rPr>
        <i/>
        <sz val="12"/>
        <color theme="0"/>
        <rFont val="Arial"/>
        <family val="2"/>
      </rPr>
      <t>AMARANTO COLLECTION - DESIGNED BY STUDIO DONAFLOR</t>
    </r>
  </si>
  <si>
    <r>
      <t xml:space="preserve">COLEÇÃO ANIS - DESIGN ESTÚDIO DONAFLOR | </t>
    </r>
    <r>
      <rPr>
        <i/>
        <sz val="12"/>
        <color theme="0"/>
        <rFont val="Arial"/>
        <family val="2"/>
      </rPr>
      <t>ANIS COLLECTION - DESIGNED BY STUDIO DONAFLOR</t>
    </r>
    <r>
      <rPr>
        <b/>
        <i/>
        <sz val="12"/>
        <color theme="0"/>
        <rFont val="Arial"/>
        <family val="2"/>
      </rPr>
      <t xml:space="preserve">       </t>
    </r>
  </si>
  <si>
    <r>
      <t xml:space="preserve">COLEÇÃO BELADONA - DESIGN MARCELO YAMASITA | </t>
    </r>
    <r>
      <rPr>
        <i/>
        <sz val="12"/>
        <color theme="0"/>
        <rFont val="Arial"/>
        <family val="2"/>
      </rPr>
      <t xml:space="preserve">BELADONA COLLECTION - DESIGNED BY MARCELO YAMASITA </t>
    </r>
  </si>
  <si>
    <r>
      <t xml:space="preserve">COLEÇÃO BONINA - DESIGN ESTÚDIO DONAFLOR | </t>
    </r>
    <r>
      <rPr>
        <i/>
        <sz val="12"/>
        <color theme="0"/>
        <rFont val="Arial"/>
        <family val="2"/>
      </rPr>
      <t>BONINA COLLECTION - DESIGNED BY STUDIO DONAFLOR</t>
    </r>
  </si>
  <si>
    <r>
      <t>COLEÇÃO CARDO - DESIGN ESTÚDIO DONAFLOR |</t>
    </r>
    <r>
      <rPr>
        <i/>
        <sz val="12"/>
        <color theme="0"/>
        <rFont val="Arial"/>
        <family val="2"/>
      </rPr>
      <t xml:space="preserve"> CARDO COLLECTION - DESIGNED BY STUDIO DONAFLOR</t>
    </r>
  </si>
  <si>
    <r>
      <t xml:space="preserve">COLEÇÃO ESTRELÍCIA - DESIGN ESTÚDIO DONAFLOR  | </t>
    </r>
    <r>
      <rPr>
        <i/>
        <sz val="12"/>
        <color theme="0"/>
        <rFont val="Arial"/>
        <family val="2"/>
      </rPr>
      <t>ESTRELICIA COLLECTION - DESIGNED BY STUDIO DONAFLOR</t>
    </r>
  </si>
  <si>
    <r>
      <t xml:space="preserve">COLEÇÃO HIBISCO - DESIGN ESTÚDIO DONAFLOR | </t>
    </r>
    <r>
      <rPr>
        <i/>
        <sz val="12"/>
        <color theme="0"/>
        <rFont val="Arial"/>
        <family val="2"/>
      </rPr>
      <t>HIBISCO COLLECTION - DESIGNED BY STUDIO DONAFLOR</t>
    </r>
  </si>
  <si>
    <r>
      <t>COLEÇÃO ISIS - DESIGN ESTÚDIO DONAFLOR |</t>
    </r>
    <r>
      <rPr>
        <i/>
        <sz val="12"/>
        <color theme="0"/>
        <rFont val="Arial"/>
        <family val="2"/>
      </rPr>
      <t xml:space="preserve"> ISIS COLLECTION - DESIGNED BY STUDIO DONAFLOR</t>
    </r>
  </si>
  <si>
    <r>
      <t xml:space="preserve">Poltrona Tela                                                                                                    </t>
    </r>
    <r>
      <rPr>
        <sz val="10"/>
        <color theme="1" tint="0.499984740745262"/>
        <rFont val="Arial"/>
        <family val="2"/>
      </rPr>
      <t>Armchair</t>
    </r>
  </si>
  <si>
    <r>
      <t xml:space="preserve">Mesa Módulo Ripado em Alumínio                                                                   </t>
    </r>
    <r>
      <rPr>
        <i/>
        <sz val="10"/>
        <color theme="1" tint="0.499984740745262"/>
        <rFont val="Arial"/>
        <family val="2"/>
      </rPr>
      <t>Coffee Table / Modular Corner Aluminio</t>
    </r>
  </si>
  <si>
    <r>
      <t xml:space="preserve">Espreguiçadeira Corda                                                                      </t>
    </r>
    <r>
      <rPr>
        <i/>
        <sz val="10"/>
        <color theme="1" tint="0.499984740745262"/>
        <rFont val="Arial"/>
        <family val="2"/>
      </rPr>
      <t>Sunlounger - Rope</t>
    </r>
  </si>
  <si>
    <r>
      <t xml:space="preserve">Espreguiçadeira Tela                                                                         </t>
    </r>
    <r>
      <rPr>
        <i/>
        <sz val="10"/>
        <color theme="1" tint="0.499984740745262"/>
        <rFont val="Arial"/>
        <family val="2"/>
      </rPr>
      <t>Sunlounger - Sling</t>
    </r>
  </si>
  <si>
    <r>
      <t xml:space="preserve">Espreguiçadeira Tela Especial Cinza Mesclada                                                                           </t>
    </r>
    <r>
      <rPr>
        <sz val="9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 xml:space="preserve">                                        </t>
    </r>
    <r>
      <rPr>
        <i/>
        <sz val="10"/>
        <color theme="1" tint="0.499984740745262"/>
        <rFont val="Arial"/>
        <family val="2"/>
      </rPr>
      <t xml:space="preserve">Sunlounger - Batyline </t>
    </r>
  </si>
  <si>
    <r>
      <t xml:space="preserve">Banqueta Corda   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>Rope</t>
    </r>
    <r>
      <rPr>
        <i/>
        <sz val="10"/>
        <color theme="1" tint="0.499984740745262"/>
        <rFont val="Arial"/>
        <family val="2"/>
      </rPr>
      <t xml:space="preserve">Bar Stool </t>
    </r>
  </si>
  <si>
    <r>
      <t xml:space="preserve">Banqueta Fibra     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 xml:space="preserve">Sinthetic Fiber </t>
    </r>
    <r>
      <rPr>
        <i/>
        <sz val="10"/>
        <color theme="1" tint="0.499984740745262"/>
        <rFont val="Arial"/>
        <family val="2"/>
      </rPr>
      <t xml:space="preserve">Bar Stool </t>
    </r>
  </si>
  <si>
    <r>
      <t xml:space="preserve">Cadeira Corda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Rope Chair</t>
    </r>
  </si>
  <si>
    <r>
      <t>Cadeira Fibra</t>
    </r>
    <r>
      <rPr>
        <i/>
        <sz val="10"/>
        <color theme="1" tint="0.499984740745262"/>
        <rFont val="Arial"/>
        <family val="2"/>
      </rPr>
      <t xml:space="preserve">                                                                                                 Sinthetic Fiber Chair</t>
    </r>
  </si>
  <si>
    <r>
      <t xml:space="preserve">Espreguiçadeira Fibra                                                                           </t>
    </r>
    <r>
      <rPr>
        <i/>
        <sz val="10"/>
        <color theme="1" tint="0.499984740745262"/>
        <rFont val="Arial"/>
        <family val="2"/>
      </rPr>
      <t>Synthetic Fiber Sunlounger</t>
    </r>
  </si>
  <si>
    <r>
      <t xml:space="preserve">Espreguiçadeira Corda                                                                           </t>
    </r>
    <r>
      <rPr>
        <i/>
        <sz val="10"/>
        <color theme="1" tint="0.499984740745262"/>
        <rFont val="Arial"/>
        <family val="2"/>
      </rPr>
      <t>Rope Sunlounger</t>
    </r>
  </si>
  <si>
    <r>
      <t xml:space="preserve">Poltrona Corda                                                                                            </t>
    </r>
    <r>
      <rPr>
        <sz val="10"/>
        <color theme="1" tint="0.499984740745262"/>
        <rFont val="Arial"/>
        <family val="2"/>
      </rPr>
      <t>Rope Armchair</t>
    </r>
  </si>
  <si>
    <r>
      <t xml:space="preserve">Poltrona - Fibra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Synthetic Fiber Armchair</t>
    </r>
  </si>
  <si>
    <r>
      <t xml:space="preserve">Espreguiçadeira Tela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Sunlounger</t>
    </r>
  </si>
  <si>
    <r>
      <t xml:space="preserve">Espreguiçadeira Tela Especial Cinza Mesclada                                                                           </t>
    </r>
    <r>
      <rPr>
        <sz val="9"/>
        <rFont val="Arial"/>
        <family val="2"/>
      </rPr>
      <t xml:space="preserve">  </t>
    </r>
    <r>
      <rPr>
        <sz val="10"/>
        <rFont val="Arial"/>
        <family val="2"/>
      </rPr>
      <t xml:space="preserve">                                    </t>
    </r>
    <r>
      <rPr>
        <i/>
        <sz val="10"/>
        <color theme="1" tint="0.499984740745262"/>
        <rFont val="Arial"/>
        <family val="2"/>
      </rPr>
      <t>Sunlounger Batyline</t>
    </r>
    <r>
      <rPr>
        <sz val="10"/>
        <rFont val="Arial"/>
        <family val="2"/>
      </rPr>
      <t xml:space="preserve">  </t>
    </r>
  </si>
  <si>
    <r>
      <t xml:space="preserve">Poltrona Tela Especial Cinza Mesclada                                                                                  </t>
    </r>
    <r>
      <rPr>
        <sz val="10"/>
        <rFont val="Arial"/>
        <family val="2"/>
      </rPr>
      <t xml:space="preserve">  </t>
    </r>
    <r>
      <rPr>
        <i/>
        <sz val="10"/>
        <color theme="1" tint="0.499984740745262"/>
        <rFont val="Arial"/>
        <family val="2"/>
      </rPr>
      <t>Batyline Armchair</t>
    </r>
  </si>
  <si>
    <r>
      <t xml:space="preserve">Espreguiçadeira Tela Especial Cinza Mesclada                                                                           </t>
    </r>
    <r>
      <rPr>
        <sz val="10"/>
        <rFont val="Arial"/>
        <family val="2"/>
      </rPr>
      <t xml:space="preserve">                                       </t>
    </r>
    <r>
      <rPr>
        <i/>
        <sz val="10"/>
        <color theme="1" tint="0.499984740745262"/>
        <rFont val="Arial"/>
        <family val="2"/>
      </rPr>
      <t xml:space="preserve"> Batyline Sunlounger</t>
    </r>
  </si>
  <si>
    <r>
      <t>Banqueta Tela</t>
    </r>
    <r>
      <rPr>
        <i/>
        <sz val="10"/>
        <color theme="1" tint="0.499984740745262"/>
        <rFont val="Arial"/>
        <family val="2"/>
      </rPr>
      <t xml:space="preserve">                                                                                                   Batyline Bar Stool</t>
    </r>
  </si>
  <si>
    <r>
      <t xml:space="preserve">Banqueta Tela Especial Cinza Mesclada                                                                                       </t>
    </r>
    <r>
      <rPr>
        <sz val="10"/>
        <color theme="1"/>
        <rFont val="Arial"/>
        <family val="2"/>
      </rPr>
      <t xml:space="preserve">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Bar Stool Batyline</t>
    </r>
  </si>
  <si>
    <r>
      <t xml:space="preserve">Cadeira Tela      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 xml:space="preserve">Batyline </t>
    </r>
    <r>
      <rPr>
        <i/>
        <sz val="10"/>
        <color theme="1" tint="0.499984740745262"/>
        <rFont val="Arial"/>
        <family val="2"/>
      </rPr>
      <t>Chair</t>
    </r>
  </si>
  <si>
    <r>
      <t xml:space="preserve">Cadeira Tela Especial Cinza Mesclada                                                                                          </t>
    </r>
    <r>
      <rPr>
        <sz val="10"/>
        <color theme="1"/>
        <rFont val="Arial"/>
        <family val="2"/>
      </rPr>
      <t xml:space="preserve">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Batyline Chair</t>
    </r>
  </si>
  <si>
    <r>
      <t xml:space="preserve">Poltrona Tela Especial Cinza Mesclada                                                                       </t>
    </r>
    <r>
      <rPr>
        <sz val="10"/>
        <color theme="1"/>
        <rFont val="Arial"/>
        <family val="2"/>
      </rPr>
      <t xml:space="preserve">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Armchair Batyline</t>
    </r>
  </si>
  <si>
    <r>
      <t xml:space="preserve">Espreguiçadeira Tela                                                                         </t>
    </r>
    <r>
      <rPr>
        <i/>
        <sz val="10"/>
        <color theme="0" tint="-0.499984740745262"/>
        <rFont val="Arial"/>
        <family val="2"/>
      </rPr>
      <t>Batyline S</t>
    </r>
    <r>
      <rPr>
        <i/>
        <sz val="10"/>
        <color theme="1" tint="0.499984740745262"/>
        <rFont val="Arial"/>
        <family val="2"/>
      </rPr>
      <t>unlounger</t>
    </r>
  </si>
  <si>
    <r>
      <t xml:space="preserve">Espreguiçadeira Tela Especial Cinza Mesclada                                                                           </t>
    </r>
    <r>
      <rPr>
        <sz val="10"/>
        <color theme="1"/>
        <rFont val="Arial"/>
        <family val="2"/>
      </rPr>
      <t xml:space="preserve">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>Batyline Sunlounger</t>
    </r>
    <r>
      <rPr>
        <i/>
        <sz val="10"/>
        <color theme="1" tint="0.499984740745262"/>
        <rFont val="Arial"/>
        <family val="2"/>
      </rPr>
      <t xml:space="preserve"> </t>
    </r>
  </si>
  <si>
    <r>
      <t xml:space="preserve">Cadeira Tela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Batyline Chair</t>
    </r>
  </si>
  <si>
    <r>
      <t xml:space="preserve">Banqueta Fibra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Synthetic Fiber Bar Stool</t>
    </r>
  </si>
  <si>
    <r>
      <t xml:space="preserve">Banqueta Corda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Rope Bar Stool</t>
    </r>
  </si>
  <si>
    <r>
      <t xml:space="preserve">Banqueta Tela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Batyline Bar Stool</t>
    </r>
  </si>
  <si>
    <r>
      <t xml:space="preserve">Banqueta Tela Especial Cinza Mesclada                                                                                       </t>
    </r>
    <r>
      <rPr>
        <sz val="10"/>
        <color theme="1"/>
        <rFont val="Arial"/>
        <family val="2"/>
      </rPr>
      <t xml:space="preserve">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Batyline Bar Stool</t>
    </r>
    <r>
      <rPr>
        <sz val="10"/>
        <color theme="1"/>
        <rFont val="Arial"/>
        <family val="2"/>
      </rPr>
      <t xml:space="preserve">   </t>
    </r>
  </si>
  <si>
    <r>
      <t xml:space="preserve">Cadeira Corda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Rope Chair</t>
    </r>
  </si>
  <si>
    <r>
      <t xml:space="preserve">Cadeira Fibra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Synthetic Fiber Chair</t>
    </r>
  </si>
  <si>
    <r>
      <t xml:space="preserve">Cadeira Tela Especial Cinza Mesclada                                                                                          </t>
    </r>
    <r>
      <rPr>
        <sz val="10"/>
        <color theme="1"/>
        <rFont val="Arial"/>
        <family val="2"/>
      </rPr>
      <t xml:space="preserve">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  Batyline Chair</t>
    </r>
  </si>
  <si>
    <r>
      <t xml:space="preserve">Mesa Bistrô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Bistro Table</t>
    </r>
  </si>
  <si>
    <r>
      <t xml:space="preserve">Namoradeira - Fibra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Synthetic Fiber Loveseat</t>
    </r>
  </si>
  <si>
    <t>Condições e formas de pagamento para lojistas:</t>
  </si>
  <si>
    <t>primeira compra pagamento a vista.</t>
  </si>
  <si>
    <r>
      <t xml:space="preserve">Até R$ 2000,00 </t>
    </r>
    <r>
      <rPr>
        <b/>
        <sz val="12"/>
        <color theme="1"/>
        <rFont val="Arial"/>
        <family val="2"/>
      </rPr>
      <t>14 dias</t>
    </r>
  </si>
  <si>
    <r>
      <t xml:space="preserve">De R$ 2001,00 a R$ 4.000,00  </t>
    </r>
    <r>
      <rPr>
        <b/>
        <sz val="12"/>
        <color theme="1"/>
        <rFont val="Arial"/>
        <family val="2"/>
      </rPr>
      <t>28 dias</t>
    </r>
  </si>
  <si>
    <r>
      <t xml:space="preserve">De R$ 4.001,00 a R$ 7.000,00  </t>
    </r>
    <r>
      <rPr>
        <b/>
        <sz val="12"/>
        <color theme="1"/>
        <rFont val="Arial"/>
        <family val="2"/>
      </rPr>
      <t>28 / 42 dias</t>
    </r>
  </si>
  <si>
    <r>
      <t xml:space="preserve">De R$ 7.001,00 a R$ 10.000,00 </t>
    </r>
    <r>
      <rPr>
        <b/>
        <sz val="12"/>
        <color theme="1"/>
        <rFont val="Arial"/>
        <family val="2"/>
      </rPr>
      <t>28 / 56 dias</t>
    </r>
  </si>
  <si>
    <r>
      <t xml:space="preserve">pagamento a vista, desconto de </t>
    </r>
    <r>
      <rPr>
        <b/>
        <sz val="12"/>
        <color theme="1"/>
        <rFont val="Arial"/>
        <family val="2"/>
      </rPr>
      <t>3%</t>
    </r>
    <r>
      <rPr>
        <sz val="12"/>
        <color theme="1"/>
        <rFont val="Arial"/>
        <family val="2"/>
      </rPr>
      <t>;</t>
    </r>
  </si>
  <si>
    <t>A50 * L64 * P200</t>
  </si>
  <si>
    <t>A50 * L59 * P197</t>
  </si>
  <si>
    <t>A106 * L57 * P57</t>
  </si>
  <si>
    <t>A82 * L57 * P57</t>
  </si>
  <si>
    <t>A81 * L70 * P70</t>
  </si>
  <si>
    <t>A38 * L74 * P195</t>
  </si>
  <si>
    <t>A75 * L60 * P60</t>
  </si>
  <si>
    <t>A72 * L70 * P70</t>
  </si>
  <si>
    <t>A25 * L80 * P195</t>
  </si>
  <si>
    <t>A85 * L55 * P60</t>
  </si>
  <si>
    <t>A83 * L70 * P67</t>
  </si>
  <si>
    <t>A30 * L70 * P190</t>
  </si>
  <si>
    <t>A63 * L80 * P80</t>
  </si>
  <si>
    <t>A63 * L90 * P80</t>
  </si>
  <si>
    <t>A63 * L148 * P80</t>
  </si>
  <si>
    <t>A63 * L180 *P80</t>
  </si>
  <si>
    <t>A63 * L207 * P80</t>
  </si>
  <si>
    <t>A63 * L134 * P80</t>
  </si>
  <si>
    <t>A63 * L140 * P80</t>
  </si>
  <si>
    <t>A45 * L200 * P53</t>
  </si>
  <si>
    <t>A45 * L170 * P53</t>
  </si>
  <si>
    <t>A45 * L150 * P53</t>
  </si>
  <si>
    <t>A28 * L110 * P110</t>
  </si>
  <si>
    <t>A28 * L160 * P80</t>
  </si>
  <si>
    <t>A28 * L90 * P90</t>
  </si>
  <si>
    <t>A85 * L90 * P90</t>
  </si>
  <si>
    <t>A85 * L200 * P90</t>
  </si>
  <si>
    <t>A80 * L250 * P90</t>
  </si>
  <si>
    <t>A85 * L300 * P90</t>
  </si>
  <si>
    <t>A85 * L250 * P90</t>
  </si>
  <si>
    <t>A80 * L200 * P90</t>
  </si>
  <si>
    <t>A107 * L56 * P58</t>
  </si>
  <si>
    <t>A80 * L56 * P55</t>
  </si>
  <si>
    <t>A80 * L56 *P55</t>
  </si>
  <si>
    <t>A105 * Ø60</t>
  </si>
  <si>
    <t>A105 * Ø80</t>
  </si>
  <si>
    <t>A80 * L120 * P55</t>
  </si>
  <si>
    <t>A30 * L90 * P90</t>
  </si>
  <si>
    <t>A65 * L90 * P90</t>
  </si>
  <si>
    <t>A65 * L92 * P90</t>
  </si>
  <si>
    <t>A65 * L205 * P90</t>
  </si>
  <si>
    <t>A65  * L225 * P90</t>
  </si>
  <si>
    <t>A65 * L245 * P90</t>
  </si>
  <si>
    <t>A60 * L198 * P90</t>
  </si>
  <si>
    <t>A65 * L198 * P90</t>
  </si>
  <si>
    <t>A65 * L190 * P90</t>
  </si>
  <si>
    <t>A50 * L77 * P195</t>
  </si>
  <si>
    <t>A65 * L225 * P90</t>
  </si>
  <si>
    <t>A65 * L197 * P90</t>
  </si>
  <si>
    <t>A105 * L52 * P55</t>
  </si>
  <si>
    <r>
      <t xml:space="preserve">Mesa (somente base)                                                                                                 </t>
    </r>
    <r>
      <rPr>
        <sz val="10"/>
        <rFont val="Arial"/>
        <family val="2"/>
      </rPr>
      <t xml:space="preserve">(Para vidro ou mármore)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Table</t>
    </r>
  </si>
  <si>
    <r>
      <t xml:space="preserve">Poltrona Corda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Rope Armchair</t>
    </r>
  </si>
  <si>
    <r>
      <t xml:space="preserve">Poltrona Tela         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 xml:space="preserve">Batyline </t>
    </r>
    <r>
      <rPr>
        <i/>
        <sz val="10"/>
        <color theme="1" tint="0.499984740745262"/>
        <rFont val="Arial"/>
        <family val="2"/>
      </rPr>
      <t>Armchair</t>
    </r>
  </si>
  <si>
    <r>
      <t xml:space="preserve">Espreguiçadeira Tela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>Batyline</t>
    </r>
    <r>
      <rPr>
        <b/>
        <sz val="10"/>
        <rFont val="Arial"/>
        <family val="2"/>
      </rPr>
      <t xml:space="preserve"> </t>
    </r>
    <r>
      <rPr>
        <i/>
        <sz val="10"/>
        <color theme="1" tint="0.499984740745262"/>
        <rFont val="Arial"/>
        <family val="2"/>
      </rPr>
      <t>Sunlounger</t>
    </r>
  </si>
  <si>
    <r>
      <t xml:space="preserve">Sofá sem Braços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Modular Sofá</t>
    </r>
  </si>
  <si>
    <r>
      <t xml:space="preserve">Namoradeira Corda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Rope Loveseat</t>
    </r>
  </si>
  <si>
    <t>TEC. ACN</t>
  </si>
  <si>
    <t>IICU36</t>
  </si>
  <si>
    <r>
      <t xml:space="preserve">Base de Mesa Para Mármore                                                                                 </t>
    </r>
    <r>
      <rPr>
        <sz val="10"/>
        <rFont val="Arial"/>
        <family val="2"/>
      </rPr>
      <t xml:space="preserve">                                           </t>
    </r>
    <r>
      <rPr>
        <i/>
        <sz val="10"/>
        <color theme="1" tint="0.499984740745262"/>
        <rFont val="Arial"/>
        <family val="2"/>
      </rPr>
      <t>Marble Table Base</t>
    </r>
  </si>
  <si>
    <r>
      <t xml:space="preserve">    Mesa</t>
    </r>
    <r>
      <rPr>
        <i/>
        <sz val="10"/>
        <color theme="1" tint="0.499984740745262"/>
        <rFont val="Arial"/>
        <family val="2"/>
      </rPr>
      <t xml:space="preserve">                                                                                                                   Table</t>
    </r>
  </si>
  <si>
    <t>IICU38</t>
  </si>
  <si>
    <t>IICU43</t>
  </si>
  <si>
    <t>IICU44</t>
  </si>
  <si>
    <t>IICU45</t>
  </si>
  <si>
    <t>-</t>
  </si>
  <si>
    <t>TEC. PO/PLUS</t>
  </si>
  <si>
    <t>TABELA DE OBSERVAÇÕES</t>
  </si>
  <si>
    <t>73cm</t>
  </si>
  <si>
    <t>Altura do assento</t>
  </si>
  <si>
    <t>BDN75 / BDN3</t>
  </si>
  <si>
    <t>70cm</t>
  </si>
  <si>
    <t>Bertalha Banqueta</t>
  </si>
  <si>
    <t>Estrelicia Banqueta</t>
  </si>
  <si>
    <t xml:space="preserve">II73 / IICU25 / IICU26 / </t>
  </si>
  <si>
    <t>71cm</t>
  </si>
  <si>
    <t>Beladona Banqueta</t>
  </si>
  <si>
    <t>Isis Banqueta</t>
  </si>
  <si>
    <t>ALTURA ASSENTO DAS BANQUETAS</t>
  </si>
  <si>
    <t>METRO³/CUBICO</t>
  </si>
  <si>
    <t>tabela válida a partir de 01/09/2022 - podendo sofrer alterações sem aviso prévio;</t>
  </si>
  <si>
    <t>A65 * L204 * P90</t>
  </si>
  <si>
    <t>TABELA DE PREÇOS 2002 / PRICE LIST 2023</t>
  </si>
  <si>
    <t>Markup</t>
  </si>
  <si>
    <t>COLEÇÃO ANIS</t>
  </si>
  <si>
    <t>COLEÇÃO BELADONA</t>
  </si>
  <si>
    <t>COLEÇÃO BONINA</t>
  </si>
  <si>
    <t>COLEÇÃO ESTRELICIA</t>
  </si>
  <si>
    <t>COLEÇÃO ISIS</t>
  </si>
  <si>
    <t>prazo de entrega 40 dias - sujeito a alteração pra mais ou menos dias;</t>
  </si>
  <si>
    <r>
      <t xml:space="preserve">Banqueta      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 xml:space="preserve"> </t>
    </r>
    <r>
      <rPr>
        <i/>
        <sz val="10"/>
        <color theme="1" tint="0.499984740745262"/>
        <rFont val="Arial"/>
        <family val="2"/>
      </rPr>
      <t xml:space="preserve">Bar Stool </t>
    </r>
  </si>
  <si>
    <r>
      <t xml:space="preserve">Cadeira    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Chair</t>
    </r>
  </si>
  <si>
    <r>
      <t xml:space="preserve">Espreguiçadeira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Sunlounger</t>
    </r>
  </si>
  <si>
    <r>
      <t xml:space="preserve">Poltrona                                                                                             </t>
    </r>
    <r>
      <rPr>
        <sz val="10"/>
        <color theme="1" tint="0.499984740745262"/>
        <rFont val="Arial"/>
        <family val="2"/>
      </rPr>
      <t xml:space="preserve"> Armchair</t>
    </r>
  </si>
  <si>
    <r>
      <t xml:space="preserve">Espreguiçadeira 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>Sunlounger</t>
    </r>
  </si>
  <si>
    <r>
      <t xml:space="preserve">Poltrona                        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 Armchair</t>
    </r>
  </si>
  <si>
    <r>
      <t xml:space="preserve">Espreguiçadeira                                                                            </t>
    </r>
    <r>
      <rPr>
        <i/>
        <sz val="10"/>
        <color theme="1" tint="0.499984740745262"/>
        <rFont val="Arial"/>
        <family val="2"/>
      </rPr>
      <t xml:space="preserve">Sunlounger </t>
    </r>
  </si>
  <si>
    <r>
      <t xml:space="preserve">Banqueta </t>
    </r>
    <r>
      <rPr>
        <i/>
        <sz val="10"/>
        <color theme="1" tint="0.499984740745262"/>
        <rFont val="Arial"/>
        <family val="2"/>
      </rPr>
      <t xml:space="preserve">                                                                                                    Bar Stool</t>
    </r>
  </si>
  <si>
    <r>
      <t xml:space="preserve">Cadeira                                                                                                   </t>
    </r>
    <r>
      <rPr>
        <i/>
        <sz val="10"/>
        <color theme="0" tint="-0.499984740745262"/>
        <rFont val="Arial"/>
        <family val="2"/>
      </rPr>
      <t xml:space="preserve"> </t>
    </r>
    <r>
      <rPr>
        <i/>
        <sz val="10"/>
        <color theme="1" tint="0.499984740745262"/>
        <rFont val="Arial"/>
        <family val="2"/>
      </rPr>
      <t>Chair</t>
    </r>
  </si>
  <si>
    <r>
      <t xml:space="preserve">Poltrona                                                                                                     </t>
    </r>
    <r>
      <rPr>
        <sz val="10"/>
        <color theme="1" tint="0.499984740745262"/>
        <rFont val="Arial"/>
        <family val="2"/>
      </rPr>
      <t>Armchair</t>
    </r>
  </si>
  <si>
    <r>
      <t xml:space="preserve">Espreguiçadeira                                                                          </t>
    </r>
    <r>
      <rPr>
        <i/>
        <sz val="10"/>
        <color theme="0" tint="-0.499984740745262"/>
        <rFont val="Arial"/>
        <family val="2"/>
      </rPr>
      <t xml:space="preserve"> S</t>
    </r>
    <r>
      <rPr>
        <i/>
        <sz val="10"/>
        <color theme="1" tint="0.499984740745262"/>
        <rFont val="Arial"/>
        <family val="2"/>
      </rPr>
      <t>unlounger</t>
    </r>
  </si>
  <si>
    <t>CONDIÇÕES PARA CORPORATIVO: Favor consultar equipe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</si>
</sst>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sz val="10"/>
      <color indexed="63"/>
      <name val="Verdana"/>
      <family val="2"/>
    </font>
    <font>
      <sz val="9"/>
      <color indexed="63"/>
      <name val="Verdana"/>
      <family val="2"/>
    </font>
    <font>
      <b/>
      <sz val="10"/>
      <name val="Verdana"/>
      <family val="2"/>
    </font>
    <font>
      <b/>
      <sz val="11"/>
      <color indexed="8"/>
      <name val="Verdana"/>
      <family val="2"/>
    </font>
    <font>
      <b/>
      <sz val="9"/>
      <color indexed="63"/>
      <name val="Verdana"/>
      <family val="2"/>
    </font>
    <font>
      <sz val="9"/>
      <name val="Verdana"/>
      <family val="2"/>
    </font>
    <font>
      <sz val="9"/>
      <color indexed="8"/>
      <name val="Verdana"/>
      <family val="2"/>
    </font>
    <font>
      <sz val="10"/>
      <color indexed="9"/>
      <name val="Verdana"/>
      <family val="2"/>
    </font>
    <font>
      <sz val="9"/>
      <name val="Verdana"/>
      <family val="2"/>
    </font>
    <font>
      <sz val="9"/>
      <color indexed="8"/>
      <name val="Verdana"/>
      <family val="2"/>
    </font>
    <font>
      <sz val="9"/>
      <color indexed="10"/>
      <name val="Verdana"/>
      <family val="2"/>
    </font>
    <font>
      <b/>
      <sz val="11"/>
      <color indexed="8"/>
      <name val="Verdana"/>
      <family val="2"/>
    </font>
    <font>
      <b/>
      <sz val="9"/>
      <name val="Verdana"/>
      <family val="2"/>
    </font>
    <font>
      <sz val="10"/>
      <name val="Arial"/>
      <family val="2"/>
    </font>
    <font>
      <b/>
      <sz val="10"/>
      <color indexed="63"/>
      <name val="Verdana"/>
      <family val="2"/>
    </font>
    <font>
      <sz val="10"/>
      <name val="Verdana"/>
      <family val="2"/>
    </font>
    <font>
      <sz val="11"/>
      <color indexed="10"/>
      <name val="Calibri"/>
      <family val="2"/>
    </font>
    <font>
      <sz val="9"/>
      <color indexed="10"/>
      <name val="Verdana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 tint="0.49998474074526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 tint="0.499984740745262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rgb="FF333333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sz val="9"/>
      <color rgb="FF000000"/>
      <name val="Verdana"/>
      <family val="2"/>
    </font>
    <font>
      <b/>
      <sz val="9"/>
      <color theme="1"/>
      <name val="Verdana"/>
      <family val="2"/>
    </font>
    <font>
      <i/>
      <sz val="10"/>
      <name val="Arial"/>
      <family val="2"/>
    </font>
    <font>
      <b/>
      <sz val="10"/>
      <color theme="1"/>
      <name val="Verdana"/>
      <family val="2"/>
    </font>
    <font>
      <sz val="10"/>
      <color theme="1"/>
      <name val="Arial Narrow"/>
      <family val="2"/>
    </font>
    <font>
      <b/>
      <sz val="10"/>
      <color indexed="81"/>
      <name val="Calibri"/>
      <family val="2"/>
    </font>
    <font>
      <b/>
      <sz val="10"/>
      <color rgb="FF000000"/>
      <name val="Calibri"/>
      <family val="2"/>
    </font>
    <font>
      <sz val="10"/>
      <color indexed="81"/>
      <name val="Arial"/>
      <family val="2"/>
    </font>
    <font>
      <b/>
      <sz val="10"/>
      <color indexed="81"/>
      <name val="Arial"/>
      <family val="2"/>
    </font>
    <font>
      <i/>
      <sz val="12"/>
      <color theme="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i/>
      <sz val="11"/>
      <color theme="1" tint="0.34998626667073579"/>
      <name val="Arial"/>
      <family val="2"/>
    </font>
    <font>
      <sz val="9"/>
      <color rgb="FF000000"/>
      <name val="Segoe UI"/>
      <family val="2"/>
      <charset val="1"/>
    </font>
    <font>
      <b/>
      <sz val="9"/>
      <color rgb="FF000000"/>
      <name val="Segoe U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1" tint="0.14999847407452621"/>
        <bgColor rgb="FF000000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438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7" fillId="0" borderId="0"/>
  </cellStyleXfs>
  <cellXfs count="325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" fontId="0" fillId="0" borderId="1" xfId="0" applyNumberFormat="1" applyBorder="1"/>
    <xf numFmtId="0" fontId="7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center"/>
    </xf>
    <xf numFmtId="164" fontId="10" fillId="5" borderId="4" xfId="0" applyNumberFormat="1" applyFont="1" applyFill="1" applyBorder="1" applyAlignment="1">
      <alignment horizontal="center"/>
    </xf>
    <xf numFmtId="2" fontId="10" fillId="5" borderId="4" xfId="0" applyNumberFormat="1" applyFon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2" fontId="10" fillId="5" borderId="4" xfId="0" quotePrefix="1" applyNumberFormat="1" applyFont="1" applyFill="1" applyBorder="1" applyAlignment="1">
      <alignment horizontal="center"/>
    </xf>
    <xf numFmtId="0" fontId="10" fillId="5" borderId="4" xfId="0" applyFont="1" applyFill="1" applyBorder="1" applyAlignment="1">
      <alignment horizontal="left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2" fontId="10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2" fillId="5" borderId="4" xfId="0" applyFont="1" applyFill="1" applyBorder="1" applyAlignment="1">
      <alignment horizontal="left"/>
    </xf>
    <xf numFmtId="0" fontId="12" fillId="5" borderId="4" xfId="0" applyFont="1" applyFill="1" applyBorder="1" applyAlignment="1">
      <alignment horizontal="left"/>
    </xf>
    <xf numFmtId="165" fontId="10" fillId="5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0" fontId="13" fillId="5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0" fillId="0" borderId="0" xfId="0" quotePrefix="1" applyNumberFormat="1" applyFont="1" applyAlignment="1">
      <alignment horizontal="center"/>
    </xf>
    <xf numFmtId="0" fontId="6" fillId="5" borderId="4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2" fontId="12" fillId="5" borderId="4" xfId="0" applyNumberFormat="1" applyFont="1" applyFill="1" applyBorder="1" applyAlignment="1">
      <alignment horizontal="center"/>
    </xf>
    <xf numFmtId="165" fontId="12" fillId="5" borderId="4" xfId="0" applyNumberFormat="1" applyFont="1" applyFill="1" applyBorder="1" applyAlignment="1">
      <alignment horizontal="center"/>
    </xf>
    <xf numFmtId="164" fontId="12" fillId="5" borderId="4" xfId="0" applyNumberFormat="1" applyFont="1" applyFill="1" applyBorder="1" applyAlignment="1">
      <alignment horizontal="center"/>
    </xf>
    <xf numFmtId="2" fontId="13" fillId="5" borderId="4" xfId="0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left"/>
    </xf>
    <xf numFmtId="2" fontId="12" fillId="5" borderId="4" xfId="0" quotePrefix="1" applyNumberFormat="1" applyFont="1" applyFill="1" applyBorder="1" applyAlignment="1">
      <alignment horizontal="center"/>
    </xf>
    <xf numFmtId="2" fontId="3" fillId="0" borderId="0" xfId="0" applyNumberFormat="1" applyFont="1"/>
    <xf numFmtId="2" fontId="10" fillId="5" borderId="4" xfId="1" applyNumberFormat="1" applyFont="1" applyFill="1" applyBorder="1" applyAlignment="1">
      <alignment horizontal="center"/>
    </xf>
    <xf numFmtId="2" fontId="10" fillId="5" borderId="4" xfId="1" quotePrefix="1" applyNumberFormat="1" applyFont="1" applyFill="1" applyBorder="1" applyAlignment="1">
      <alignment horizontal="center"/>
    </xf>
    <xf numFmtId="0" fontId="18" fillId="5" borderId="4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3" borderId="1" xfId="0" applyFont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2" fontId="12" fillId="0" borderId="0" xfId="0" quotePrefix="1" applyNumberFormat="1" applyFont="1" applyAlignment="1">
      <alignment horizontal="center"/>
    </xf>
    <xf numFmtId="0" fontId="19" fillId="5" borderId="4" xfId="0" applyFont="1" applyFill="1" applyBorder="1" applyAlignment="1">
      <alignment horizontal="left"/>
    </xf>
    <xf numFmtId="164" fontId="0" fillId="5" borderId="4" xfId="0" applyNumberFormat="1" applyFill="1" applyBorder="1" applyAlignment="1">
      <alignment horizontal="center"/>
    </xf>
    <xf numFmtId="0" fontId="19" fillId="5" borderId="4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2" fontId="10" fillId="2" borderId="0" xfId="0" quotePrefix="1" applyNumberFormat="1" applyFont="1" applyFill="1" applyAlignment="1">
      <alignment horizontal="center"/>
    </xf>
    <xf numFmtId="2" fontId="9" fillId="5" borderId="4" xfId="0" applyNumberFormat="1" applyFont="1" applyFill="1" applyBorder="1" applyAlignment="1">
      <alignment horizontal="center"/>
    </xf>
    <xf numFmtId="164" fontId="21" fillId="5" borderId="4" xfId="0" applyNumberFormat="1" applyFont="1" applyFill="1" applyBorder="1" applyAlignment="1">
      <alignment horizontal="center"/>
    </xf>
    <xf numFmtId="2" fontId="21" fillId="5" borderId="4" xfId="0" quotePrefix="1" applyNumberFormat="1" applyFont="1" applyFill="1" applyBorder="1" applyAlignment="1">
      <alignment horizontal="center"/>
    </xf>
    <xf numFmtId="0" fontId="20" fillId="0" borderId="0" xfId="0" applyFont="1"/>
    <xf numFmtId="0" fontId="13" fillId="5" borderId="4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2" fontId="9" fillId="0" borderId="5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2" fontId="0" fillId="0" borderId="6" xfId="0" applyNumberFormat="1" applyBorder="1"/>
    <xf numFmtId="0" fontId="22" fillId="0" borderId="0" xfId="0" applyFont="1"/>
    <xf numFmtId="0" fontId="18" fillId="5" borderId="0" xfId="0" applyFont="1" applyFill="1" applyAlignment="1">
      <alignment horizontal="left"/>
    </xf>
    <xf numFmtId="165" fontId="13" fillId="5" borderId="4" xfId="0" applyNumberFormat="1" applyFont="1" applyFill="1" applyBorder="1" applyAlignment="1">
      <alignment horizontal="center"/>
    </xf>
    <xf numFmtId="0" fontId="0" fillId="6" borderId="0" xfId="0" applyFill="1"/>
    <xf numFmtId="0" fontId="30" fillId="6" borderId="0" xfId="0" applyFont="1" applyFill="1" applyAlignment="1">
      <alignment vertical="center"/>
    </xf>
    <xf numFmtId="2" fontId="30" fillId="6" borderId="0" xfId="0" applyNumberFormat="1" applyFont="1" applyFill="1" applyAlignment="1">
      <alignment vertical="center"/>
    </xf>
    <xf numFmtId="0" fontId="30" fillId="6" borderId="0" xfId="0" applyFont="1" applyFill="1" applyAlignment="1">
      <alignment horizontal="center" vertical="center"/>
    </xf>
    <xf numFmtId="2" fontId="0" fillId="6" borderId="0" xfId="0" applyNumberFormat="1" applyFill="1"/>
    <xf numFmtId="2" fontId="28" fillId="6" borderId="0" xfId="0" applyNumberFormat="1" applyFont="1" applyFill="1" applyAlignment="1">
      <alignment vertical="center"/>
    </xf>
    <xf numFmtId="0" fontId="30" fillId="0" borderId="0" xfId="0" applyFont="1"/>
    <xf numFmtId="0" fontId="34" fillId="0" borderId="4" xfId="0" applyFont="1" applyBorder="1" applyAlignment="1">
      <alignment horizontal="center" vertical="center"/>
    </xf>
    <xf numFmtId="2" fontId="34" fillId="0" borderId="7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2" fontId="34" fillId="0" borderId="4" xfId="0" applyNumberFormat="1" applyFont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0" fontId="33" fillId="0" borderId="0" xfId="0" applyFont="1"/>
    <xf numFmtId="0" fontId="34" fillId="6" borderId="12" xfId="0" applyFont="1" applyFill="1" applyBorder="1" applyAlignment="1">
      <alignment horizontal="center" vertical="center"/>
    </xf>
    <xf numFmtId="0" fontId="33" fillId="0" borderId="0" xfId="0" quotePrefix="1" applyFont="1"/>
    <xf numFmtId="0" fontId="33" fillId="0" borderId="0" xfId="0" applyFont="1" applyAlignment="1">
      <alignment horizontal="left" vertical="top"/>
    </xf>
    <xf numFmtId="0" fontId="34" fillId="6" borderId="7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56" fillId="0" borderId="0" xfId="0" applyFont="1"/>
    <xf numFmtId="2" fontId="30" fillId="0" borderId="0" xfId="0" applyNumberFormat="1" applyFont="1" applyAlignment="1">
      <alignment vertical="center"/>
    </xf>
    <xf numFmtId="0" fontId="30" fillId="18" borderId="0" xfId="0" applyFont="1" applyFill="1" applyAlignment="1">
      <alignment vertical="center"/>
    </xf>
    <xf numFmtId="0" fontId="1" fillId="6" borderId="0" xfId="0" applyFont="1" applyFill="1"/>
    <xf numFmtId="0" fontId="48" fillId="6" borderId="0" xfId="0" applyFont="1" applyFill="1" applyAlignment="1">
      <alignment vertical="center" wrapText="1"/>
    </xf>
    <xf numFmtId="0" fontId="50" fillId="0" borderId="0" xfId="0" applyFont="1" applyAlignment="1">
      <alignment horizontal="left" vertical="center"/>
    </xf>
    <xf numFmtId="0" fontId="40" fillId="19" borderId="4" xfId="0" applyFont="1" applyFill="1" applyBorder="1" applyAlignment="1">
      <alignment horizontal="center" vertical="center"/>
    </xf>
    <xf numFmtId="0" fontId="30" fillId="15" borderId="0" xfId="0" applyFont="1" applyFill="1" applyAlignment="1">
      <alignment vertical="center"/>
    </xf>
    <xf numFmtId="0" fontId="34" fillId="0" borderId="4" xfId="0" applyFont="1" applyBorder="1" applyAlignment="1" applyProtection="1">
      <alignment horizontal="center" vertical="center"/>
      <protection locked="0"/>
    </xf>
    <xf numFmtId="0" fontId="34" fillId="0" borderId="4" xfId="0" applyFont="1" applyBorder="1" applyAlignment="1" applyProtection="1">
      <alignment horizontal="center" vertical="center" wrapText="1"/>
      <protection locked="0"/>
    </xf>
    <xf numFmtId="0" fontId="30" fillId="6" borderId="0" xfId="0" applyFont="1" applyFill="1" applyAlignment="1" applyProtection="1">
      <alignment vertical="center"/>
      <protection locked="0"/>
    </xf>
    <xf numFmtId="2" fontId="30" fillId="6" borderId="0" xfId="0" applyNumberFormat="1" applyFont="1" applyFill="1" applyAlignment="1" applyProtection="1">
      <alignment horizontal="center" vertical="center"/>
      <protection locked="0"/>
    </xf>
    <xf numFmtId="0" fontId="33" fillId="2" borderId="0" xfId="0" applyFont="1" applyFill="1" applyAlignment="1" applyProtection="1">
      <alignment vertical="center"/>
      <protection locked="0"/>
    </xf>
    <xf numFmtId="165" fontId="30" fillId="2" borderId="0" xfId="0" applyNumberFormat="1" applyFont="1" applyFill="1" applyAlignment="1" applyProtection="1">
      <alignment vertical="center"/>
      <protection locked="0"/>
    </xf>
    <xf numFmtId="164" fontId="33" fillId="2" borderId="0" xfId="0" applyNumberFormat="1" applyFont="1" applyFill="1" applyAlignment="1" applyProtection="1">
      <alignment vertical="center"/>
      <protection locked="0"/>
    </xf>
    <xf numFmtId="0" fontId="30" fillId="8" borderId="0" xfId="0" applyFont="1" applyFill="1" applyAlignment="1" applyProtection="1">
      <alignment vertical="center"/>
      <protection locked="0"/>
    </xf>
    <xf numFmtId="0" fontId="30" fillId="11" borderId="0" xfId="0" applyFont="1" applyFill="1" applyAlignment="1" applyProtection="1">
      <alignment vertical="center"/>
      <protection locked="0"/>
    </xf>
    <xf numFmtId="0" fontId="30" fillId="2" borderId="0" xfId="0" applyFont="1" applyFill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locked="0"/>
    </xf>
    <xf numFmtId="2" fontId="33" fillId="2" borderId="0" xfId="0" applyNumberFormat="1" applyFont="1" applyFill="1" applyAlignment="1" applyProtection="1">
      <alignment horizontal="center" vertical="center"/>
      <protection locked="0"/>
    </xf>
    <xf numFmtId="165" fontId="30" fillId="2" borderId="0" xfId="0" applyNumberFormat="1" applyFont="1" applyFill="1" applyAlignment="1" applyProtection="1">
      <alignment horizontal="center" vertical="center"/>
      <protection locked="0"/>
    </xf>
    <xf numFmtId="164" fontId="33" fillId="2" borderId="0" xfId="0" applyNumberFormat="1" applyFont="1" applyFill="1" applyAlignment="1" applyProtection="1">
      <alignment horizontal="center" vertical="center"/>
      <protection locked="0"/>
    </xf>
    <xf numFmtId="0" fontId="28" fillId="8" borderId="0" xfId="0" applyFont="1" applyFill="1" applyAlignment="1" applyProtection="1">
      <alignment vertical="center"/>
      <protection locked="0"/>
    </xf>
    <xf numFmtId="0" fontId="28" fillId="11" borderId="0" xfId="0" applyFont="1" applyFill="1" applyAlignment="1" applyProtection="1">
      <alignment vertical="center"/>
      <protection locked="0"/>
    </xf>
    <xf numFmtId="0" fontId="28" fillId="2" borderId="0" xfId="0" applyFont="1" applyFill="1" applyAlignment="1" applyProtection="1">
      <alignment vertical="center"/>
      <protection locked="0"/>
    </xf>
    <xf numFmtId="0" fontId="33" fillId="13" borderId="0" xfId="0" applyFont="1" applyFill="1" applyAlignment="1" applyProtection="1">
      <alignment horizontal="left" vertical="center"/>
      <protection locked="0"/>
    </xf>
    <xf numFmtId="2" fontId="34" fillId="13" borderId="0" xfId="0" applyNumberFormat="1" applyFont="1" applyFill="1" applyAlignment="1" applyProtection="1">
      <alignment horizontal="right" vertical="center"/>
      <protection locked="0"/>
    </xf>
    <xf numFmtId="165" fontId="33" fillId="2" borderId="0" xfId="0" applyNumberFormat="1" applyFont="1" applyFill="1" applyAlignment="1" applyProtection="1">
      <alignment vertical="center"/>
      <protection locked="0"/>
    </xf>
    <xf numFmtId="0" fontId="33" fillId="8" borderId="0" xfId="0" applyFont="1" applyFill="1" applyAlignment="1" applyProtection="1">
      <alignment vertical="center"/>
      <protection locked="0"/>
    </xf>
    <xf numFmtId="0" fontId="33" fillId="11" borderId="0" xfId="0" applyFont="1" applyFill="1" applyAlignment="1" applyProtection="1">
      <alignment vertical="center"/>
      <protection locked="0"/>
    </xf>
    <xf numFmtId="0" fontId="33" fillId="14" borderId="0" xfId="0" applyFont="1" applyFill="1" applyAlignment="1" applyProtection="1">
      <alignment vertical="center"/>
      <protection locked="0"/>
    </xf>
    <xf numFmtId="0" fontId="30" fillId="6" borderId="0" xfId="0" applyFont="1" applyFill="1" applyAlignment="1" applyProtection="1">
      <alignment horizontal="center" vertical="center"/>
      <protection locked="0"/>
    </xf>
    <xf numFmtId="0" fontId="33" fillId="6" borderId="0" xfId="0" applyFont="1" applyFill="1" applyAlignment="1" applyProtection="1">
      <alignment vertical="center"/>
      <protection locked="0"/>
    </xf>
    <xf numFmtId="0" fontId="29" fillId="20" borderId="4" xfId="0" applyFont="1" applyFill="1" applyBorder="1" applyAlignment="1" applyProtection="1">
      <alignment horizontal="center" vertical="center"/>
      <protection locked="0"/>
    </xf>
    <xf numFmtId="0" fontId="29" fillId="16" borderId="4" xfId="0" applyFont="1" applyFill="1" applyBorder="1" applyAlignment="1" applyProtection="1">
      <alignment horizontal="center" vertical="center"/>
      <protection locked="0"/>
    </xf>
    <xf numFmtId="165" fontId="29" fillId="16" borderId="4" xfId="0" applyNumberFormat="1" applyFont="1" applyFill="1" applyBorder="1" applyAlignment="1" applyProtection="1">
      <alignment horizontal="center" vertical="center"/>
      <protection locked="0"/>
    </xf>
    <xf numFmtId="164" fontId="29" fillId="16" borderId="4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0" borderId="7" xfId="0" applyFont="1" applyBorder="1" applyAlignment="1" applyProtection="1">
      <alignment horizontal="center" vertical="center"/>
      <protection locked="0"/>
    </xf>
    <xf numFmtId="164" fontId="34" fillId="0" borderId="11" xfId="0" applyNumberFormat="1" applyFont="1" applyBorder="1" applyAlignment="1" applyProtection="1">
      <alignment horizontal="center" vertical="center"/>
      <protection locked="0"/>
    </xf>
    <xf numFmtId="2" fontId="34" fillId="9" borderId="4" xfId="0" applyNumberFormat="1" applyFont="1" applyFill="1" applyBorder="1" applyAlignment="1" applyProtection="1">
      <alignment horizontal="center" vertical="center"/>
      <protection locked="0"/>
    </xf>
    <xf numFmtId="2" fontId="34" fillId="12" borderId="4" xfId="0" applyNumberFormat="1" applyFont="1" applyFill="1" applyBorder="1" applyAlignment="1" applyProtection="1">
      <alignment horizontal="center" vertical="center"/>
      <protection locked="0"/>
    </xf>
    <xf numFmtId="2" fontId="34" fillId="0" borderId="4" xfId="0" applyNumberFormat="1" applyFont="1" applyBorder="1" applyAlignment="1" applyProtection="1">
      <alignment horizontal="center" vertical="center"/>
      <protection locked="0"/>
    </xf>
    <xf numFmtId="0" fontId="47" fillId="6" borderId="0" xfId="0" applyFont="1" applyFill="1" applyProtection="1">
      <protection locked="0"/>
    </xf>
    <xf numFmtId="0" fontId="47" fillId="0" borderId="0" xfId="0" applyFont="1" applyProtection="1">
      <protection locked="0"/>
    </xf>
    <xf numFmtId="0" fontId="34" fillId="6" borderId="4" xfId="0" applyFont="1" applyFill="1" applyBorder="1" applyAlignment="1" applyProtection="1">
      <alignment horizontal="center" vertical="center" wrapText="1"/>
      <protection locked="0"/>
    </xf>
    <xf numFmtId="164" fontId="34" fillId="0" borderId="4" xfId="0" applyNumberFormat="1" applyFont="1" applyBorder="1" applyAlignment="1" applyProtection="1">
      <alignment horizontal="center" vertical="center"/>
      <protection locked="0"/>
    </xf>
    <xf numFmtId="2" fontId="45" fillId="0" borderId="4" xfId="0" applyNumberFormat="1" applyFont="1" applyBorder="1" applyAlignment="1" applyProtection="1">
      <alignment horizontal="center" vertical="center"/>
      <protection locked="0"/>
    </xf>
    <xf numFmtId="0" fontId="37" fillId="0" borderId="4" xfId="0" applyFont="1" applyBorder="1" applyAlignment="1" applyProtection="1">
      <alignment horizontal="center" vertical="center"/>
      <protection locked="0"/>
    </xf>
    <xf numFmtId="164" fontId="37" fillId="0" borderId="4" xfId="0" applyNumberFormat="1" applyFont="1" applyBorder="1" applyAlignment="1" applyProtection="1">
      <alignment horizontal="center" vertical="center"/>
      <protection locked="0"/>
    </xf>
    <xf numFmtId="165" fontId="34" fillId="0" borderId="4" xfId="0" applyNumberFormat="1" applyFont="1" applyBorder="1" applyAlignment="1" applyProtection="1">
      <alignment horizontal="center" vertical="center"/>
      <protection locked="0"/>
    </xf>
    <xf numFmtId="2" fontId="34" fillId="0" borderId="0" xfId="0" applyNumberFormat="1" applyFont="1" applyAlignment="1" applyProtection="1">
      <alignment horizontal="center" vertical="center"/>
      <protection locked="0"/>
    </xf>
    <xf numFmtId="2" fontId="34" fillId="9" borderId="7" xfId="0" applyNumberFormat="1" applyFont="1" applyFill="1" applyBorder="1" applyAlignment="1" applyProtection="1">
      <alignment horizontal="center" vertical="center"/>
      <protection locked="0"/>
    </xf>
    <xf numFmtId="2" fontId="34" fillId="0" borderId="7" xfId="0" applyNumberFormat="1" applyFont="1" applyBorder="1" applyAlignment="1" applyProtection="1">
      <alignment horizontal="center" vertical="center"/>
      <protection locked="0"/>
    </xf>
    <xf numFmtId="2" fontId="33" fillId="11" borderId="0" xfId="0" applyNumberFormat="1" applyFont="1" applyFill="1" applyAlignment="1" applyProtection="1">
      <alignment vertical="center"/>
      <protection locked="0"/>
    </xf>
    <xf numFmtId="165" fontId="34" fillId="0" borderId="12" xfId="0" applyNumberFormat="1" applyFont="1" applyBorder="1" applyAlignment="1" applyProtection="1">
      <alignment horizontal="center" vertical="center"/>
      <protection locked="0"/>
    </xf>
    <xf numFmtId="2" fontId="34" fillId="9" borderId="10" xfId="0" applyNumberFormat="1" applyFont="1" applyFill="1" applyBorder="1" applyAlignment="1" applyProtection="1">
      <alignment horizontal="center" vertical="center"/>
      <protection locked="0"/>
    </xf>
    <xf numFmtId="2" fontId="34" fillId="12" borderId="10" xfId="0" applyNumberFormat="1" applyFont="1" applyFill="1" applyBorder="1" applyAlignment="1" applyProtection="1">
      <alignment horizontal="center" vertical="center"/>
      <protection locked="0"/>
    </xf>
    <xf numFmtId="0" fontId="41" fillId="6" borderId="4" xfId="0" applyFont="1" applyFill="1" applyBorder="1" applyAlignment="1" applyProtection="1">
      <alignment horizontal="center" vertical="center" wrapText="1"/>
      <protection locked="0"/>
    </xf>
    <xf numFmtId="2" fontId="41" fillId="0" borderId="4" xfId="0" applyNumberFormat="1" applyFont="1" applyBorder="1" applyAlignment="1" applyProtection="1">
      <alignment horizontal="center" vertical="center"/>
      <protection locked="0"/>
    </xf>
    <xf numFmtId="164" fontId="41" fillId="0" borderId="4" xfId="0" applyNumberFormat="1" applyFont="1" applyBorder="1" applyAlignment="1" applyProtection="1">
      <alignment horizontal="center" vertical="center"/>
      <protection locked="0"/>
    </xf>
    <xf numFmtId="0" fontId="41" fillId="6" borderId="7" xfId="0" applyFont="1" applyFill="1" applyBorder="1" applyAlignment="1" applyProtection="1">
      <alignment horizontal="center" vertical="center" wrapText="1"/>
      <protection locked="0"/>
    </xf>
    <xf numFmtId="2" fontId="34" fillId="0" borderId="3" xfId="0" applyNumberFormat="1" applyFont="1" applyBorder="1" applyAlignment="1" applyProtection="1">
      <alignment horizontal="center" vertical="center"/>
      <protection locked="0"/>
    </xf>
    <xf numFmtId="0" fontId="45" fillId="6" borderId="4" xfId="0" applyFont="1" applyFill="1" applyBorder="1" applyAlignment="1" applyProtection="1">
      <alignment horizontal="center" vertical="center" wrapText="1"/>
      <protection locked="0"/>
    </xf>
    <xf numFmtId="0" fontId="37" fillId="0" borderId="4" xfId="0" applyFont="1" applyBorder="1" applyAlignment="1" applyProtection="1">
      <alignment horizontal="center" vertical="center" wrapText="1"/>
      <protection locked="0"/>
    </xf>
    <xf numFmtId="2" fontId="34" fillId="7" borderId="0" xfId="0" applyNumberFormat="1" applyFont="1" applyFill="1" applyAlignment="1" applyProtection="1">
      <alignment horizontal="center" vertical="center"/>
      <protection locked="0"/>
    </xf>
    <xf numFmtId="0" fontId="33" fillId="6" borderId="0" xfId="0" applyFont="1" applyFill="1" applyAlignment="1" applyProtection="1">
      <alignment horizontal="center" vertical="center"/>
      <protection locked="0"/>
    </xf>
    <xf numFmtId="0" fontId="34" fillId="6" borderId="0" xfId="0" applyFont="1" applyFill="1" applyAlignment="1" applyProtection="1">
      <alignment horizontal="center" vertical="center" wrapText="1"/>
      <protection locked="0"/>
    </xf>
    <xf numFmtId="0" fontId="41" fillId="0" borderId="4" xfId="0" applyFont="1" applyBorder="1" applyAlignment="1" applyProtection="1">
      <alignment horizontal="center" vertical="center" wrapText="1"/>
      <protection locked="0"/>
    </xf>
    <xf numFmtId="0" fontId="41" fillId="0" borderId="7" xfId="0" applyFont="1" applyBorder="1" applyAlignment="1" applyProtection="1">
      <alignment horizontal="center" vertical="center" wrapText="1"/>
      <protection locked="0"/>
    </xf>
    <xf numFmtId="0" fontId="41" fillId="17" borderId="9" xfId="0" applyFont="1" applyFill="1" applyBorder="1" applyAlignment="1" applyProtection="1">
      <alignment horizontal="center" vertical="center" wrapText="1"/>
      <protection locked="0"/>
    </xf>
    <xf numFmtId="2" fontId="41" fillId="0" borderId="9" xfId="0" applyNumberFormat="1" applyFont="1" applyBorder="1" applyAlignment="1" applyProtection="1">
      <alignment horizontal="center" vertical="center"/>
      <protection locked="0"/>
    </xf>
    <xf numFmtId="164" fontId="34" fillId="0" borderId="8" xfId="0" applyNumberFormat="1" applyFont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2" fontId="34" fillId="6" borderId="0" xfId="0" applyNumberFormat="1" applyFont="1" applyFill="1" applyAlignment="1" applyProtection="1">
      <alignment horizontal="center" vertical="center"/>
      <protection locked="0"/>
    </xf>
    <xf numFmtId="165" fontId="33" fillId="0" borderId="0" xfId="0" applyNumberFormat="1" applyFont="1" applyAlignment="1" applyProtection="1">
      <alignment vertical="center"/>
      <protection locked="0"/>
    </xf>
    <xf numFmtId="164" fontId="33" fillId="0" borderId="0" xfId="0" applyNumberFormat="1" applyFont="1" applyAlignment="1" applyProtection="1">
      <alignment vertical="center"/>
      <protection locked="0"/>
    </xf>
    <xf numFmtId="165" fontId="34" fillId="0" borderId="0" xfId="0" applyNumberFormat="1" applyFont="1" applyAlignment="1" applyProtection="1">
      <alignment horizontal="center" vertical="center"/>
      <protection locked="0"/>
    </xf>
    <xf numFmtId="164" fontId="34" fillId="0" borderId="0" xfId="0" applyNumberFormat="1" applyFont="1" applyAlignment="1" applyProtection="1">
      <alignment horizontal="center" vertical="center"/>
      <protection locked="0"/>
    </xf>
    <xf numFmtId="0" fontId="34" fillId="6" borderId="0" xfId="0" applyFont="1" applyFill="1" applyAlignment="1" applyProtection="1">
      <alignment horizontal="center" vertical="center"/>
      <protection locked="0"/>
    </xf>
    <xf numFmtId="165" fontId="34" fillId="6" borderId="0" xfId="0" applyNumberFormat="1" applyFont="1" applyFill="1" applyAlignment="1" applyProtection="1">
      <alignment horizontal="center" vertical="center"/>
      <protection locked="0"/>
    </xf>
    <xf numFmtId="164" fontId="34" fillId="6" borderId="0" xfId="0" applyNumberFormat="1" applyFont="1" applyFill="1" applyAlignment="1" applyProtection="1">
      <alignment horizontal="center" vertical="center"/>
      <protection locked="0"/>
    </xf>
    <xf numFmtId="164" fontId="41" fillId="0" borderId="8" xfId="0" applyNumberFormat="1" applyFont="1" applyBorder="1" applyAlignment="1" applyProtection="1">
      <alignment horizontal="center" vertical="center"/>
      <protection locked="0"/>
    </xf>
    <xf numFmtId="165" fontId="33" fillId="6" borderId="0" xfId="0" applyNumberFormat="1" applyFont="1" applyFill="1" applyAlignment="1" applyProtection="1">
      <alignment vertical="center"/>
      <protection locked="0"/>
    </xf>
    <xf numFmtId="164" fontId="33" fillId="6" borderId="0" xfId="0" applyNumberFormat="1" applyFont="1" applyFill="1" applyAlignment="1" applyProtection="1">
      <alignment vertical="center"/>
      <protection locked="0"/>
    </xf>
    <xf numFmtId="0" fontId="34" fillId="8" borderId="0" xfId="0" applyFont="1" applyFill="1" applyAlignment="1" applyProtection="1">
      <alignment horizontal="center" vertical="center"/>
      <protection locked="0"/>
    </xf>
    <xf numFmtId="0" fontId="34" fillId="11" borderId="0" xfId="0" applyFont="1" applyFill="1" applyAlignment="1" applyProtection="1">
      <alignment horizontal="center" vertical="center"/>
      <protection locked="0"/>
    </xf>
    <xf numFmtId="2" fontId="34" fillId="8" borderId="0" xfId="0" applyNumberFormat="1" applyFont="1" applyFill="1" applyAlignment="1" applyProtection="1">
      <alignment horizontal="center" vertical="center"/>
      <protection locked="0"/>
    </xf>
    <xf numFmtId="2" fontId="34" fillId="11" borderId="0" xfId="0" applyNumberFormat="1" applyFont="1" applyFill="1" applyAlignment="1" applyProtection="1">
      <alignment horizontal="center" vertical="center"/>
      <protection locked="0"/>
    </xf>
    <xf numFmtId="2" fontId="33" fillId="0" borderId="0" xfId="0" applyNumberFormat="1" applyFont="1" applyAlignment="1" applyProtection="1">
      <alignment vertical="center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34" fillId="2" borderId="0" xfId="0" applyFont="1" applyFill="1" applyAlignment="1" applyProtection="1">
      <alignment horizontal="left" vertical="center"/>
      <protection locked="0"/>
    </xf>
    <xf numFmtId="0" fontId="43" fillId="2" borderId="0" xfId="0" applyFont="1" applyFill="1" applyAlignment="1" applyProtection="1">
      <alignment horizontal="left" vertical="center"/>
      <protection locked="0"/>
    </xf>
    <xf numFmtId="0" fontId="43" fillId="2" borderId="0" xfId="0" applyFont="1" applyFill="1" applyAlignment="1" applyProtection="1">
      <alignment horizontal="center" vertical="center"/>
      <protection locked="0"/>
    </xf>
    <xf numFmtId="165" fontId="43" fillId="2" borderId="0" xfId="0" applyNumberFormat="1" applyFont="1" applyFill="1" applyAlignment="1" applyProtection="1">
      <alignment horizontal="center" vertical="center"/>
      <protection locked="0"/>
    </xf>
    <xf numFmtId="164" fontId="43" fillId="2" borderId="0" xfId="0" applyNumberFormat="1" applyFont="1" applyFill="1" applyAlignment="1" applyProtection="1">
      <alignment horizontal="center" vertical="center"/>
      <protection locked="0"/>
    </xf>
    <xf numFmtId="0" fontId="44" fillId="6" borderId="0" xfId="0" applyFont="1" applyFill="1" applyProtection="1">
      <protection locked="0"/>
    </xf>
    <xf numFmtId="2" fontId="33" fillId="6" borderId="0" xfId="0" applyNumberFormat="1" applyFont="1" applyFill="1" applyAlignment="1" applyProtection="1">
      <alignment vertical="center"/>
      <protection locked="0"/>
    </xf>
    <xf numFmtId="0" fontId="44" fillId="2" borderId="0" xfId="0" applyFont="1" applyFill="1" applyProtection="1">
      <protection locked="0"/>
    </xf>
    <xf numFmtId="0" fontId="33" fillId="2" borderId="0" xfId="0" applyFont="1" applyFill="1" applyProtection="1">
      <protection locked="0"/>
    </xf>
    <xf numFmtId="0" fontId="45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vertical="center"/>
      <protection locked="0"/>
    </xf>
    <xf numFmtId="0" fontId="45" fillId="0" borderId="0" xfId="0" applyFont="1" applyAlignment="1" applyProtection="1">
      <alignment horizontal="left" vertical="center"/>
      <protection locked="0"/>
    </xf>
    <xf numFmtId="165" fontId="30" fillId="0" borderId="0" xfId="0" applyNumberFormat="1" applyFont="1" applyAlignment="1" applyProtection="1">
      <alignment vertical="center"/>
      <protection locked="0"/>
    </xf>
    <xf numFmtId="2" fontId="30" fillId="0" borderId="0" xfId="0" applyNumberFormat="1" applyFont="1" applyAlignment="1" applyProtection="1">
      <alignment vertical="center"/>
      <protection locked="0"/>
    </xf>
    <xf numFmtId="2" fontId="30" fillId="8" borderId="0" xfId="0" applyNumberFormat="1" applyFont="1" applyFill="1" applyAlignment="1" applyProtection="1">
      <alignment vertical="center"/>
      <protection locked="0"/>
    </xf>
    <xf numFmtId="2" fontId="30" fillId="2" borderId="0" xfId="0" applyNumberFormat="1" applyFont="1" applyFill="1" applyAlignment="1" applyProtection="1">
      <alignment vertical="center"/>
      <protection locked="0"/>
    </xf>
    <xf numFmtId="0" fontId="47" fillId="0" borderId="7" xfId="0" applyFont="1" applyBorder="1" applyAlignment="1" applyProtection="1">
      <alignment horizontal="center"/>
      <protection locked="0"/>
    </xf>
    <xf numFmtId="0" fontId="47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47" fillId="0" borderId="10" xfId="0" applyFont="1" applyBorder="1" applyProtection="1">
      <protection locked="0"/>
    </xf>
    <xf numFmtId="0" fontId="50" fillId="15" borderId="5" xfId="0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165" fontId="43" fillId="0" borderId="0" xfId="0" applyNumberFormat="1" applyFont="1" applyAlignment="1" applyProtection="1">
      <alignment horizontal="center" vertical="center"/>
      <protection locked="0"/>
    </xf>
    <xf numFmtId="164" fontId="43" fillId="0" borderId="0" xfId="0" applyNumberFormat="1" applyFont="1" applyAlignment="1" applyProtection="1">
      <alignment horizontal="center" vertical="center"/>
      <protection locked="0"/>
    </xf>
    <xf numFmtId="16" fontId="34" fillId="21" borderId="0" xfId="0" applyNumberFormat="1" applyFont="1" applyFill="1" applyAlignment="1" applyProtection="1">
      <alignment horizontal="right" vertical="center"/>
      <protection locked="0"/>
    </xf>
    <xf numFmtId="16" fontId="33" fillId="2" borderId="0" xfId="0" applyNumberFormat="1" applyFont="1" applyFill="1" applyAlignment="1" applyProtection="1">
      <alignment vertical="center"/>
      <protection locked="0"/>
    </xf>
    <xf numFmtId="2" fontId="0" fillId="0" borderId="4" xfId="0" applyNumberFormat="1" applyBorder="1" applyAlignment="1">
      <alignment horizontal="center"/>
    </xf>
    <xf numFmtId="0" fontId="40" fillId="10" borderId="12" xfId="0" applyFont="1" applyFill="1" applyBorder="1" applyAlignment="1" applyProtection="1">
      <alignment vertical="center"/>
      <protection locked="0"/>
    </xf>
    <xf numFmtId="0" fontId="40" fillId="10" borderId="14" xfId="0" applyFont="1" applyFill="1" applyBorder="1" applyAlignment="1" applyProtection="1">
      <alignment vertical="center"/>
      <protection locked="0"/>
    </xf>
    <xf numFmtId="0" fontId="40" fillId="15" borderId="5" xfId="0" applyFont="1" applyFill="1" applyBorder="1" applyAlignment="1" applyProtection="1">
      <alignment horizontal="left" vertical="center"/>
      <protection locked="0"/>
    </xf>
    <xf numFmtId="0" fontId="48" fillId="0" borderId="4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2" fontId="30" fillId="2" borderId="0" xfId="0" applyNumberFormat="1" applyFont="1" applyFill="1" applyAlignment="1" applyProtection="1">
      <alignment horizontal="left" vertical="center"/>
      <protection locked="0"/>
    </xf>
    <xf numFmtId="2" fontId="0" fillId="10" borderId="0" xfId="0" applyNumberFormat="1" applyFill="1" applyAlignment="1">
      <alignment horizontal="center"/>
    </xf>
    <xf numFmtId="4" fontId="0" fillId="10" borderId="0" xfId="0" applyNumberFormat="1" applyFill="1" applyAlignment="1">
      <alignment horizontal="center"/>
    </xf>
    <xf numFmtId="4" fontId="0" fillId="0" borderId="4" xfId="0" applyNumberFormat="1" applyBorder="1" applyAlignment="1">
      <alignment horizontal="center"/>
    </xf>
    <xf numFmtId="2" fontId="40" fillId="10" borderId="14" xfId="0" applyNumberFormat="1" applyFont="1" applyFill="1" applyBorder="1" applyAlignment="1" applyProtection="1">
      <alignment horizontal="center" vertical="center"/>
      <protection locked="0"/>
    </xf>
    <xf numFmtId="4" fontId="40" fillId="10" borderId="14" xfId="0" applyNumberFormat="1" applyFont="1" applyFill="1" applyBorder="1" applyAlignment="1" applyProtection="1">
      <alignment horizontal="center" vertical="center"/>
      <protection locked="0"/>
    </xf>
    <xf numFmtId="0" fontId="40" fillId="0" borderId="14" xfId="0" applyFont="1" applyBorder="1" applyAlignment="1" applyProtection="1">
      <alignment vertical="center"/>
      <protection locked="0"/>
    </xf>
    <xf numFmtId="0" fontId="47" fillId="0" borderId="4" xfId="0" applyFont="1" applyBorder="1" applyAlignment="1" applyProtection="1">
      <alignment horizontal="center"/>
      <protection locked="0"/>
    </xf>
    <xf numFmtId="0" fontId="47" fillId="0" borderId="10" xfId="0" applyFont="1" applyBorder="1" applyAlignment="1" applyProtection="1">
      <alignment horizontal="center"/>
      <protection locked="0"/>
    </xf>
    <xf numFmtId="164" fontId="31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47" fillId="0" borderId="10" xfId="0" applyFont="1" applyBorder="1" applyAlignment="1" applyProtection="1">
      <alignment horizontal="center"/>
      <protection locked="0"/>
    </xf>
    <xf numFmtId="0" fontId="47" fillId="0" borderId="7" xfId="0" applyFont="1" applyBorder="1" applyAlignment="1" applyProtection="1">
      <alignment horizontal="center"/>
      <protection locked="0"/>
    </xf>
    <xf numFmtId="0" fontId="10" fillId="2" borderId="6" xfId="0" applyFont="1" applyFill="1" applyBorder="1" applyAlignment="1" applyProtection="1">
      <alignment horizontal="center"/>
      <protection locked="0"/>
    </xf>
    <xf numFmtId="0" fontId="10" fillId="2" borderId="15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10" fillId="2" borderId="2" xfId="0" applyFont="1" applyFill="1" applyBorder="1" applyAlignment="1" applyProtection="1">
      <alignment horizontal="center"/>
      <protection locked="0"/>
    </xf>
    <xf numFmtId="0" fontId="10" fillId="2" borderId="14" xfId="0" applyFont="1" applyFill="1" applyBorder="1" applyAlignment="1" applyProtection="1">
      <alignment horizontal="center"/>
      <protection locked="0"/>
    </xf>
    <xf numFmtId="0" fontId="10" fillId="2" borderId="11" xfId="0" applyFont="1" applyFill="1" applyBorder="1" applyAlignment="1" applyProtection="1">
      <alignment horizontal="center"/>
      <protection locked="0"/>
    </xf>
    <xf numFmtId="0" fontId="47" fillId="2" borderId="6" xfId="0" applyFont="1" applyFill="1" applyBorder="1" applyAlignment="1" applyProtection="1">
      <alignment horizontal="center"/>
      <protection locked="0"/>
    </xf>
    <xf numFmtId="0" fontId="47" fillId="2" borderId="15" xfId="0" applyFont="1" applyFill="1" applyBorder="1" applyAlignment="1" applyProtection="1">
      <alignment horizontal="center"/>
      <protection locked="0"/>
    </xf>
    <xf numFmtId="0" fontId="47" fillId="2" borderId="0" xfId="0" applyFont="1" applyFill="1" applyAlignment="1" applyProtection="1">
      <alignment horizontal="center"/>
      <protection locked="0"/>
    </xf>
    <xf numFmtId="0" fontId="47" fillId="2" borderId="2" xfId="0" applyFont="1" applyFill="1" applyBorder="1" applyAlignment="1" applyProtection="1">
      <alignment horizontal="center"/>
      <protection locked="0"/>
    </xf>
    <xf numFmtId="0" fontId="47" fillId="2" borderId="14" xfId="0" applyFont="1" applyFill="1" applyBorder="1" applyAlignment="1" applyProtection="1">
      <alignment horizontal="center"/>
      <protection locked="0"/>
    </xf>
    <xf numFmtId="0" fontId="47" fillId="2" borderId="11" xfId="0" applyFont="1" applyFill="1" applyBorder="1" applyAlignment="1" applyProtection="1">
      <alignment horizontal="center"/>
      <protection locked="0"/>
    </xf>
    <xf numFmtId="0" fontId="50" fillId="15" borderId="12" xfId="0" applyFont="1" applyFill="1" applyBorder="1" applyAlignment="1" applyProtection="1">
      <alignment horizontal="left" vertical="center"/>
      <protection locked="0"/>
    </xf>
    <xf numFmtId="0" fontId="50" fillId="15" borderId="14" xfId="0" applyFont="1" applyFill="1" applyBorder="1" applyAlignment="1" applyProtection="1">
      <alignment horizontal="left" vertical="center"/>
      <protection locked="0"/>
    </xf>
    <xf numFmtId="0" fontId="33" fillId="6" borderId="0" xfId="0" applyFont="1" applyFill="1" applyAlignment="1" applyProtection="1">
      <alignment horizontal="left" vertical="center"/>
      <protection locked="0"/>
    </xf>
    <xf numFmtId="0" fontId="33" fillId="6" borderId="0" xfId="0" applyFont="1" applyFill="1" applyAlignment="1" applyProtection="1">
      <alignment horizontal="center" vertical="center"/>
      <protection locked="0"/>
    </xf>
    <xf numFmtId="0" fontId="33" fillId="6" borderId="0" xfId="0" applyFont="1" applyFill="1" applyAlignment="1" applyProtection="1">
      <alignment horizontal="center"/>
      <protection locked="0"/>
    </xf>
    <xf numFmtId="0" fontId="38" fillId="0" borderId="0" xfId="0" applyFont="1" applyAlignment="1" applyProtection="1">
      <alignment horizontal="left" vertical="center"/>
      <protection locked="0"/>
    </xf>
    <xf numFmtId="0" fontId="34" fillId="6" borderId="0" xfId="0" applyFont="1" applyFill="1" applyAlignment="1" applyProtection="1">
      <alignment horizontal="center" vertical="center"/>
      <protection locked="0"/>
    </xf>
    <xf numFmtId="0" fontId="34" fillId="6" borderId="0" xfId="0" applyFont="1" applyFill="1" applyAlignment="1" applyProtection="1">
      <alignment horizontal="left" vertical="center"/>
      <protection locked="0"/>
    </xf>
    <xf numFmtId="0" fontId="45" fillId="0" borderId="0" xfId="0" applyFont="1" applyAlignment="1" applyProtection="1">
      <alignment horizontal="left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33" fillId="6" borderId="0" xfId="0" applyFont="1" applyFill="1" applyAlignment="1" applyProtection="1">
      <alignment horizontal="left" vertical="center" wrapText="1"/>
      <protection locked="0"/>
    </xf>
    <xf numFmtId="0" fontId="28" fillId="6" borderId="0" xfId="0" applyFont="1" applyFill="1" applyAlignment="1" applyProtection="1">
      <alignment horizontal="center" vertical="center"/>
      <protection locked="0"/>
    </xf>
    <xf numFmtId="0" fontId="49" fillId="6" borderId="0" xfId="0" quotePrefix="1" applyFont="1" applyFill="1" applyAlignment="1" applyProtection="1">
      <alignment horizontal="left"/>
      <protection locked="0"/>
    </xf>
    <xf numFmtId="0" fontId="48" fillId="6" borderId="0" xfId="0" applyFont="1" applyFill="1" applyAlignment="1" applyProtection="1">
      <alignment horizontal="left"/>
      <protection locked="0"/>
    </xf>
    <xf numFmtId="2" fontId="16" fillId="7" borderId="4" xfId="0" applyNumberFormat="1" applyFont="1" applyFill="1" applyBorder="1" applyAlignment="1" applyProtection="1">
      <alignment horizontal="center" vertical="center"/>
      <protection locked="0"/>
    </xf>
    <xf numFmtId="0" fontId="47" fillId="0" borderId="3" xfId="0" applyFont="1" applyBorder="1" applyAlignment="1" applyProtection="1">
      <alignment horizontal="center"/>
      <protection locked="0"/>
    </xf>
    <xf numFmtId="0" fontId="41" fillId="6" borderId="10" xfId="0" applyFont="1" applyFill="1" applyBorder="1" applyAlignment="1" applyProtection="1">
      <alignment horizontal="center" vertical="center" wrapText="1"/>
      <protection locked="0"/>
    </xf>
    <xf numFmtId="0" fontId="41" fillId="6" borderId="3" xfId="0" applyFont="1" applyFill="1" applyBorder="1" applyAlignment="1" applyProtection="1">
      <alignment horizontal="center" vertical="center" wrapText="1"/>
      <protection locked="0"/>
    </xf>
    <xf numFmtId="0" fontId="41" fillId="6" borderId="7" xfId="0" applyFont="1" applyFill="1" applyBorder="1" applyAlignment="1" applyProtection="1">
      <alignment horizontal="center" vertical="center" wrapText="1"/>
      <protection locked="0"/>
    </xf>
    <xf numFmtId="0" fontId="64" fillId="6" borderId="0" xfId="0" applyFont="1" applyFill="1" applyAlignment="1" applyProtection="1">
      <alignment horizontal="left" vertical="top"/>
      <protection locked="0"/>
    </xf>
    <xf numFmtId="0" fontId="52" fillId="17" borderId="0" xfId="0" applyFont="1" applyFill="1" applyAlignment="1" applyProtection="1">
      <alignment horizontal="center" vertical="center"/>
      <protection locked="0"/>
    </xf>
    <xf numFmtId="0" fontId="52" fillId="17" borderId="2" xfId="0" applyFont="1" applyFill="1" applyBorder="1" applyAlignment="1" applyProtection="1">
      <alignment horizontal="center" vertical="center"/>
      <protection locked="0"/>
    </xf>
    <xf numFmtId="0" fontId="41" fillId="7" borderId="10" xfId="0" applyFont="1" applyFill="1" applyBorder="1" applyAlignment="1" applyProtection="1">
      <alignment horizontal="center" vertical="center" wrapText="1"/>
      <protection locked="0"/>
    </xf>
    <xf numFmtId="0" fontId="41" fillId="7" borderId="3" xfId="0" applyFont="1" applyFill="1" applyBorder="1" applyAlignment="1" applyProtection="1">
      <alignment horizontal="center" vertical="center" wrapText="1"/>
      <protection locked="0"/>
    </xf>
    <xf numFmtId="0" fontId="10" fillId="6" borderId="4" xfId="0" applyFont="1" applyFill="1" applyBorder="1" applyAlignment="1" applyProtection="1">
      <alignment horizontal="center" vertical="center"/>
      <protection locked="0"/>
    </xf>
    <xf numFmtId="0" fontId="41" fillId="7" borderId="7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Border="1" applyAlignment="1" applyProtection="1">
      <alignment horizontal="center" vertical="center"/>
      <protection locked="0"/>
    </xf>
    <xf numFmtId="0" fontId="47" fillId="0" borderId="3" xfId="0" applyFont="1" applyBorder="1" applyAlignment="1" applyProtection="1">
      <alignment horizontal="center" vertical="center"/>
      <protection locked="0"/>
    </xf>
    <xf numFmtId="0" fontId="47" fillId="0" borderId="7" xfId="0" applyFont="1" applyBorder="1" applyAlignment="1" applyProtection="1">
      <alignment horizontal="center" vertical="center"/>
      <protection locked="0"/>
    </xf>
    <xf numFmtId="0" fontId="34" fillId="6" borderId="10" xfId="0" applyFont="1" applyFill="1" applyBorder="1" applyAlignment="1" applyProtection="1">
      <alignment horizontal="center" vertical="center" wrapText="1"/>
      <protection locked="0"/>
    </xf>
    <xf numFmtId="0" fontId="34" fillId="6" borderId="3" xfId="0" applyFont="1" applyFill="1" applyBorder="1" applyAlignment="1" applyProtection="1">
      <alignment horizontal="center" vertical="center" wrapText="1"/>
      <protection locked="0"/>
    </xf>
    <xf numFmtId="0" fontId="34" fillId="6" borderId="7" xfId="0" applyFont="1" applyFill="1" applyBorder="1" applyAlignment="1" applyProtection="1">
      <alignment horizontal="center" vertical="center" wrapText="1"/>
      <protection locked="0"/>
    </xf>
    <xf numFmtId="0" fontId="32" fillId="6" borderId="4" xfId="0" applyFont="1" applyFill="1" applyBorder="1" applyAlignment="1" applyProtection="1">
      <alignment horizontal="center" vertical="center"/>
      <protection locked="0"/>
    </xf>
    <xf numFmtId="0" fontId="53" fillId="6" borderId="4" xfId="0" applyFont="1" applyFill="1" applyBorder="1" applyAlignment="1" applyProtection="1">
      <alignment horizontal="center" vertical="center"/>
      <protection locked="0"/>
    </xf>
    <xf numFmtId="0" fontId="16" fillId="6" borderId="4" xfId="0" applyFont="1" applyFill="1" applyBorder="1" applyAlignment="1" applyProtection="1">
      <alignment horizontal="center" vertical="center"/>
      <protection locked="0"/>
    </xf>
    <xf numFmtId="0" fontId="41" fillId="0" borderId="10" xfId="0" applyFont="1" applyBorder="1" applyAlignment="1" applyProtection="1">
      <alignment horizontal="center" vertical="center" wrapText="1"/>
      <protection locked="0"/>
    </xf>
    <xf numFmtId="0" fontId="41" fillId="0" borderId="3" xfId="0" applyFont="1" applyBorder="1" applyAlignment="1" applyProtection="1">
      <alignment horizontal="center" vertical="center" wrapText="1"/>
      <protection locked="0"/>
    </xf>
    <xf numFmtId="0" fontId="41" fillId="0" borderId="7" xfId="0" applyFont="1" applyBorder="1" applyAlignment="1" applyProtection="1">
      <alignment horizontal="center" vertical="center" wrapText="1"/>
      <protection locked="0"/>
    </xf>
    <xf numFmtId="0" fontId="34" fillId="0" borderId="10" xfId="0" applyFont="1" applyBorder="1" applyAlignment="1" applyProtection="1">
      <alignment horizontal="center" vertical="center" wrapText="1"/>
      <protection locked="0"/>
    </xf>
    <xf numFmtId="0" fontId="34" fillId="0" borderId="3" xfId="0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center" vertical="center" wrapText="1"/>
      <protection locked="0"/>
    </xf>
    <xf numFmtId="0" fontId="48" fillId="6" borderId="0" xfId="0" applyFont="1" applyFill="1" applyAlignment="1">
      <alignment horizontal="left"/>
    </xf>
    <xf numFmtId="0" fontId="48" fillId="6" borderId="0" xfId="0" applyFont="1" applyFill="1" applyAlignment="1">
      <alignment horizontal="left" vertical="top"/>
    </xf>
    <xf numFmtId="0" fontId="48" fillId="6" borderId="0" xfId="0" applyFont="1" applyFill="1" applyAlignment="1">
      <alignment horizontal="center"/>
    </xf>
    <xf numFmtId="0" fontId="48" fillId="6" borderId="0" xfId="0" applyFont="1" applyFill="1" applyAlignment="1">
      <alignment horizontal="left" vertical="center"/>
    </xf>
    <xf numFmtId="0" fontId="50" fillId="21" borderId="0" xfId="0" applyFont="1" applyFill="1" applyAlignment="1">
      <alignment horizontal="left" vertical="center"/>
    </xf>
    <xf numFmtId="0" fontId="49" fillId="6" borderId="0" xfId="0" applyFont="1" applyFill="1" applyAlignment="1">
      <alignment horizontal="left"/>
    </xf>
    <xf numFmtId="0" fontId="48" fillId="13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left" vertical="top"/>
    </xf>
    <xf numFmtId="0" fontId="46" fillId="0" borderId="4" xfId="0" applyFont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0" fontId="50" fillId="10" borderId="0" xfId="0" applyFont="1" applyFill="1" applyAlignment="1">
      <alignment horizontal="left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0" fillId="10" borderId="14" xfId="0" applyFont="1" applyFill="1" applyBorder="1" applyAlignment="1">
      <alignment horizontal="center" vertical="center"/>
    </xf>
  </cellXfs>
  <cellStyles count="1438"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" xfId="157" builtinId="8" hidden="1"/>
    <cellStyle name="Hiperlink" xfId="159" builtinId="8" hidden="1"/>
    <cellStyle name="Hiperlink" xfId="161" builtinId="8" hidden="1"/>
    <cellStyle name="Hiperlink" xfId="163" builtinId="8" hidden="1"/>
    <cellStyle name="Hiperlink" xfId="165" builtinId="8" hidden="1"/>
    <cellStyle name="Hiperlink" xfId="167" builtinId="8" hidden="1"/>
    <cellStyle name="Hiperlink" xfId="169" builtinId="8" hidden="1"/>
    <cellStyle name="Hiperlink" xfId="171" builtinId="8" hidden="1"/>
    <cellStyle name="Hiperlink" xfId="173" builtinId="8" hidden="1"/>
    <cellStyle name="Hiperlink" xfId="175" builtinId="8" hidden="1"/>
    <cellStyle name="Hiperlink" xfId="177" builtinId="8" hidden="1"/>
    <cellStyle name="Hiperlink" xfId="179" builtinId="8" hidden="1"/>
    <cellStyle name="Hiperlink" xfId="181" builtinId="8" hidden="1"/>
    <cellStyle name="Hiperlink" xfId="183" builtinId="8" hidden="1"/>
    <cellStyle name="Hiperlink" xfId="185" builtinId="8" hidden="1"/>
    <cellStyle name="Hiperlink" xfId="187" builtinId="8" hidden="1"/>
    <cellStyle name="Hiperlink" xfId="189" builtinId="8" hidden="1"/>
    <cellStyle name="Hiperlink" xfId="191" builtinId="8" hidden="1"/>
    <cellStyle name="Hiperlink" xfId="193" builtinId="8" hidden="1"/>
    <cellStyle name="Hiperlink" xfId="195" builtinId="8" hidden="1"/>
    <cellStyle name="Hiperlink" xfId="197" builtinId="8" hidden="1"/>
    <cellStyle name="Hiperlink" xfId="199" builtinId="8" hidden="1"/>
    <cellStyle name="Hiperlink" xfId="201" builtinId="8" hidden="1"/>
    <cellStyle name="Hiperlink" xfId="203" builtinId="8" hidden="1"/>
    <cellStyle name="Hiperlink" xfId="205" builtinId="8" hidden="1"/>
    <cellStyle name="Hiperlink" xfId="207" builtinId="8" hidden="1"/>
    <cellStyle name="Hiperlink" xfId="209" builtinId="8" hidden="1"/>
    <cellStyle name="Hiperlink" xfId="211" builtinId="8" hidden="1"/>
    <cellStyle name="Hiperlink" xfId="213" builtinId="8" hidden="1"/>
    <cellStyle name="Hiperlink" xfId="215" builtinId="8" hidden="1"/>
    <cellStyle name="Hiperlink" xfId="217" builtinId="8" hidden="1"/>
    <cellStyle name="Hiperlink" xfId="219" builtinId="8" hidden="1"/>
    <cellStyle name="Hiperlink" xfId="221" builtinId="8" hidden="1"/>
    <cellStyle name="Hiperlink" xfId="223" builtinId="8" hidden="1"/>
    <cellStyle name="Hiperlink" xfId="225" builtinId="8" hidden="1"/>
    <cellStyle name="Hiperlink" xfId="227" builtinId="8" hidden="1"/>
    <cellStyle name="Hiperlink" xfId="229" builtinId="8" hidden="1"/>
    <cellStyle name="Hiperlink" xfId="231" builtinId="8" hidden="1"/>
    <cellStyle name="Hiperlink" xfId="233" builtinId="8" hidden="1"/>
    <cellStyle name="Hiperlink" xfId="235" builtinId="8" hidden="1"/>
    <cellStyle name="Hiperlink" xfId="237" builtinId="8" hidden="1"/>
    <cellStyle name="Hiperlink" xfId="239" builtinId="8" hidden="1"/>
    <cellStyle name="Hiperlink" xfId="241" builtinId="8" hidden="1"/>
    <cellStyle name="Hiperlink" xfId="243" builtinId="8" hidden="1"/>
    <cellStyle name="Hiperlink" xfId="245" builtinId="8" hidden="1"/>
    <cellStyle name="Hiperlink" xfId="247" builtinId="8" hidden="1"/>
    <cellStyle name="Hiperlink" xfId="249" builtinId="8" hidden="1"/>
    <cellStyle name="Hiperlink" xfId="251" builtinId="8" hidden="1"/>
    <cellStyle name="Hiperlink" xfId="253" builtinId="8" hidden="1"/>
    <cellStyle name="Hiperlink" xfId="255" builtinId="8" hidden="1"/>
    <cellStyle name="Hiperlink" xfId="257" builtinId="8" hidden="1"/>
    <cellStyle name="Hiperlink" xfId="259" builtinId="8" hidden="1"/>
    <cellStyle name="Hiperlink" xfId="261" builtinId="8" hidden="1"/>
    <cellStyle name="Hiperlink" xfId="263" builtinId="8" hidden="1"/>
    <cellStyle name="Hiperlink" xfId="265" builtinId="8" hidden="1"/>
    <cellStyle name="Hiperlink" xfId="267" builtinId="8" hidden="1"/>
    <cellStyle name="Hiperlink" xfId="269" builtinId="8" hidden="1"/>
    <cellStyle name="Hiperlink" xfId="271" builtinId="8" hidden="1"/>
    <cellStyle name="Hiperlink" xfId="273" builtinId="8" hidden="1"/>
    <cellStyle name="Hiperlink" xfId="275" builtinId="8" hidden="1"/>
    <cellStyle name="Hiperlink" xfId="277" builtinId="8" hidden="1"/>
    <cellStyle name="Hiperlink" xfId="279" builtinId="8" hidden="1"/>
    <cellStyle name="Hiperlink" xfId="281" builtinId="8" hidden="1"/>
    <cellStyle name="Hiperlink" xfId="283" builtinId="8" hidden="1"/>
    <cellStyle name="Hiperlink" xfId="285" builtinId="8" hidden="1"/>
    <cellStyle name="Hiperlink" xfId="287" builtinId="8" hidden="1"/>
    <cellStyle name="Hiperlink" xfId="289" builtinId="8" hidden="1"/>
    <cellStyle name="Hiperlink" xfId="291" builtinId="8" hidden="1"/>
    <cellStyle name="Hiperlink" xfId="293" builtinId="8" hidden="1"/>
    <cellStyle name="Hiperlink" xfId="295" builtinId="8" hidden="1"/>
    <cellStyle name="Hiperlink" xfId="297" builtinId="8" hidden="1"/>
    <cellStyle name="Hiperlink" xfId="299" builtinId="8" hidden="1"/>
    <cellStyle name="Hiperlink" xfId="301" builtinId="8" hidden="1"/>
    <cellStyle name="Hiperlink" xfId="303" builtinId="8" hidden="1"/>
    <cellStyle name="Hiperlink" xfId="305" builtinId="8" hidden="1"/>
    <cellStyle name="Hiperlink" xfId="307" builtinId="8" hidden="1"/>
    <cellStyle name="Hiperlink" xfId="309" builtinId="8" hidden="1"/>
    <cellStyle name="Hiperlink" xfId="311" builtinId="8" hidden="1"/>
    <cellStyle name="Hiperlink" xfId="313" builtinId="8" hidden="1"/>
    <cellStyle name="Hiperlink" xfId="315" builtinId="8" hidden="1"/>
    <cellStyle name="Hiperlink" xfId="317" builtinId="8" hidden="1"/>
    <cellStyle name="Hiperlink" xfId="319" builtinId="8" hidden="1"/>
    <cellStyle name="Hiperlink" xfId="321" builtinId="8" hidden="1"/>
    <cellStyle name="Hiperlink" xfId="323" builtinId="8" hidden="1"/>
    <cellStyle name="Hiperlink" xfId="325" builtinId="8" hidden="1"/>
    <cellStyle name="Hiperlink" xfId="327" builtinId="8" hidden="1"/>
    <cellStyle name="Hiperlink" xfId="329" builtinId="8" hidden="1"/>
    <cellStyle name="Hiperlink" xfId="331" builtinId="8" hidden="1"/>
    <cellStyle name="Hiperlink" xfId="333" builtinId="8" hidden="1"/>
    <cellStyle name="Hiperlink" xfId="335" builtinId="8" hidden="1"/>
    <cellStyle name="Hiperlink" xfId="337" builtinId="8" hidden="1"/>
    <cellStyle name="Hiperlink" xfId="339" builtinId="8" hidden="1"/>
    <cellStyle name="Hiperlink" xfId="341" builtinId="8" hidden="1"/>
    <cellStyle name="Hiperlink" xfId="343" builtinId="8" hidden="1"/>
    <cellStyle name="Hiperlink" xfId="345" builtinId="8" hidden="1"/>
    <cellStyle name="Hiperlink" xfId="347" builtinId="8" hidden="1"/>
    <cellStyle name="Hiperlink" xfId="349" builtinId="8" hidden="1"/>
    <cellStyle name="Hiperlink" xfId="351" builtinId="8" hidden="1"/>
    <cellStyle name="Hiperlink" xfId="353" builtinId="8" hidden="1"/>
    <cellStyle name="Hiperlink" xfId="355" builtinId="8" hidden="1"/>
    <cellStyle name="Hiperlink" xfId="357" builtinId="8" hidden="1"/>
    <cellStyle name="Hiperlink" xfId="359" builtinId="8" hidden="1"/>
    <cellStyle name="Hiperlink" xfId="361" builtinId="8" hidden="1"/>
    <cellStyle name="Hiperlink" xfId="363" builtinId="8" hidden="1"/>
    <cellStyle name="Hiperlink" xfId="365" builtinId="8" hidden="1"/>
    <cellStyle name="Hiperlink" xfId="367" builtinId="8" hidden="1"/>
    <cellStyle name="Hiperlink" xfId="369" builtinId="8" hidden="1"/>
    <cellStyle name="Hiperlink" xfId="371" builtinId="8" hidden="1"/>
    <cellStyle name="Hiperlink" xfId="373" builtinId="8" hidden="1"/>
    <cellStyle name="Hiperlink" xfId="375" builtinId="8" hidden="1"/>
    <cellStyle name="Hiperlink" xfId="377" builtinId="8" hidden="1"/>
    <cellStyle name="Hiperlink" xfId="379" builtinId="8" hidden="1"/>
    <cellStyle name="Hiperlink" xfId="381" builtinId="8" hidden="1"/>
    <cellStyle name="Hiperlink" xfId="383" builtinId="8" hidden="1"/>
    <cellStyle name="Hiperlink" xfId="385" builtinId="8" hidden="1"/>
    <cellStyle name="Hiperlink" xfId="387" builtinId="8" hidden="1"/>
    <cellStyle name="Hiperlink" xfId="389" builtinId="8" hidden="1"/>
    <cellStyle name="Hiperlink" xfId="391" builtinId="8" hidden="1"/>
    <cellStyle name="Hiperlink" xfId="393" builtinId="8" hidden="1"/>
    <cellStyle name="Hiperlink" xfId="395" builtinId="8" hidden="1"/>
    <cellStyle name="Hiperlink" xfId="397" builtinId="8" hidden="1"/>
    <cellStyle name="Hiperlink" xfId="399" builtinId="8" hidden="1"/>
    <cellStyle name="Hiperlink" xfId="401" builtinId="8" hidden="1"/>
    <cellStyle name="Hiperlink" xfId="403" builtinId="8" hidden="1"/>
    <cellStyle name="Hiperlink" xfId="405" builtinId="8" hidden="1"/>
    <cellStyle name="Hiperlink" xfId="407" builtinId="8" hidden="1"/>
    <cellStyle name="Hiperlink" xfId="409" builtinId="8" hidden="1"/>
    <cellStyle name="Hiperlink" xfId="411" builtinId="8" hidden="1"/>
    <cellStyle name="Hiperlink" xfId="413" builtinId="8" hidden="1"/>
    <cellStyle name="Hiperlink" xfId="415" builtinId="8" hidden="1"/>
    <cellStyle name="Hiperlink" xfId="417" builtinId="8" hidden="1"/>
    <cellStyle name="Hiperlink" xfId="419" builtinId="8" hidden="1"/>
    <cellStyle name="Hiperlink" xfId="421" builtinId="8" hidden="1"/>
    <cellStyle name="Hiperlink" xfId="423" builtinId="8" hidden="1"/>
    <cellStyle name="Hiperlink" xfId="425" builtinId="8" hidden="1"/>
    <cellStyle name="Hiperlink" xfId="427" builtinId="8" hidden="1"/>
    <cellStyle name="Hiperlink" xfId="429" builtinId="8" hidden="1"/>
    <cellStyle name="Hiperlink" xfId="431" builtinId="8" hidden="1"/>
    <cellStyle name="Hiperlink" xfId="433" builtinId="8" hidden="1"/>
    <cellStyle name="Hiperlink" xfId="435" builtinId="8" hidden="1"/>
    <cellStyle name="Hiperlink" xfId="437" builtinId="8" hidden="1"/>
    <cellStyle name="Hiperlink" xfId="439" builtinId="8" hidden="1"/>
    <cellStyle name="Hiperlink" xfId="441" builtinId="8" hidden="1"/>
    <cellStyle name="Hiperlink" xfId="443" builtinId="8" hidden="1"/>
    <cellStyle name="Hiperlink" xfId="445" builtinId="8" hidden="1"/>
    <cellStyle name="Hiperlink" xfId="447" builtinId="8" hidden="1"/>
    <cellStyle name="Hiperlink" xfId="449" builtinId="8" hidden="1"/>
    <cellStyle name="Hiperlink" xfId="451" builtinId="8" hidden="1"/>
    <cellStyle name="Hiperlink" xfId="453" builtinId="8" hidden="1"/>
    <cellStyle name="Hiperlink" xfId="455" builtinId="8" hidden="1"/>
    <cellStyle name="Hiperlink" xfId="457" builtinId="8" hidden="1"/>
    <cellStyle name="Hiperlink" xfId="459" builtinId="8" hidden="1"/>
    <cellStyle name="Hiperlink" xfId="461" builtinId="8" hidden="1"/>
    <cellStyle name="Hiperlink" xfId="463" builtinId="8" hidden="1"/>
    <cellStyle name="Hiperlink" xfId="465" builtinId="8" hidden="1"/>
    <cellStyle name="Hiperlink" xfId="467" builtinId="8" hidden="1"/>
    <cellStyle name="Hiperlink" xfId="469" builtinId="8" hidden="1"/>
    <cellStyle name="Hiperlink" xfId="471" builtinId="8" hidden="1"/>
    <cellStyle name="Hiperlink" xfId="473" builtinId="8" hidden="1"/>
    <cellStyle name="Hiperlink" xfId="475" builtinId="8" hidden="1"/>
    <cellStyle name="Hiperlink" xfId="477" builtinId="8" hidden="1"/>
    <cellStyle name="Hiperlink" xfId="479" builtinId="8" hidden="1"/>
    <cellStyle name="Hiperlink" xfId="481" builtinId="8" hidden="1"/>
    <cellStyle name="Hiperlink" xfId="483" builtinId="8" hidden="1"/>
    <cellStyle name="Hiperlink" xfId="485" builtinId="8" hidden="1"/>
    <cellStyle name="Hiperlink" xfId="487" builtinId="8" hidden="1"/>
    <cellStyle name="Hiperlink" xfId="489" builtinId="8" hidden="1"/>
    <cellStyle name="Hiperlink" xfId="491" builtinId="8" hidden="1"/>
    <cellStyle name="Hiperlink" xfId="493" builtinId="8" hidden="1"/>
    <cellStyle name="Hiperlink" xfId="495" builtinId="8" hidden="1"/>
    <cellStyle name="Hiperlink" xfId="497" builtinId="8" hidden="1"/>
    <cellStyle name="Hiperlink" xfId="499" builtinId="8" hidden="1"/>
    <cellStyle name="Hiperlink" xfId="501" builtinId="8" hidden="1"/>
    <cellStyle name="Hiperlink" xfId="503" builtinId="8" hidden="1"/>
    <cellStyle name="Hiperlink" xfId="505" builtinId="8" hidden="1"/>
    <cellStyle name="Hiperlink" xfId="507" builtinId="8" hidden="1"/>
    <cellStyle name="Hiperlink" xfId="509" builtinId="8" hidden="1"/>
    <cellStyle name="Hiperlink" xfId="511" builtinId="8" hidden="1"/>
    <cellStyle name="Hiperlink" xfId="513" builtinId="8" hidden="1"/>
    <cellStyle name="Hiperlink" xfId="515" builtinId="8" hidden="1"/>
    <cellStyle name="Hiperlink" xfId="517" builtinId="8" hidden="1"/>
    <cellStyle name="Hiperlink" xfId="519" builtinId="8" hidden="1"/>
    <cellStyle name="Hiperlink" xfId="521" builtinId="8" hidden="1"/>
    <cellStyle name="Hiperlink" xfId="523" builtinId="8" hidden="1"/>
    <cellStyle name="Hiperlink" xfId="525" builtinId="8" hidden="1"/>
    <cellStyle name="Hiperlink" xfId="527" builtinId="8" hidden="1"/>
    <cellStyle name="Hiperlink" xfId="529" builtinId="8" hidden="1"/>
    <cellStyle name="Hiperlink" xfId="531" builtinId="8" hidden="1"/>
    <cellStyle name="Hiperlink" xfId="533" builtinId="8" hidden="1"/>
    <cellStyle name="Hiperlink" xfId="535" builtinId="8" hidden="1"/>
    <cellStyle name="Hiperlink" xfId="537" builtinId="8" hidden="1"/>
    <cellStyle name="Hiperlink" xfId="539" builtinId="8" hidden="1"/>
    <cellStyle name="Hiperlink" xfId="541" builtinId="8" hidden="1"/>
    <cellStyle name="Hiperlink" xfId="543" builtinId="8" hidden="1"/>
    <cellStyle name="Hiperlink" xfId="545" builtinId="8" hidden="1"/>
    <cellStyle name="Hiperlink" xfId="547" builtinId="8" hidden="1"/>
    <cellStyle name="Hiperlink" xfId="549" builtinId="8" hidden="1"/>
    <cellStyle name="Hiperlink" xfId="551" builtinId="8" hidden="1"/>
    <cellStyle name="Hiperlink" xfId="553" builtinId="8" hidden="1"/>
    <cellStyle name="Hiperlink" xfId="555" builtinId="8" hidden="1"/>
    <cellStyle name="Hiperlink" xfId="557" builtinId="8" hidden="1"/>
    <cellStyle name="Hiperlink" xfId="559" builtinId="8" hidden="1"/>
    <cellStyle name="Hiperlink" xfId="561" builtinId="8" hidden="1"/>
    <cellStyle name="Hiperlink" xfId="563" builtinId="8" hidden="1"/>
    <cellStyle name="Hiperlink" xfId="565" builtinId="8" hidden="1"/>
    <cellStyle name="Hiperlink" xfId="567" builtinId="8" hidden="1"/>
    <cellStyle name="Hiperlink" xfId="569" builtinId="8" hidden="1"/>
    <cellStyle name="Hiperlink" xfId="571" builtinId="8" hidden="1"/>
    <cellStyle name="Hiperlink" xfId="573" builtinId="8" hidden="1"/>
    <cellStyle name="Hiperlink" xfId="575" builtinId="8" hidden="1"/>
    <cellStyle name="Hiperlink" xfId="577" builtinId="8" hidden="1"/>
    <cellStyle name="Hiperlink" xfId="579" builtinId="8" hidden="1"/>
    <cellStyle name="Hiperlink" xfId="581" builtinId="8" hidden="1"/>
    <cellStyle name="Hiperlink" xfId="583" builtinId="8" hidden="1"/>
    <cellStyle name="Hiperlink" xfId="585" builtinId="8" hidden="1"/>
    <cellStyle name="Hiperlink" xfId="587" builtinId="8" hidden="1"/>
    <cellStyle name="Hiperlink" xfId="589" builtinId="8" hidden="1"/>
    <cellStyle name="Hiperlink" xfId="591" builtinId="8" hidden="1"/>
    <cellStyle name="Hiperlink" xfId="593" builtinId="8" hidden="1"/>
    <cellStyle name="Hiperlink" xfId="595" builtinId="8" hidden="1"/>
    <cellStyle name="Hiperlink" xfId="597" builtinId="8" hidden="1"/>
    <cellStyle name="Hiperlink" xfId="599" builtinId="8" hidden="1"/>
    <cellStyle name="Hiperlink" xfId="601" builtinId="8" hidden="1"/>
    <cellStyle name="Hiperlink" xfId="603" builtinId="8" hidden="1"/>
    <cellStyle name="Hiperlink" xfId="605" builtinId="8" hidden="1"/>
    <cellStyle name="Hiperlink" xfId="607" builtinId="8" hidden="1"/>
    <cellStyle name="Hiperlink" xfId="609" builtinId="8" hidden="1"/>
    <cellStyle name="Hiperlink" xfId="611" builtinId="8" hidden="1"/>
    <cellStyle name="Hiperlink" xfId="613" builtinId="8" hidden="1"/>
    <cellStyle name="Hiperlink" xfId="615" builtinId="8" hidden="1"/>
    <cellStyle name="Hiperlink" xfId="617" builtinId="8" hidden="1"/>
    <cellStyle name="Hiperlink" xfId="619" builtinId="8" hidden="1"/>
    <cellStyle name="Hiperlink" xfId="621" builtinId="8" hidden="1"/>
    <cellStyle name="Hiperlink" xfId="623" builtinId="8" hidden="1"/>
    <cellStyle name="Hiperlink" xfId="625" builtinId="8" hidden="1"/>
    <cellStyle name="Hiperlink" xfId="627" builtinId="8" hidden="1"/>
    <cellStyle name="Hiperlink" xfId="629" builtinId="8" hidden="1"/>
    <cellStyle name="Hiperlink" xfId="631" builtinId="8" hidden="1"/>
    <cellStyle name="Hiperlink" xfId="633" builtinId="8" hidden="1"/>
    <cellStyle name="Hiperlink" xfId="635" builtinId="8" hidden="1"/>
    <cellStyle name="Hiperlink" xfId="637" builtinId="8" hidden="1"/>
    <cellStyle name="Hiperlink" xfId="639" builtinId="8" hidden="1"/>
    <cellStyle name="Hiperlink" xfId="641" builtinId="8" hidden="1"/>
    <cellStyle name="Hiperlink" xfId="643" builtinId="8" hidden="1"/>
    <cellStyle name="Hiperlink" xfId="645" builtinId="8" hidden="1"/>
    <cellStyle name="Hiperlink" xfId="647" builtinId="8" hidden="1"/>
    <cellStyle name="Hiperlink" xfId="649" builtinId="8" hidden="1"/>
    <cellStyle name="Hiperlink" xfId="651" builtinId="8" hidden="1"/>
    <cellStyle name="Hiperlink" xfId="653" builtinId="8" hidden="1"/>
    <cellStyle name="Hiperlink" xfId="655" builtinId="8" hidden="1"/>
    <cellStyle name="Hiperlink" xfId="657" builtinId="8" hidden="1"/>
    <cellStyle name="Hiperlink" xfId="659" builtinId="8" hidden="1"/>
    <cellStyle name="Hiperlink" xfId="661" builtinId="8" hidden="1"/>
    <cellStyle name="Hiperlink" xfId="663" builtinId="8" hidden="1"/>
    <cellStyle name="Hiperlink" xfId="665" builtinId="8" hidden="1"/>
    <cellStyle name="Hiperlink" xfId="667" builtinId="8" hidden="1"/>
    <cellStyle name="Hiperlink" xfId="669" builtinId="8" hidden="1"/>
    <cellStyle name="Hiperlink" xfId="671" builtinId="8" hidden="1"/>
    <cellStyle name="Hiperlink" xfId="673" builtinId="8" hidden="1"/>
    <cellStyle name="Hiperlink" xfId="675" builtinId="8" hidden="1"/>
    <cellStyle name="Hiperlink" xfId="677" builtinId="8" hidden="1"/>
    <cellStyle name="Hiperlink" xfId="679" builtinId="8" hidden="1"/>
    <cellStyle name="Hiperlink" xfId="681" builtinId="8" hidden="1"/>
    <cellStyle name="Hiperlink" xfId="683" builtinId="8" hidden="1"/>
    <cellStyle name="Hiperlink" xfId="685" builtinId="8" hidden="1"/>
    <cellStyle name="Hiperlink" xfId="687" builtinId="8" hidden="1"/>
    <cellStyle name="Hiperlink" xfId="689" builtinId="8" hidden="1"/>
    <cellStyle name="Hiperlink" xfId="691" builtinId="8" hidden="1"/>
    <cellStyle name="Hiperlink" xfId="693" builtinId="8" hidden="1"/>
    <cellStyle name="Hiperlink" xfId="695" builtinId="8" hidden="1"/>
    <cellStyle name="Hiperlink" xfId="697" builtinId="8" hidden="1"/>
    <cellStyle name="Hiperlink" xfId="699" builtinId="8" hidden="1"/>
    <cellStyle name="Hiperlink" xfId="701" builtinId="8" hidden="1"/>
    <cellStyle name="Hiperlink" xfId="703" builtinId="8" hidden="1"/>
    <cellStyle name="Hiperlink" xfId="705" builtinId="8" hidden="1"/>
    <cellStyle name="Hiperlink" xfId="707" builtinId="8" hidden="1"/>
    <cellStyle name="Hiperlink" xfId="709" builtinId="8" hidden="1"/>
    <cellStyle name="Hiperlink" xfId="711" builtinId="8" hidden="1"/>
    <cellStyle name="Hiperlink" xfId="713" builtinId="8" hidden="1"/>
    <cellStyle name="Hiperlink" xfId="715" builtinId="8" hidden="1"/>
    <cellStyle name="Hiperlink" xfId="717" builtinId="8" hidden="1"/>
    <cellStyle name="Hiperlink" xfId="719" builtinId="8" hidden="1"/>
    <cellStyle name="Hiperlink" xfId="721" builtinId="8" hidden="1"/>
    <cellStyle name="Hiperlink" xfId="723" builtinId="8" hidden="1"/>
    <cellStyle name="Hiperlink" xfId="725" builtinId="8" hidden="1"/>
    <cellStyle name="Hiperlink" xfId="727" builtinId="8" hidden="1"/>
    <cellStyle name="Hiperlink" xfId="729" builtinId="8" hidden="1"/>
    <cellStyle name="Hiperlink" xfId="731" builtinId="8" hidden="1"/>
    <cellStyle name="Hiperlink" xfId="733" builtinId="8" hidden="1"/>
    <cellStyle name="Hiperlink" xfId="735" builtinId="8" hidden="1"/>
    <cellStyle name="Hiperlink" xfId="737" builtinId="8" hidden="1"/>
    <cellStyle name="Hiperlink" xfId="739" builtinId="8" hidden="1"/>
    <cellStyle name="Hiperlink" xfId="741" builtinId="8" hidden="1"/>
    <cellStyle name="Hiperlink" xfId="743" builtinId="8" hidden="1"/>
    <cellStyle name="Hiperlink" xfId="745" builtinId="8" hidden="1"/>
    <cellStyle name="Hiperlink" xfId="747" builtinId="8" hidden="1"/>
    <cellStyle name="Hiperlink" xfId="749" builtinId="8" hidden="1"/>
    <cellStyle name="Hiperlink" xfId="751" builtinId="8" hidden="1"/>
    <cellStyle name="Hiperlink" xfId="753" builtinId="8" hidden="1"/>
    <cellStyle name="Hiperlink" xfId="755" builtinId="8" hidden="1"/>
    <cellStyle name="Hiperlink" xfId="757" builtinId="8" hidden="1"/>
    <cellStyle name="Hiperlink" xfId="759" builtinId="8" hidden="1"/>
    <cellStyle name="Hiperlink" xfId="761" builtinId="8" hidden="1"/>
    <cellStyle name="Hiperlink" xfId="763" builtinId="8" hidden="1"/>
    <cellStyle name="Hiperlink" xfId="765" builtinId="8" hidden="1"/>
    <cellStyle name="Hiperlink" xfId="767" builtinId="8" hidden="1"/>
    <cellStyle name="Hiperlink" xfId="769" builtinId="8" hidden="1"/>
    <cellStyle name="Hiperlink" xfId="771" builtinId="8" hidden="1"/>
    <cellStyle name="Hiperlink" xfId="773" builtinId="8" hidden="1"/>
    <cellStyle name="Hiperlink" xfId="775" builtinId="8" hidden="1"/>
    <cellStyle name="Hiperlink" xfId="777" builtinId="8" hidden="1"/>
    <cellStyle name="Hiperlink" xfId="779" builtinId="8" hidden="1"/>
    <cellStyle name="Hiperlink" xfId="781" builtinId="8" hidden="1"/>
    <cellStyle name="Hiperlink" xfId="783" builtinId="8" hidden="1"/>
    <cellStyle name="Hiperlink" xfId="785" builtinId="8" hidden="1"/>
    <cellStyle name="Hiperlink" xfId="787" builtinId="8" hidden="1"/>
    <cellStyle name="Hiperlink" xfId="789" builtinId="8" hidden="1"/>
    <cellStyle name="Hiperlink" xfId="791" builtinId="8" hidden="1"/>
    <cellStyle name="Hiperlink" xfId="793" builtinId="8" hidden="1"/>
    <cellStyle name="Hiperlink" xfId="795" builtinId="8" hidden="1"/>
    <cellStyle name="Hiperlink" xfId="797" builtinId="8" hidden="1"/>
    <cellStyle name="Hiperlink" xfId="799" builtinId="8" hidden="1"/>
    <cellStyle name="Hiperlink" xfId="801" builtinId="8" hidden="1"/>
    <cellStyle name="Hiperlink" xfId="803" builtinId="8" hidden="1"/>
    <cellStyle name="Hiperlink" xfId="805" builtinId="8" hidden="1"/>
    <cellStyle name="Hiperlink" xfId="807" builtinId="8" hidden="1"/>
    <cellStyle name="Hiperlink" xfId="809" builtinId="8" hidden="1"/>
    <cellStyle name="Hiperlink" xfId="811" builtinId="8" hidden="1"/>
    <cellStyle name="Hiperlink" xfId="813" builtinId="8" hidden="1"/>
    <cellStyle name="Hiperlink" xfId="815" builtinId="8" hidden="1"/>
    <cellStyle name="Hiperlink" xfId="817" builtinId="8" hidden="1"/>
    <cellStyle name="Hiperlink" xfId="819" builtinId="8" hidden="1"/>
    <cellStyle name="Hiperlink" xfId="821" builtinId="8" hidden="1"/>
    <cellStyle name="Hiperlink" xfId="823" builtinId="8" hidden="1"/>
    <cellStyle name="Hiperlink" xfId="825" builtinId="8" hidden="1"/>
    <cellStyle name="Hiperlink" xfId="827" builtinId="8" hidden="1"/>
    <cellStyle name="Hiperlink" xfId="829" builtinId="8" hidden="1"/>
    <cellStyle name="Hiperlink" xfId="831" builtinId="8" hidden="1"/>
    <cellStyle name="Hiperlink" xfId="833" builtinId="8" hidden="1"/>
    <cellStyle name="Hiperlink" xfId="835" builtinId="8" hidden="1"/>
    <cellStyle name="Hiperlink" xfId="837" builtinId="8" hidden="1"/>
    <cellStyle name="Hiperlink" xfId="839" builtinId="8" hidden="1"/>
    <cellStyle name="Hiperlink" xfId="841" builtinId="8" hidden="1"/>
    <cellStyle name="Hiperlink" xfId="843" builtinId="8" hidden="1"/>
    <cellStyle name="Hiperlink" xfId="845" builtinId="8" hidden="1"/>
    <cellStyle name="Hiperlink" xfId="847" builtinId="8" hidden="1"/>
    <cellStyle name="Hiperlink" xfId="849" builtinId="8" hidden="1"/>
    <cellStyle name="Hiperlink" xfId="851" builtinId="8" hidden="1"/>
    <cellStyle name="Hiperlink" xfId="853" builtinId="8" hidden="1"/>
    <cellStyle name="Hiperlink" xfId="855" builtinId="8" hidden="1"/>
    <cellStyle name="Hiperlink" xfId="857" builtinId="8" hidden="1"/>
    <cellStyle name="Hiperlink" xfId="859" builtinId="8" hidden="1"/>
    <cellStyle name="Hiperlink" xfId="861" builtinId="8" hidden="1"/>
    <cellStyle name="Hiperlink" xfId="863" builtinId="8" hidden="1"/>
    <cellStyle name="Hiperlink" xfId="865" builtinId="8" hidden="1"/>
    <cellStyle name="Hiperlink" xfId="867" builtinId="8" hidden="1"/>
    <cellStyle name="Hiperlink" xfId="869" builtinId="8" hidden="1"/>
    <cellStyle name="Hiperlink" xfId="871" builtinId="8" hidden="1"/>
    <cellStyle name="Hiperlink" xfId="873" builtinId="8" hidden="1"/>
    <cellStyle name="Hiperlink" xfId="875" builtinId="8" hidden="1"/>
    <cellStyle name="Hiperlink" xfId="877" builtinId="8" hidden="1"/>
    <cellStyle name="Hiperlink" xfId="879" builtinId="8" hidden="1"/>
    <cellStyle name="Hiperlink" xfId="881" builtinId="8" hidden="1"/>
    <cellStyle name="Hiperlink" xfId="883" builtinId="8" hidden="1"/>
    <cellStyle name="Hiperlink" xfId="885" builtinId="8" hidden="1"/>
    <cellStyle name="Hiperlink" xfId="887" builtinId="8" hidden="1"/>
    <cellStyle name="Hiperlink" xfId="889" builtinId="8" hidden="1"/>
    <cellStyle name="Hiperlink" xfId="891" builtinId="8" hidden="1"/>
    <cellStyle name="Hiperlink" xfId="893" builtinId="8" hidden="1"/>
    <cellStyle name="Hiperlink" xfId="895" builtinId="8" hidden="1"/>
    <cellStyle name="Hiperlink" xfId="897" builtinId="8" hidden="1"/>
    <cellStyle name="Hiperlink" xfId="899" builtinId="8" hidden="1"/>
    <cellStyle name="Hiperlink" xfId="901" builtinId="8" hidden="1"/>
    <cellStyle name="Hiperlink" xfId="903" builtinId="8" hidden="1"/>
    <cellStyle name="Hiperlink" xfId="905" builtinId="8" hidden="1"/>
    <cellStyle name="Hiperlink" xfId="907" builtinId="8" hidden="1"/>
    <cellStyle name="Hiperlink" xfId="909" builtinId="8" hidden="1"/>
    <cellStyle name="Hiperlink" xfId="911" builtinId="8" hidden="1"/>
    <cellStyle name="Hiperlink" xfId="913" builtinId="8" hidden="1"/>
    <cellStyle name="Hiperlink" xfId="915" builtinId="8" hidden="1"/>
    <cellStyle name="Hiperlink" xfId="917" builtinId="8" hidden="1"/>
    <cellStyle name="Hiperlink" xfId="919" builtinId="8" hidden="1"/>
    <cellStyle name="Hiperlink" xfId="921" builtinId="8" hidden="1"/>
    <cellStyle name="Hiperlink" xfId="923" builtinId="8" hidden="1"/>
    <cellStyle name="Hiperlink" xfId="925" builtinId="8" hidden="1"/>
    <cellStyle name="Hiperlink" xfId="927" builtinId="8" hidden="1"/>
    <cellStyle name="Hiperlink" xfId="929" builtinId="8" hidden="1"/>
    <cellStyle name="Hiperlink" xfId="931" builtinId="8" hidden="1"/>
    <cellStyle name="Hiperlink" xfId="933" builtinId="8" hidden="1"/>
    <cellStyle name="Hiperlink" xfId="935" builtinId="8" hidden="1"/>
    <cellStyle name="Hiperlink" xfId="937" builtinId="8" hidden="1"/>
    <cellStyle name="Hiperlink" xfId="939" builtinId="8" hidden="1"/>
    <cellStyle name="Hiperlink" xfId="941" builtinId="8" hidden="1"/>
    <cellStyle name="Hiperlink" xfId="943" builtinId="8" hidden="1"/>
    <cellStyle name="Hiperlink" xfId="945" builtinId="8" hidden="1"/>
    <cellStyle name="Hiperlink" xfId="947" builtinId="8" hidden="1"/>
    <cellStyle name="Hiperlink" xfId="949" builtinId="8" hidden="1"/>
    <cellStyle name="Hiperlink" xfId="951" builtinId="8" hidden="1"/>
    <cellStyle name="Hiperlink" xfId="953" builtinId="8" hidden="1"/>
    <cellStyle name="Hiperlink" xfId="955" builtinId="8" hidden="1"/>
    <cellStyle name="Hiperlink" xfId="957" builtinId="8" hidden="1"/>
    <cellStyle name="Hiperlink" xfId="959" builtinId="8" hidden="1"/>
    <cellStyle name="Hiperlink" xfId="961" builtinId="8" hidden="1"/>
    <cellStyle name="Hiperlink" xfId="963" builtinId="8" hidden="1"/>
    <cellStyle name="Hiperlink" xfId="965" builtinId="8" hidden="1"/>
    <cellStyle name="Hiperlink" xfId="967" builtinId="8" hidden="1"/>
    <cellStyle name="Hiperlink" xfId="969" builtinId="8" hidden="1"/>
    <cellStyle name="Hiperlink" xfId="971" builtinId="8" hidden="1"/>
    <cellStyle name="Hiperlink" xfId="973" builtinId="8" hidden="1"/>
    <cellStyle name="Hiperlink" xfId="975" builtinId="8" hidden="1"/>
    <cellStyle name="Hiperlink" xfId="977" builtinId="8" hidden="1"/>
    <cellStyle name="Hiperlink" xfId="979" builtinId="8" hidden="1"/>
    <cellStyle name="Hiperlink" xfId="981" builtinId="8" hidden="1"/>
    <cellStyle name="Hiperlink" xfId="983" builtinId="8" hidden="1"/>
    <cellStyle name="Hiperlink" xfId="985" builtinId="8" hidden="1"/>
    <cellStyle name="Hiperlink" xfId="987" builtinId="8" hidden="1"/>
    <cellStyle name="Hiperlink" xfId="989" builtinId="8" hidden="1"/>
    <cellStyle name="Hiperlink" xfId="991" builtinId="8" hidden="1"/>
    <cellStyle name="Hiperlink" xfId="993" builtinId="8" hidden="1"/>
    <cellStyle name="Hiperlink" xfId="995" builtinId="8" hidden="1"/>
    <cellStyle name="Hiperlink" xfId="997" builtinId="8" hidden="1"/>
    <cellStyle name="Hiperlink" xfId="999" builtinId="8" hidden="1"/>
    <cellStyle name="Hiperlink" xfId="1001" builtinId="8" hidden="1"/>
    <cellStyle name="Hiperlink" xfId="1003" builtinId="8" hidden="1"/>
    <cellStyle name="Hiperlink" xfId="1005" builtinId="8" hidden="1"/>
    <cellStyle name="Hiperlink" xfId="1007" builtinId="8" hidden="1"/>
    <cellStyle name="Hiperlink" xfId="1009" builtinId="8" hidden="1"/>
    <cellStyle name="Hiperlink" xfId="1011" builtinId="8" hidden="1"/>
    <cellStyle name="Hiperlink" xfId="1013" builtinId="8" hidden="1"/>
    <cellStyle name="Hiperlink" xfId="1015" builtinId="8" hidden="1"/>
    <cellStyle name="Hiperlink" xfId="1017" builtinId="8" hidden="1"/>
    <cellStyle name="Hiperlink" xfId="1019" builtinId="8" hidden="1"/>
    <cellStyle name="Hiperlink" xfId="1021" builtinId="8" hidden="1"/>
    <cellStyle name="Hiperlink" xfId="1023" builtinId="8" hidden="1"/>
    <cellStyle name="Hiperlink" xfId="1025" builtinId="8" hidden="1"/>
    <cellStyle name="Hiperlink" xfId="1027" builtinId="8" hidden="1"/>
    <cellStyle name="Hiperlink" xfId="1029" builtinId="8" hidden="1"/>
    <cellStyle name="Hiperlink" xfId="1031" builtinId="8" hidden="1"/>
    <cellStyle name="Hiperlink" xfId="1033" builtinId="8" hidden="1"/>
    <cellStyle name="Hiperlink" xfId="1035" builtinId="8" hidden="1"/>
    <cellStyle name="Hiperlink" xfId="1037" builtinId="8" hidden="1"/>
    <cellStyle name="Hiperlink" xfId="1039" builtinId="8" hidden="1"/>
    <cellStyle name="Hiperlink" xfId="1041" builtinId="8" hidden="1"/>
    <cellStyle name="Hiperlink" xfId="1043" builtinId="8" hidden="1"/>
    <cellStyle name="Hiperlink" xfId="1045" builtinId="8" hidden="1"/>
    <cellStyle name="Hiperlink" xfId="1047" builtinId="8" hidden="1"/>
    <cellStyle name="Hiperlink" xfId="1049" builtinId="8" hidden="1"/>
    <cellStyle name="Hiperlink" xfId="1051" builtinId="8" hidden="1"/>
    <cellStyle name="Hiperlink" xfId="1053" builtinId="8" hidden="1"/>
    <cellStyle name="Hiperlink" xfId="1055" builtinId="8" hidden="1"/>
    <cellStyle name="Hiperlink" xfId="1057" builtinId="8" hidden="1"/>
    <cellStyle name="Hiperlink" xfId="1059" builtinId="8" hidden="1"/>
    <cellStyle name="Hiperlink" xfId="1061" builtinId="8" hidden="1"/>
    <cellStyle name="Hiperlink" xfId="1063" builtinId="8" hidden="1"/>
    <cellStyle name="Hiperlink" xfId="1065" builtinId="8" hidden="1"/>
    <cellStyle name="Hiperlink" xfId="1067" builtinId="8" hidden="1"/>
    <cellStyle name="Hiperlink" xfId="1069" builtinId="8" hidden="1"/>
    <cellStyle name="Hiperlink" xfId="1071" builtinId="8" hidden="1"/>
    <cellStyle name="Hiperlink" xfId="1073" builtinId="8" hidden="1"/>
    <cellStyle name="Hiperlink" xfId="1075" builtinId="8" hidden="1"/>
    <cellStyle name="Hiperlink" xfId="1077" builtinId="8" hidden="1"/>
    <cellStyle name="Hiperlink" xfId="1079" builtinId="8" hidden="1"/>
    <cellStyle name="Hiperlink" xfId="1081" builtinId="8" hidden="1"/>
    <cellStyle name="Hiperlink" xfId="1083" builtinId="8" hidden="1"/>
    <cellStyle name="Hiperlink" xfId="1085" builtinId="8" hidden="1"/>
    <cellStyle name="Hiperlink" xfId="1087" builtinId="8" hidden="1"/>
    <cellStyle name="Hiperlink" xfId="1089" builtinId="8" hidden="1"/>
    <cellStyle name="Hiperlink" xfId="1091" builtinId="8" hidden="1"/>
    <cellStyle name="Hiperlink" xfId="1093" builtinId="8" hidden="1"/>
    <cellStyle name="Hiperlink" xfId="1095" builtinId="8" hidden="1"/>
    <cellStyle name="Hiperlink" xfId="1097" builtinId="8" hidden="1"/>
    <cellStyle name="Hiperlink" xfId="1099" builtinId="8" hidden="1"/>
    <cellStyle name="Hiperlink" xfId="1101" builtinId="8" hidden="1"/>
    <cellStyle name="Hiperlink" xfId="1103" builtinId="8" hidden="1"/>
    <cellStyle name="Hiperlink" xfId="1105" builtinId="8" hidden="1"/>
    <cellStyle name="Hiperlink" xfId="1107" builtinId="8" hidden="1"/>
    <cellStyle name="Hiperlink" xfId="1109" builtinId="8" hidden="1"/>
    <cellStyle name="Hiperlink" xfId="1111" builtinId="8" hidden="1"/>
    <cellStyle name="Hiperlink" xfId="1113" builtinId="8" hidden="1"/>
    <cellStyle name="Hiperlink" xfId="1115" builtinId="8" hidden="1"/>
    <cellStyle name="Hiperlink" xfId="1117" builtinId="8" hidden="1"/>
    <cellStyle name="Hiperlink" xfId="1119" builtinId="8" hidden="1"/>
    <cellStyle name="Hiperlink" xfId="1121" builtinId="8" hidden="1"/>
    <cellStyle name="Hiperlink" xfId="1123" builtinId="8" hidden="1"/>
    <cellStyle name="Hiperlink" xfId="1125" builtinId="8" hidden="1"/>
    <cellStyle name="Hiperlink" xfId="1127" builtinId="8" hidden="1"/>
    <cellStyle name="Hiperlink" xfId="1129" builtinId="8" hidden="1"/>
    <cellStyle name="Hiperlink" xfId="1131" builtinId="8" hidden="1"/>
    <cellStyle name="Hiperlink" xfId="1133" builtinId="8" hidden="1"/>
    <cellStyle name="Hiperlink" xfId="1135" builtinId="8" hidden="1"/>
    <cellStyle name="Hiperlink" xfId="1137" builtinId="8" hidden="1"/>
    <cellStyle name="Hiperlink" xfId="1139" builtinId="8" hidden="1"/>
    <cellStyle name="Hiperlink" xfId="1141" builtinId="8" hidden="1"/>
    <cellStyle name="Hiperlink" xfId="1143" builtinId="8" hidden="1"/>
    <cellStyle name="Hiperlink" xfId="1145" builtinId="8" hidden="1"/>
    <cellStyle name="Hiperlink" xfId="1147" builtinId="8" hidden="1"/>
    <cellStyle name="Hiperlink" xfId="1149" builtinId="8" hidden="1"/>
    <cellStyle name="Hiperlink" xfId="1151" builtinId="8" hidden="1"/>
    <cellStyle name="Hiperlink" xfId="1153" builtinId="8" hidden="1"/>
    <cellStyle name="Hiperlink" xfId="1155" builtinId="8" hidden="1"/>
    <cellStyle name="Hiperlink" xfId="1157" builtinId="8" hidden="1"/>
    <cellStyle name="Hiperlink" xfId="1159" builtinId="8" hidden="1"/>
    <cellStyle name="Hiperlink" xfId="1161" builtinId="8" hidden="1"/>
    <cellStyle name="Hiperlink" xfId="1163" builtinId="8" hidden="1"/>
    <cellStyle name="Hiperlink" xfId="1165" builtinId="8" hidden="1"/>
    <cellStyle name="Hiperlink" xfId="1167" builtinId="8" hidden="1"/>
    <cellStyle name="Hiperlink" xfId="1169" builtinId="8" hidden="1"/>
    <cellStyle name="Hiperlink" xfId="1171" builtinId="8" hidden="1"/>
    <cellStyle name="Hiperlink" xfId="1173" builtinId="8" hidden="1"/>
    <cellStyle name="Hiperlink" xfId="1175" builtinId="8" hidden="1"/>
    <cellStyle name="Hiperlink" xfId="1177" builtinId="8" hidden="1"/>
    <cellStyle name="Hiperlink" xfId="1179" builtinId="8" hidden="1"/>
    <cellStyle name="Hiperlink" xfId="1181" builtinId="8" hidden="1"/>
    <cellStyle name="Hiperlink" xfId="1183" builtinId="8" hidden="1"/>
    <cellStyle name="Hiperlink" xfId="1185" builtinId="8" hidden="1"/>
    <cellStyle name="Hiperlink" xfId="1187" builtinId="8" hidden="1"/>
    <cellStyle name="Hiperlink" xfId="1189" builtinId="8" hidden="1"/>
    <cellStyle name="Hiperlink" xfId="1191" builtinId="8" hidden="1"/>
    <cellStyle name="Hiperlink" xfId="1193" builtinId="8" hidden="1"/>
    <cellStyle name="Hiperlink" xfId="1195" builtinId="8" hidden="1"/>
    <cellStyle name="Hiperlink" xfId="1197" builtinId="8" hidden="1"/>
    <cellStyle name="Hiperlink" xfId="1199" builtinId="8" hidden="1"/>
    <cellStyle name="Hiperlink" xfId="1201" builtinId="8" hidden="1"/>
    <cellStyle name="Hiperlink" xfId="1203" builtinId="8" hidden="1"/>
    <cellStyle name="Hiperlink" xfId="1205" builtinId="8" hidden="1"/>
    <cellStyle name="Hiperlink" xfId="1207" builtinId="8" hidden="1"/>
    <cellStyle name="Hiperlink" xfId="1209" builtinId="8" hidden="1"/>
    <cellStyle name="Hiperlink" xfId="1211" builtinId="8" hidden="1"/>
    <cellStyle name="Hiperlink" xfId="1213" builtinId="8" hidden="1"/>
    <cellStyle name="Hiperlink" xfId="1215" builtinId="8" hidden="1"/>
    <cellStyle name="Hiperlink" xfId="1217" builtinId="8" hidden="1"/>
    <cellStyle name="Hiperlink" xfId="1219" builtinId="8" hidden="1"/>
    <cellStyle name="Hiperlink" xfId="1221" builtinId="8" hidden="1"/>
    <cellStyle name="Hiperlink" xfId="1223" builtinId="8" hidden="1"/>
    <cellStyle name="Hiperlink" xfId="1225" builtinId="8" hidden="1"/>
    <cellStyle name="Hiperlink" xfId="1227" builtinId="8" hidden="1"/>
    <cellStyle name="Hiperlink" xfId="1229" builtinId="8" hidden="1"/>
    <cellStyle name="Hiperlink" xfId="1231" builtinId="8" hidden="1"/>
    <cellStyle name="Hiperlink" xfId="1233" builtinId="8" hidden="1"/>
    <cellStyle name="Hiperlink" xfId="1235" builtinId="8" hidden="1"/>
    <cellStyle name="Hiperlink" xfId="1237" builtinId="8" hidden="1"/>
    <cellStyle name="Hiperlink" xfId="1239" builtinId="8" hidden="1"/>
    <cellStyle name="Hiperlink" xfId="1241" builtinId="8" hidden="1"/>
    <cellStyle name="Hiperlink" xfId="1243" builtinId="8" hidden="1"/>
    <cellStyle name="Hiperlink" xfId="1245" builtinId="8" hidden="1"/>
    <cellStyle name="Hiperlink" xfId="1247" builtinId="8" hidden="1"/>
    <cellStyle name="Hiperlink" xfId="1249" builtinId="8" hidden="1"/>
    <cellStyle name="Hiperlink" xfId="1251" builtinId="8" hidden="1"/>
    <cellStyle name="Hiperlink" xfId="1253" builtinId="8" hidden="1"/>
    <cellStyle name="Hiperlink" xfId="1255" builtinId="8" hidden="1"/>
    <cellStyle name="Hiperlink" xfId="1257" builtinId="8" hidden="1"/>
    <cellStyle name="Hiperlink" xfId="1259" builtinId="8" hidden="1"/>
    <cellStyle name="Hiperlink" xfId="1261" builtinId="8" hidden="1"/>
    <cellStyle name="Hiperlink" xfId="1263" builtinId="8" hidden="1"/>
    <cellStyle name="Hiperlink" xfId="1265" builtinId="8" hidden="1"/>
    <cellStyle name="Hiperlink" xfId="1267" builtinId="8" hidden="1"/>
    <cellStyle name="Hiperlink" xfId="1269" builtinId="8" hidden="1"/>
    <cellStyle name="Hiperlink" xfId="1271" builtinId="8" hidden="1"/>
    <cellStyle name="Hiperlink" xfId="1273" builtinId="8" hidden="1"/>
    <cellStyle name="Hiperlink" xfId="1275" builtinId="8" hidden="1"/>
    <cellStyle name="Hiperlink" xfId="1277" builtinId="8" hidden="1"/>
    <cellStyle name="Hiperlink" xfId="1279" builtinId="8" hidden="1"/>
    <cellStyle name="Hiperlink" xfId="1281" builtinId="8" hidden="1"/>
    <cellStyle name="Hiperlink" xfId="1283" builtinId="8" hidden="1"/>
    <cellStyle name="Hiperlink" xfId="1285" builtinId="8" hidden="1"/>
    <cellStyle name="Hiperlink" xfId="1287" builtinId="8" hidden="1"/>
    <cellStyle name="Hiperlink" xfId="1289" builtinId="8" hidden="1"/>
    <cellStyle name="Hiperlink" xfId="1291" builtinId="8" hidden="1"/>
    <cellStyle name="Hiperlink" xfId="1293" builtinId="8" hidden="1"/>
    <cellStyle name="Hiperlink" xfId="1295" builtinId="8" hidden="1"/>
    <cellStyle name="Hiperlink" xfId="1297" builtinId="8" hidden="1"/>
    <cellStyle name="Hiperlink" xfId="1299" builtinId="8" hidden="1"/>
    <cellStyle name="Hiperlink" xfId="1301" builtinId="8" hidden="1"/>
    <cellStyle name="Hiperlink" xfId="1303" builtinId="8" hidden="1"/>
    <cellStyle name="Hiperlink" xfId="1305" builtinId="8" hidden="1"/>
    <cellStyle name="Hiperlink" xfId="1307" builtinId="8" hidden="1"/>
    <cellStyle name="Hiperlink" xfId="1309" builtinId="8" hidden="1"/>
    <cellStyle name="Hiperlink" xfId="1311" builtinId="8" hidden="1"/>
    <cellStyle name="Hiperlink" xfId="1313" builtinId="8" hidden="1"/>
    <cellStyle name="Hiperlink" xfId="1315" builtinId="8" hidden="1"/>
    <cellStyle name="Hiperlink" xfId="1317" builtinId="8" hidden="1"/>
    <cellStyle name="Hiperlink" xfId="1319" builtinId="8" hidden="1"/>
    <cellStyle name="Hiperlink" xfId="1321" builtinId="8" hidden="1"/>
    <cellStyle name="Hiperlink" xfId="1323" builtinId="8" hidden="1"/>
    <cellStyle name="Hiperlink" xfId="1325" builtinId="8" hidden="1"/>
    <cellStyle name="Hiperlink" xfId="1327" builtinId="8" hidden="1"/>
    <cellStyle name="Hiperlink" xfId="1329" builtinId="8" hidden="1"/>
    <cellStyle name="Hiperlink" xfId="1331" builtinId="8" hidden="1"/>
    <cellStyle name="Hiperlink" xfId="1333" builtinId="8" hidden="1"/>
    <cellStyle name="Hiperlink" xfId="1335" builtinId="8" hidden="1"/>
    <cellStyle name="Hiperlink" xfId="1337" builtinId="8" hidden="1"/>
    <cellStyle name="Hiperlink" xfId="1339" builtinId="8" hidden="1"/>
    <cellStyle name="Hiperlink" xfId="1341" builtinId="8" hidden="1"/>
    <cellStyle name="Hiperlink" xfId="1343" builtinId="8" hidden="1"/>
    <cellStyle name="Hiperlink" xfId="1345" builtinId="8" hidden="1"/>
    <cellStyle name="Hiperlink" xfId="1347" builtinId="8" hidden="1"/>
    <cellStyle name="Hiperlink" xfId="1349" builtinId="8" hidden="1"/>
    <cellStyle name="Hiperlink" xfId="1351" builtinId="8" hidden="1"/>
    <cellStyle name="Hiperlink" xfId="1353" builtinId="8" hidden="1"/>
    <cellStyle name="Hiperlink" xfId="1355" builtinId="8" hidden="1"/>
    <cellStyle name="Hiperlink" xfId="1357" builtinId="8" hidden="1"/>
    <cellStyle name="Hiperlink" xfId="1359" builtinId="8" hidden="1"/>
    <cellStyle name="Hiperlink" xfId="1361" builtinId="8" hidden="1"/>
    <cellStyle name="Hiperlink" xfId="1363" builtinId="8" hidden="1"/>
    <cellStyle name="Hiperlink" xfId="1365" builtinId="8" hidden="1"/>
    <cellStyle name="Hiperlink" xfId="1367" builtinId="8" hidden="1"/>
    <cellStyle name="Hiperlink" xfId="1369" builtinId="8" hidden="1"/>
    <cellStyle name="Hiperlink" xfId="1371" builtinId="8" hidden="1"/>
    <cellStyle name="Hiperlink" xfId="1373" builtinId="8" hidden="1"/>
    <cellStyle name="Hiperlink" xfId="1375" builtinId="8" hidden="1"/>
    <cellStyle name="Hiperlink" xfId="1377" builtinId="8" hidden="1"/>
    <cellStyle name="Hiperlink" xfId="1379" builtinId="8" hidden="1"/>
    <cellStyle name="Hiperlink" xfId="1381" builtinId="8" hidden="1"/>
    <cellStyle name="Hiperlink" xfId="1383" builtinId="8" hidden="1"/>
    <cellStyle name="Hiperlink" xfId="1385" builtinId="8" hidden="1"/>
    <cellStyle name="Hiperlink" xfId="1387" builtinId="8" hidden="1"/>
    <cellStyle name="Hiperlink" xfId="1389" builtinId="8" hidden="1"/>
    <cellStyle name="Hiperlink" xfId="1391" builtinId="8" hidden="1"/>
    <cellStyle name="Hiperlink" xfId="1393" builtinId="8" hidden="1"/>
    <cellStyle name="Hiperlink" xfId="1395" builtinId="8" hidden="1"/>
    <cellStyle name="Hiperlink" xfId="1397" builtinId="8" hidden="1"/>
    <cellStyle name="Hiperlink" xfId="1399" builtinId="8" hidden="1"/>
    <cellStyle name="Hiperlink" xfId="1401" builtinId="8" hidden="1"/>
    <cellStyle name="Hiperlink" xfId="1403" builtinId="8" hidden="1"/>
    <cellStyle name="Hiperlink" xfId="1405" builtinId="8" hidden="1"/>
    <cellStyle name="Hiperlink" xfId="1407" builtinId="8" hidden="1"/>
    <cellStyle name="Hiperlink" xfId="1409" builtinId="8" hidden="1"/>
    <cellStyle name="Hiperlink" xfId="1411" builtinId="8" hidden="1"/>
    <cellStyle name="Hiperlink" xfId="1413" builtinId="8" hidden="1"/>
    <cellStyle name="Hiperlink" xfId="1415" builtinId="8" hidden="1"/>
    <cellStyle name="Hiperlink" xfId="1417" builtinId="8" hidden="1"/>
    <cellStyle name="Hiperlink" xfId="1419" builtinId="8" hidden="1"/>
    <cellStyle name="Hiperlink" xfId="1421" builtinId="8" hidden="1"/>
    <cellStyle name="Hiperlink" xfId="1423" builtinId="8" hidden="1"/>
    <cellStyle name="Hiperlink" xfId="1425" builtinId="8" hidden="1"/>
    <cellStyle name="Hiperlink" xfId="1427" builtinId="8" hidden="1"/>
    <cellStyle name="Hiperlink" xfId="1429" builtinId="8" hidden="1"/>
    <cellStyle name="Hiperlink" xfId="1431" builtinId="8" hidden="1"/>
    <cellStyle name="Hiperlink" xfId="1433" builtinId="8" hidden="1"/>
    <cellStyle name="Hiperlink" xfId="1435" builtinId="8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6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2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198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4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6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2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78" builtinId="9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6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4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2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0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18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6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4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2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350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58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66" builtinId="9" hidden="1"/>
    <cellStyle name="Hiperlink Visitado" xfId="368" builtinId="9" hidden="1"/>
    <cellStyle name="Hiperlink Visitado" xfId="370" builtinId="9" hidden="1"/>
    <cellStyle name="Hiperlink Visitado" xfId="372" builtinId="9" hidden="1"/>
    <cellStyle name="Hiperlink Visitado" xfId="374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2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0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398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6" builtinId="9" hidden="1"/>
    <cellStyle name="Hiperlink Visitado" xfId="408" builtinId="9" hidden="1"/>
    <cellStyle name="Hiperlink Visitado" xfId="410" builtinId="9" hidden="1"/>
    <cellStyle name="Hiperlink Visitado" xfId="412" builtinId="9" hidden="1"/>
    <cellStyle name="Hiperlink Visitado" xfId="414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2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0" builtinId="9" hidden="1"/>
    <cellStyle name="Hiperlink Visitado" xfId="432" builtinId="9" hidden="1"/>
    <cellStyle name="Hiperlink Visitado" xfId="434" builtinId="9" hidden="1"/>
    <cellStyle name="Hiperlink Visitado" xfId="436" builtinId="9" hidden="1"/>
    <cellStyle name="Hiperlink Visitado" xfId="438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6" builtinId="9" hidden="1"/>
    <cellStyle name="Hiperlink Visitado" xfId="448" builtinId="9" hidden="1"/>
    <cellStyle name="Hiperlink Visitado" xfId="450" builtinId="9" hidden="1"/>
    <cellStyle name="Hiperlink Visitado" xfId="452" builtinId="9" hidden="1"/>
    <cellStyle name="Hiperlink Visitado" xfId="454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2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0" builtinId="9" hidden="1"/>
    <cellStyle name="Hiperlink Visitado" xfId="472" builtinId="9" hidden="1"/>
    <cellStyle name="Hiperlink Visitado" xfId="474" builtinId="9" hidden="1"/>
    <cellStyle name="Hiperlink Visitado" xfId="476" builtinId="9" hidden="1"/>
    <cellStyle name="Hiperlink Visitado" xfId="478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6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4" builtinId="9" hidden="1"/>
    <cellStyle name="Hiperlink Visitado" xfId="496" builtinId="9" hidden="1"/>
    <cellStyle name="Hiperlink Visitado" xfId="498" builtinId="9" hidden="1"/>
    <cellStyle name="Hiperlink Visitado" xfId="500" builtinId="9" hidden="1"/>
    <cellStyle name="Hiperlink Visitado" xfId="502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0" builtinId="9" hidden="1"/>
    <cellStyle name="Hiperlink Visitado" xfId="512" builtinId="9" hidden="1"/>
    <cellStyle name="Hiperlink Visitado" xfId="514" builtinId="9" hidden="1"/>
    <cellStyle name="Hiperlink Visitado" xfId="516" builtinId="9" hidden="1"/>
    <cellStyle name="Hiperlink Visitado" xfId="518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6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4" builtinId="9" hidden="1"/>
    <cellStyle name="Hiperlink Visitado" xfId="536" builtinId="9" hidden="1"/>
    <cellStyle name="Hiperlink Visitado" xfId="538" builtinId="9" hidden="1"/>
    <cellStyle name="Hiperlink Visitado" xfId="540" builtinId="9" hidden="1"/>
    <cellStyle name="Hiperlink Visitado" xfId="542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0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58" builtinId="9" hidden="1"/>
    <cellStyle name="Hiperlink Visitado" xfId="560" builtinId="9" hidden="1"/>
    <cellStyle name="Hiperlink Visitado" xfId="562" builtinId="9" hidden="1"/>
    <cellStyle name="Hiperlink Visitado" xfId="564" builtinId="9" hidden="1"/>
    <cellStyle name="Hiperlink Visitado" xfId="566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4" builtinId="9" hidden="1"/>
    <cellStyle name="Hiperlink Visitado" xfId="576" builtinId="9" hidden="1"/>
    <cellStyle name="Hiperlink Visitado" xfId="578" builtinId="9" hidden="1"/>
    <cellStyle name="Hiperlink Visitado" xfId="580" builtinId="9" hidden="1"/>
    <cellStyle name="Hiperlink Visitado" xfId="582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0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598" builtinId="9" hidden="1"/>
    <cellStyle name="Hiperlink Visitado" xfId="600" builtinId="9" hidden="1"/>
    <cellStyle name="Hiperlink Visitado" xfId="602" builtinId="9" hidden="1"/>
    <cellStyle name="Hiperlink Visitado" xfId="604" builtinId="9" hidden="1"/>
    <cellStyle name="Hiperlink Visitado" xfId="606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4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2" builtinId="9" hidden="1"/>
    <cellStyle name="Hiperlink Visitado" xfId="624" builtinId="9" hidden="1"/>
    <cellStyle name="Hiperlink Visitado" xfId="626" builtinId="9" hidden="1"/>
    <cellStyle name="Hiperlink Visitado" xfId="628" builtinId="9" hidden="1"/>
    <cellStyle name="Hiperlink Visitado" xfId="630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38" builtinId="9" hidden="1"/>
    <cellStyle name="Hiperlink Visitado" xfId="640" builtinId="9" hidden="1"/>
    <cellStyle name="Hiperlink Visitado" xfId="642" builtinId="9" hidden="1"/>
    <cellStyle name="Hiperlink Visitado" xfId="644" builtinId="9" hidden="1"/>
    <cellStyle name="Hiperlink Visitado" xfId="646" builtinId="9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4" builtinId="9" hidden="1"/>
    <cellStyle name="Hiperlink Visitado" xfId="656" builtinId="9" hidden="1"/>
    <cellStyle name="Hiperlink Visitado" xfId="658" builtinId="9" hidden="1"/>
    <cellStyle name="Hiperlink Visitado" xfId="660" builtinId="9" hidden="1"/>
    <cellStyle name="Hiperlink Visitado" xfId="662" builtinId="9" hidden="1"/>
    <cellStyle name="Hiperlink Visitado" xfId="664" builtinId="9" hidden="1"/>
    <cellStyle name="Hiperlink Visitado" xfId="666" builtinId="9" hidden="1"/>
    <cellStyle name="Hiperlink Visitado" xfId="668" builtinId="9" hidden="1"/>
    <cellStyle name="Hiperlink Visitado" xfId="670" builtinId="9" hidden="1"/>
    <cellStyle name="Hiperlink Visitado" xfId="672" builtinId="9" hidden="1"/>
    <cellStyle name="Hiperlink Visitado" xfId="674" builtinId="9" hidden="1"/>
    <cellStyle name="Hiperlink Visitado" xfId="676" builtinId="9" hidden="1"/>
    <cellStyle name="Hiperlink Visitado" xfId="678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86" builtinId="9" hidden="1"/>
    <cellStyle name="Hiperlink Visitado" xfId="688" builtinId="9" hidden="1"/>
    <cellStyle name="Hiperlink Visitado" xfId="690" builtinId="9" hidden="1"/>
    <cellStyle name="Hiperlink Visitado" xfId="692" builtinId="9" hidden="1"/>
    <cellStyle name="Hiperlink Visitado" xfId="694" builtinId="9" hidden="1"/>
    <cellStyle name="Hiperlink Visitado" xfId="696" builtinId="9" hidden="1"/>
    <cellStyle name="Hiperlink Visitado" xfId="698" builtinId="9" hidden="1"/>
    <cellStyle name="Hiperlink Visitado" xfId="700" builtinId="9" hidden="1"/>
    <cellStyle name="Hiperlink Visitado" xfId="702" builtinId="9" hidden="1"/>
    <cellStyle name="Hiperlink Visitado" xfId="704" builtinId="9" hidden="1"/>
    <cellStyle name="Hiperlink Visitado" xfId="706" builtinId="9" hidden="1"/>
    <cellStyle name="Hiperlink Visitado" xfId="708" builtinId="9" hidden="1"/>
    <cellStyle name="Hiperlink Visitado" xfId="710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18" builtinId="9" hidden="1"/>
    <cellStyle name="Hiperlink Visitado" xfId="720" builtinId="9" hidden="1"/>
    <cellStyle name="Hiperlink Visitado" xfId="722" builtinId="9" hidden="1"/>
    <cellStyle name="Hiperlink Visitado" xfId="724" builtinId="9" hidden="1"/>
    <cellStyle name="Hiperlink Visitado" xfId="726" builtinId="9" hidden="1"/>
    <cellStyle name="Hiperlink Visitado" xfId="728" builtinId="9" hidden="1"/>
    <cellStyle name="Hiperlink Visitado" xfId="730" builtinId="9" hidden="1"/>
    <cellStyle name="Hiperlink Visitado" xfId="732" builtinId="9" hidden="1"/>
    <cellStyle name="Hiperlink Visitado" xfId="734" builtinId="9" hidden="1"/>
    <cellStyle name="Hiperlink Visitado" xfId="736" builtinId="9" hidden="1"/>
    <cellStyle name="Hiperlink Visitado" xfId="738" builtinId="9" hidden="1"/>
    <cellStyle name="Hiperlink Visitado" xfId="740" builtinId="9" hidden="1"/>
    <cellStyle name="Hiperlink Visitado" xfId="742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0" builtinId="9" hidden="1"/>
    <cellStyle name="Hiperlink Visitado" xfId="752" builtinId="9" hidden="1"/>
    <cellStyle name="Hiperlink Visitado" xfId="754" builtinId="9" hidden="1"/>
    <cellStyle name="Hiperlink Visitado" xfId="756" builtinId="9" hidden="1"/>
    <cellStyle name="Hiperlink Visitado" xfId="758" builtinId="9" hidden="1"/>
    <cellStyle name="Hiperlink Visitado" xfId="760" builtinId="9" hidden="1"/>
    <cellStyle name="Hiperlink Visitado" xfId="762" builtinId="9" hidden="1"/>
    <cellStyle name="Hiperlink Visitado" xfId="764" builtinId="9" hidden="1"/>
    <cellStyle name="Hiperlink Visitado" xfId="766" builtinId="9" hidden="1"/>
    <cellStyle name="Hiperlink Visitado" xfId="768" builtinId="9" hidden="1"/>
    <cellStyle name="Hiperlink Visitado" xfId="770" builtinId="9" hidden="1"/>
    <cellStyle name="Hiperlink Visitado" xfId="772" builtinId="9" hidden="1"/>
    <cellStyle name="Hiperlink Visitado" xfId="774" builtinId="9" hidden="1"/>
    <cellStyle name="Hiperlink Visitado" xfId="776" builtinId="9" hidden="1"/>
    <cellStyle name="Hiperlink Visitado" xfId="778" builtinId="9" hidden="1"/>
    <cellStyle name="Hiperlink Visitado" xfId="780" builtinId="9" hidden="1"/>
    <cellStyle name="Hiperlink Visitado" xfId="782" builtinId="9" hidden="1"/>
    <cellStyle name="Hiperlink Visitado" xfId="784" builtinId="9" hidden="1"/>
    <cellStyle name="Hiperlink Visitado" xfId="786" builtinId="9" hidden="1"/>
    <cellStyle name="Hiperlink Visitado" xfId="788" builtinId="9" hidden="1"/>
    <cellStyle name="Hiperlink Visitado" xfId="790" builtinId="9" hidden="1"/>
    <cellStyle name="Hiperlink Visitado" xfId="792" builtinId="9" hidden="1"/>
    <cellStyle name="Hiperlink Visitado" xfId="794" builtinId="9" hidden="1"/>
    <cellStyle name="Hiperlink Visitado" xfId="796" builtinId="9" hidden="1"/>
    <cellStyle name="Hiperlink Visitado" xfId="798" builtinId="9" hidden="1"/>
    <cellStyle name="Hiperlink Visitado" xfId="800" builtinId="9" hidden="1"/>
    <cellStyle name="Hiperlink Visitado" xfId="802" builtinId="9" hidden="1"/>
    <cellStyle name="Hiperlink Visitado" xfId="804" builtinId="9" hidden="1"/>
    <cellStyle name="Hiperlink Visitado" xfId="806" builtinId="9" hidden="1"/>
    <cellStyle name="Hiperlink Visitado" xfId="808" builtinId="9" hidden="1"/>
    <cellStyle name="Hiperlink Visitado" xfId="810" builtinId="9" hidden="1"/>
    <cellStyle name="Hiperlink Visitado" xfId="812" builtinId="9" hidden="1"/>
    <cellStyle name="Hiperlink Visitado" xfId="814" builtinId="9" hidden="1"/>
    <cellStyle name="Hiperlink Visitado" xfId="816" builtinId="9" hidden="1"/>
    <cellStyle name="Hiperlink Visitado" xfId="818" builtinId="9" hidden="1"/>
    <cellStyle name="Hiperlink Visitado" xfId="820" builtinId="9" hidden="1"/>
    <cellStyle name="Hiperlink Visitado" xfId="822" builtinId="9" hidden="1"/>
    <cellStyle name="Hiperlink Visitado" xfId="824" builtinId="9" hidden="1"/>
    <cellStyle name="Hiperlink Visitado" xfId="826" builtinId="9" hidden="1"/>
    <cellStyle name="Hiperlink Visitado" xfId="828" builtinId="9" hidden="1"/>
    <cellStyle name="Hiperlink Visitado" xfId="830" builtinId="9" hidden="1"/>
    <cellStyle name="Hiperlink Visitado" xfId="832" builtinId="9" hidden="1"/>
    <cellStyle name="Hiperlink Visitado" xfId="834" builtinId="9" hidden="1"/>
    <cellStyle name="Hiperlink Visitado" xfId="836" builtinId="9" hidden="1"/>
    <cellStyle name="Hiperlink Visitado" xfId="838" builtinId="9" hidden="1"/>
    <cellStyle name="Hiperlink Visitado" xfId="840" builtinId="9" hidden="1"/>
    <cellStyle name="Hiperlink Visitado" xfId="842" builtinId="9" hidden="1"/>
    <cellStyle name="Hiperlink Visitado" xfId="844" builtinId="9" hidden="1"/>
    <cellStyle name="Hiperlink Visitado" xfId="846" builtinId="9" hidden="1"/>
    <cellStyle name="Hiperlink Visitado" xfId="848" builtinId="9" hidden="1"/>
    <cellStyle name="Hiperlink Visitado" xfId="850" builtinId="9" hidden="1"/>
    <cellStyle name="Hiperlink Visitado" xfId="852" builtinId="9" hidden="1"/>
    <cellStyle name="Hiperlink Visitado" xfId="854" builtinId="9" hidden="1"/>
    <cellStyle name="Hiperlink Visitado" xfId="856" builtinId="9" hidden="1"/>
    <cellStyle name="Hiperlink Visitado" xfId="858" builtinId="9" hidden="1"/>
    <cellStyle name="Hiperlink Visitado" xfId="860" builtinId="9" hidden="1"/>
    <cellStyle name="Hiperlink Visitado" xfId="862" builtinId="9" hidden="1"/>
    <cellStyle name="Hiperlink Visitado" xfId="864" builtinId="9" hidden="1"/>
    <cellStyle name="Hiperlink Visitado" xfId="866" builtinId="9" hidden="1"/>
    <cellStyle name="Hiperlink Visitado" xfId="868" builtinId="9" hidden="1"/>
    <cellStyle name="Hiperlink Visitado" xfId="870" builtinId="9" hidden="1"/>
    <cellStyle name="Hiperlink Visitado" xfId="872" builtinId="9" hidden="1"/>
    <cellStyle name="Hiperlink Visitado" xfId="874" builtinId="9" hidden="1"/>
    <cellStyle name="Hiperlink Visitado" xfId="876" builtinId="9" hidden="1"/>
    <cellStyle name="Hiperlink Visitado" xfId="878" builtinId="9" hidden="1"/>
    <cellStyle name="Hiperlink Visitado" xfId="880" builtinId="9" hidden="1"/>
    <cellStyle name="Hiperlink Visitado" xfId="882" builtinId="9" hidden="1"/>
    <cellStyle name="Hiperlink Visitado" xfId="884" builtinId="9" hidden="1"/>
    <cellStyle name="Hiperlink Visitado" xfId="886" builtinId="9" hidden="1"/>
    <cellStyle name="Hiperlink Visitado" xfId="888" builtinId="9" hidden="1"/>
    <cellStyle name="Hiperlink Visitado" xfId="890" builtinId="9" hidden="1"/>
    <cellStyle name="Hiperlink Visitado" xfId="892" builtinId="9" hidden="1"/>
    <cellStyle name="Hiperlink Visitado" xfId="894" builtinId="9" hidden="1"/>
    <cellStyle name="Hiperlink Visitado" xfId="896" builtinId="9" hidden="1"/>
    <cellStyle name="Hiperlink Visitado" xfId="898" builtinId="9" hidden="1"/>
    <cellStyle name="Hiperlink Visitado" xfId="900" builtinId="9" hidden="1"/>
    <cellStyle name="Hiperlink Visitado" xfId="902" builtinId="9" hidden="1"/>
    <cellStyle name="Hiperlink Visitado" xfId="904" builtinId="9" hidden="1"/>
    <cellStyle name="Hiperlink Visitado" xfId="906" builtinId="9" hidden="1"/>
    <cellStyle name="Hiperlink Visitado" xfId="908" builtinId="9" hidden="1"/>
    <cellStyle name="Hiperlink Visitado" xfId="910" builtinId="9" hidden="1"/>
    <cellStyle name="Hiperlink Visitado" xfId="912" builtinId="9" hidden="1"/>
    <cellStyle name="Hiperlink Visitado" xfId="914" builtinId="9" hidden="1"/>
    <cellStyle name="Hiperlink Visitado" xfId="916" builtinId="9" hidden="1"/>
    <cellStyle name="Hiperlink Visitado" xfId="918" builtinId="9" hidden="1"/>
    <cellStyle name="Hiperlink Visitado" xfId="920" builtinId="9" hidden="1"/>
    <cellStyle name="Hiperlink Visitado" xfId="922" builtinId="9" hidden="1"/>
    <cellStyle name="Hiperlink Visitado" xfId="924" builtinId="9" hidden="1"/>
    <cellStyle name="Hiperlink Visitado" xfId="926" builtinId="9" hidden="1"/>
    <cellStyle name="Hiperlink Visitado" xfId="928" builtinId="9" hidden="1"/>
    <cellStyle name="Hiperlink Visitado" xfId="930" builtinId="9" hidden="1"/>
    <cellStyle name="Hiperlink Visitado" xfId="932" builtinId="9" hidden="1"/>
    <cellStyle name="Hiperlink Visitado" xfId="934" builtinId="9" hidden="1"/>
    <cellStyle name="Hiperlink Visitado" xfId="936" builtinId="9" hidden="1"/>
    <cellStyle name="Hiperlink Visitado" xfId="938" builtinId="9" hidden="1"/>
    <cellStyle name="Hiperlink Visitado" xfId="940" builtinId="9" hidden="1"/>
    <cellStyle name="Hiperlink Visitado" xfId="942" builtinId="9" hidden="1"/>
    <cellStyle name="Hiperlink Visitado" xfId="944" builtinId="9" hidden="1"/>
    <cellStyle name="Hiperlink Visitado" xfId="946" builtinId="9" hidden="1"/>
    <cellStyle name="Hiperlink Visitado" xfId="948" builtinId="9" hidden="1"/>
    <cellStyle name="Hiperlink Visitado" xfId="950" builtinId="9" hidden="1"/>
    <cellStyle name="Hiperlink Visitado" xfId="952" builtinId="9" hidden="1"/>
    <cellStyle name="Hiperlink Visitado" xfId="954" builtinId="9" hidden="1"/>
    <cellStyle name="Hiperlink Visitado" xfId="956" builtinId="9" hidden="1"/>
    <cellStyle name="Hiperlink Visitado" xfId="958" builtinId="9" hidden="1"/>
    <cellStyle name="Hiperlink Visitado" xfId="960" builtinId="9" hidden="1"/>
    <cellStyle name="Hiperlink Visitado" xfId="962" builtinId="9" hidden="1"/>
    <cellStyle name="Hiperlink Visitado" xfId="964" builtinId="9" hidden="1"/>
    <cellStyle name="Hiperlink Visitado" xfId="966" builtinId="9" hidden="1"/>
    <cellStyle name="Hiperlink Visitado" xfId="968" builtinId="9" hidden="1"/>
    <cellStyle name="Hiperlink Visitado" xfId="970" builtinId="9" hidden="1"/>
    <cellStyle name="Hiperlink Visitado" xfId="972" builtinId="9" hidden="1"/>
    <cellStyle name="Hiperlink Visitado" xfId="974" builtinId="9" hidden="1"/>
    <cellStyle name="Hiperlink Visitado" xfId="976" builtinId="9" hidden="1"/>
    <cellStyle name="Hiperlink Visitado" xfId="978" builtinId="9" hidden="1"/>
    <cellStyle name="Hiperlink Visitado" xfId="980" builtinId="9" hidden="1"/>
    <cellStyle name="Hiperlink Visitado" xfId="982" builtinId="9" hidden="1"/>
    <cellStyle name="Hiperlink Visitado" xfId="984" builtinId="9" hidden="1"/>
    <cellStyle name="Hiperlink Visitado" xfId="986" builtinId="9" hidden="1"/>
    <cellStyle name="Hiperlink Visitado" xfId="988" builtinId="9" hidden="1"/>
    <cellStyle name="Hiperlink Visitado" xfId="990" builtinId="9" hidden="1"/>
    <cellStyle name="Hiperlink Visitado" xfId="992" builtinId="9" hidden="1"/>
    <cellStyle name="Hiperlink Visitado" xfId="994" builtinId="9" hidden="1"/>
    <cellStyle name="Hiperlink Visitado" xfId="996" builtinId="9" hidden="1"/>
    <cellStyle name="Hiperlink Visitado" xfId="998" builtinId="9" hidden="1"/>
    <cellStyle name="Hiperlink Visitado" xfId="1000" builtinId="9" hidden="1"/>
    <cellStyle name="Hiperlink Visitado" xfId="1002" builtinId="9" hidden="1"/>
    <cellStyle name="Hiperlink Visitado" xfId="1004" builtinId="9" hidden="1"/>
    <cellStyle name="Hiperlink Visitado" xfId="1006" builtinId="9" hidden="1"/>
    <cellStyle name="Hiperlink Visitado" xfId="1008" builtinId="9" hidden="1"/>
    <cellStyle name="Hiperlink Visitado" xfId="1010" builtinId="9" hidden="1"/>
    <cellStyle name="Hiperlink Visitado" xfId="1012" builtinId="9" hidden="1"/>
    <cellStyle name="Hiperlink Visitado" xfId="1014" builtinId="9" hidden="1"/>
    <cellStyle name="Hiperlink Visitado" xfId="1016" builtinId="9" hidden="1"/>
    <cellStyle name="Hiperlink Visitado" xfId="1018" builtinId="9" hidden="1"/>
    <cellStyle name="Hiperlink Visitado" xfId="1020" builtinId="9" hidden="1"/>
    <cellStyle name="Hiperlink Visitado" xfId="1022" builtinId="9" hidden="1"/>
    <cellStyle name="Hiperlink Visitado" xfId="1024" builtinId="9" hidden="1"/>
    <cellStyle name="Hiperlink Visitado" xfId="1026" builtinId="9" hidden="1"/>
    <cellStyle name="Hiperlink Visitado" xfId="1028" builtinId="9" hidden="1"/>
    <cellStyle name="Hiperlink Visitado" xfId="1030" builtinId="9" hidden="1"/>
    <cellStyle name="Hiperlink Visitado" xfId="1032" builtinId="9" hidden="1"/>
    <cellStyle name="Hiperlink Visitado" xfId="1034" builtinId="9" hidden="1"/>
    <cellStyle name="Hiperlink Visitado" xfId="1036" builtinId="9" hidden="1"/>
    <cellStyle name="Hiperlink Visitado" xfId="1038" builtinId="9" hidden="1"/>
    <cellStyle name="Hiperlink Visitado" xfId="1040" builtinId="9" hidden="1"/>
    <cellStyle name="Hiperlink Visitado" xfId="1042" builtinId="9" hidden="1"/>
    <cellStyle name="Hiperlink Visitado" xfId="1044" builtinId="9" hidden="1"/>
    <cellStyle name="Hiperlink Visitado" xfId="1046" builtinId="9" hidden="1"/>
    <cellStyle name="Hiperlink Visitado" xfId="1048" builtinId="9" hidden="1"/>
    <cellStyle name="Hiperlink Visitado" xfId="1050" builtinId="9" hidden="1"/>
    <cellStyle name="Hiperlink Visitado" xfId="1052" builtinId="9" hidden="1"/>
    <cellStyle name="Hiperlink Visitado" xfId="1054" builtinId="9" hidden="1"/>
    <cellStyle name="Hiperlink Visitado" xfId="1056" builtinId="9" hidden="1"/>
    <cellStyle name="Hiperlink Visitado" xfId="1058" builtinId="9" hidden="1"/>
    <cellStyle name="Hiperlink Visitado" xfId="1060" builtinId="9" hidden="1"/>
    <cellStyle name="Hiperlink Visitado" xfId="1062" builtinId="9" hidden="1"/>
    <cellStyle name="Hiperlink Visitado" xfId="1064" builtinId="9" hidden="1"/>
    <cellStyle name="Hiperlink Visitado" xfId="1066" builtinId="9" hidden="1"/>
    <cellStyle name="Hiperlink Visitado" xfId="1068" builtinId="9" hidden="1"/>
    <cellStyle name="Hiperlink Visitado" xfId="1070" builtinId="9" hidden="1"/>
    <cellStyle name="Hiperlink Visitado" xfId="1072" builtinId="9" hidden="1"/>
    <cellStyle name="Hiperlink Visitado" xfId="1074" builtinId="9" hidden="1"/>
    <cellStyle name="Hiperlink Visitado" xfId="1076" builtinId="9" hidden="1"/>
    <cellStyle name="Hiperlink Visitado" xfId="1078" builtinId="9" hidden="1"/>
    <cellStyle name="Hiperlink Visitado" xfId="1080" builtinId="9" hidden="1"/>
    <cellStyle name="Hiperlink Visitado" xfId="1082" builtinId="9" hidden="1"/>
    <cellStyle name="Hiperlink Visitado" xfId="1084" builtinId="9" hidden="1"/>
    <cellStyle name="Hiperlink Visitado" xfId="1086" builtinId="9" hidden="1"/>
    <cellStyle name="Hiperlink Visitado" xfId="1088" builtinId="9" hidden="1"/>
    <cellStyle name="Hiperlink Visitado" xfId="1090" builtinId="9" hidden="1"/>
    <cellStyle name="Hiperlink Visitado" xfId="1092" builtinId="9" hidden="1"/>
    <cellStyle name="Hiperlink Visitado" xfId="1094" builtinId="9" hidden="1"/>
    <cellStyle name="Hiperlink Visitado" xfId="1096" builtinId="9" hidden="1"/>
    <cellStyle name="Hiperlink Visitado" xfId="1098" builtinId="9" hidden="1"/>
    <cellStyle name="Hiperlink Visitado" xfId="1100" builtinId="9" hidden="1"/>
    <cellStyle name="Hiperlink Visitado" xfId="1102" builtinId="9" hidden="1"/>
    <cellStyle name="Hiperlink Visitado" xfId="1104" builtinId="9" hidden="1"/>
    <cellStyle name="Hiperlink Visitado" xfId="1106" builtinId="9" hidden="1"/>
    <cellStyle name="Hiperlink Visitado" xfId="1108" builtinId="9" hidden="1"/>
    <cellStyle name="Hiperlink Visitado" xfId="1110" builtinId="9" hidden="1"/>
    <cellStyle name="Hiperlink Visitado" xfId="1112" builtinId="9" hidden="1"/>
    <cellStyle name="Hiperlink Visitado" xfId="1114" builtinId="9" hidden="1"/>
    <cellStyle name="Hiperlink Visitado" xfId="1116" builtinId="9" hidden="1"/>
    <cellStyle name="Hiperlink Visitado" xfId="1118" builtinId="9" hidden="1"/>
    <cellStyle name="Hiperlink Visitado" xfId="1120" builtinId="9" hidden="1"/>
    <cellStyle name="Hiperlink Visitado" xfId="1122" builtinId="9" hidden="1"/>
    <cellStyle name="Hiperlink Visitado" xfId="1124" builtinId="9" hidden="1"/>
    <cellStyle name="Hiperlink Visitado" xfId="1126" builtinId="9" hidden="1"/>
    <cellStyle name="Hiperlink Visitado" xfId="1128" builtinId="9" hidden="1"/>
    <cellStyle name="Hiperlink Visitado" xfId="1130" builtinId="9" hidden="1"/>
    <cellStyle name="Hiperlink Visitado" xfId="1132" builtinId="9" hidden="1"/>
    <cellStyle name="Hiperlink Visitado" xfId="1134" builtinId="9" hidden="1"/>
    <cellStyle name="Hiperlink Visitado" xfId="1136" builtinId="9" hidden="1"/>
    <cellStyle name="Hiperlink Visitado" xfId="1138" builtinId="9" hidden="1"/>
    <cellStyle name="Hiperlink Visitado" xfId="1140" builtinId="9" hidden="1"/>
    <cellStyle name="Hiperlink Visitado" xfId="1142" builtinId="9" hidden="1"/>
    <cellStyle name="Hiperlink Visitado" xfId="1144" builtinId="9" hidden="1"/>
    <cellStyle name="Hiperlink Visitado" xfId="1146" builtinId="9" hidden="1"/>
    <cellStyle name="Hiperlink Visitado" xfId="1148" builtinId="9" hidden="1"/>
    <cellStyle name="Hiperlink Visitado" xfId="1150" builtinId="9" hidden="1"/>
    <cellStyle name="Hiperlink Visitado" xfId="1152" builtinId="9" hidden="1"/>
    <cellStyle name="Hiperlink Visitado" xfId="1154" builtinId="9" hidden="1"/>
    <cellStyle name="Hiperlink Visitado" xfId="1156" builtinId="9" hidden="1"/>
    <cellStyle name="Hiperlink Visitado" xfId="1158" builtinId="9" hidden="1"/>
    <cellStyle name="Hiperlink Visitado" xfId="1160" builtinId="9" hidden="1"/>
    <cellStyle name="Hiperlink Visitado" xfId="1162" builtinId="9" hidden="1"/>
    <cellStyle name="Hiperlink Visitado" xfId="1164" builtinId="9" hidden="1"/>
    <cellStyle name="Hiperlink Visitado" xfId="1166" builtinId="9" hidden="1"/>
    <cellStyle name="Hiperlink Visitado" xfId="1168" builtinId="9" hidden="1"/>
    <cellStyle name="Hiperlink Visitado" xfId="1170" builtinId="9" hidden="1"/>
    <cellStyle name="Hiperlink Visitado" xfId="1172" builtinId="9" hidden="1"/>
    <cellStyle name="Hiperlink Visitado" xfId="1174" builtinId="9" hidden="1"/>
    <cellStyle name="Hiperlink Visitado" xfId="1176" builtinId="9" hidden="1"/>
    <cellStyle name="Hiperlink Visitado" xfId="1178" builtinId="9" hidden="1"/>
    <cellStyle name="Hiperlink Visitado" xfId="1180" builtinId="9" hidden="1"/>
    <cellStyle name="Hiperlink Visitado" xfId="1182" builtinId="9" hidden="1"/>
    <cellStyle name="Hiperlink Visitado" xfId="1184" builtinId="9" hidden="1"/>
    <cellStyle name="Hiperlink Visitado" xfId="1186" builtinId="9" hidden="1"/>
    <cellStyle name="Hiperlink Visitado" xfId="1188" builtinId="9" hidden="1"/>
    <cellStyle name="Hiperlink Visitado" xfId="1190" builtinId="9" hidden="1"/>
    <cellStyle name="Hiperlink Visitado" xfId="1192" builtinId="9" hidden="1"/>
    <cellStyle name="Hiperlink Visitado" xfId="1194" builtinId="9" hidden="1"/>
    <cellStyle name="Hiperlink Visitado" xfId="1196" builtinId="9" hidden="1"/>
    <cellStyle name="Hiperlink Visitado" xfId="1198" builtinId="9" hidden="1"/>
    <cellStyle name="Hiperlink Visitado" xfId="1200" builtinId="9" hidden="1"/>
    <cellStyle name="Hiperlink Visitado" xfId="1202" builtinId="9" hidden="1"/>
    <cellStyle name="Hiperlink Visitado" xfId="1204" builtinId="9" hidden="1"/>
    <cellStyle name="Hiperlink Visitado" xfId="1206" builtinId="9" hidden="1"/>
    <cellStyle name="Hiperlink Visitado" xfId="1208" builtinId="9" hidden="1"/>
    <cellStyle name="Hiperlink Visitado" xfId="1210" builtinId="9" hidden="1"/>
    <cellStyle name="Hiperlink Visitado" xfId="1212" builtinId="9" hidden="1"/>
    <cellStyle name="Hiperlink Visitado" xfId="1214" builtinId="9" hidden="1"/>
    <cellStyle name="Hiperlink Visitado" xfId="1216" builtinId="9" hidden="1"/>
    <cellStyle name="Hiperlink Visitado" xfId="1218" builtinId="9" hidden="1"/>
    <cellStyle name="Hiperlink Visitado" xfId="1220" builtinId="9" hidden="1"/>
    <cellStyle name="Hiperlink Visitado" xfId="1222" builtinId="9" hidden="1"/>
    <cellStyle name="Hiperlink Visitado" xfId="1224" builtinId="9" hidden="1"/>
    <cellStyle name="Hiperlink Visitado" xfId="1226" builtinId="9" hidden="1"/>
    <cellStyle name="Hiperlink Visitado" xfId="1228" builtinId="9" hidden="1"/>
    <cellStyle name="Hiperlink Visitado" xfId="1230" builtinId="9" hidden="1"/>
    <cellStyle name="Hiperlink Visitado" xfId="1232" builtinId="9" hidden="1"/>
    <cellStyle name="Hiperlink Visitado" xfId="1234" builtinId="9" hidden="1"/>
    <cellStyle name="Hiperlink Visitado" xfId="1236" builtinId="9" hidden="1"/>
    <cellStyle name="Hiperlink Visitado" xfId="1238" builtinId="9" hidden="1"/>
    <cellStyle name="Hiperlink Visitado" xfId="1240" builtinId="9" hidden="1"/>
    <cellStyle name="Hiperlink Visitado" xfId="1242" builtinId="9" hidden="1"/>
    <cellStyle name="Hiperlink Visitado" xfId="1244" builtinId="9" hidden="1"/>
    <cellStyle name="Hiperlink Visitado" xfId="1246" builtinId="9" hidden="1"/>
    <cellStyle name="Hiperlink Visitado" xfId="1248" builtinId="9" hidden="1"/>
    <cellStyle name="Hiperlink Visitado" xfId="1250" builtinId="9" hidden="1"/>
    <cellStyle name="Hiperlink Visitado" xfId="1252" builtinId="9" hidden="1"/>
    <cellStyle name="Hiperlink Visitado" xfId="1254" builtinId="9" hidden="1"/>
    <cellStyle name="Hiperlink Visitado" xfId="1256" builtinId="9" hidden="1"/>
    <cellStyle name="Hiperlink Visitado" xfId="1258" builtinId="9" hidden="1"/>
    <cellStyle name="Hiperlink Visitado" xfId="1260" builtinId="9" hidden="1"/>
    <cellStyle name="Hiperlink Visitado" xfId="1262" builtinId="9" hidden="1"/>
    <cellStyle name="Hiperlink Visitado" xfId="1264" builtinId="9" hidden="1"/>
    <cellStyle name="Hiperlink Visitado" xfId="1266" builtinId="9" hidden="1"/>
    <cellStyle name="Hiperlink Visitado" xfId="1268" builtinId="9" hidden="1"/>
    <cellStyle name="Hiperlink Visitado" xfId="1270" builtinId="9" hidden="1"/>
    <cellStyle name="Hiperlink Visitado" xfId="1272" builtinId="9" hidden="1"/>
    <cellStyle name="Hiperlink Visitado" xfId="1274" builtinId="9" hidden="1"/>
    <cellStyle name="Hiperlink Visitado" xfId="1276" builtinId="9" hidden="1"/>
    <cellStyle name="Hiperlink Visitado" xfId="1278" builtinId="9" hidden="1"/>
    <cellStyle name="Hiperlink Visitado" xfId="1280" builtinId="9" hidden="1"/>
    <cellStyle name="Hiperlink Visitado" xfId="1282" builtinId="9" hidden="1"/>
    <cellStyle name="Hiperlink Visitado" xfId="1284" builtinId="9" hidden="1"/>
    <cellStyle name="Hiperlink Visitado" xfId="1286" builtinId="9" hidden="1"/>
    <cellStyle name="Hiperlink Visitado" xfId="1288" builtinId="9" hidden="1"/>
    <cellStyle name="Hiperlink Visitado" xfId="1290" builtinId="9" hidden="1"/>
    <cellStyle name="Hiperlink Visitado" xfId="1292" builtinId="9" hidden="1"/>
    <cellStyle name="Hiperlink Visitado" xfId="1294" builtinId="9" hidden="1"/>
    <cellStyle name="Hiperlink Visitado" xfId="1296" builtinId="9" hidden="1"/>
    <cellStyle name="Hiperlink Visitado" xfId="1298" builtinId="9" hidden="1"/>
    <cellStyle name="Hiperlink Visitado" xfId="1300" builtinId="9" hidden="1"/>
    <cellStyle name="Hiperlink Visitado" xfId="1302" builtinId="9" hidden="1"/>
    <cellStyle name="Hiperlink Visitado" xfId="1304" builtinId="9" hidden="1"/>
    <cellStyle name="Hiperlink Visitado" xfId="1306" builtinId="9" hidden="1"/>
    <cellStyle name="Hiperlink Visitado" xfId="1308" builtinId="9" hidden="1"/>
    <cellStyle name="Hiperlink Visitado" xfId="1310" builtinId="9" hidden="1"/>
    <cellStyle name="Hiperlink Visitado" xfId="1312" builtinId="9" hidden="1"/>
    <cellStyle name="Hiperlink Visitado" xfId="1314" builtinId="9" hidden="1"/>
    <cellStyle name="Hiperlink Visitado" xfId="1316" builtinId="9" hidden="1"/>
    <cellStyle name="Hiperlink Visitado" xfId="1318" builtinId="9" hidden="1"/>
    <cellStyle name="Hiperlink Visitado" xfId="1320" builtinId="9" hidden="1"/>
    <cellStyle name="Hiperlink Visitado" xfId="1322" builtinId="9" hidden="1"/>
    <cellStyle name="Hiperlink Visitado" xfId="1324" builtinId="9" hidden="1"/>
    <cellStyle name="Hiperlink Visitado" xfId="1326" builtinId="9" hidden="1"/>
    <cellStyle name="Hiperlink Visitado" xfId="1328" builtinId="9" hidden="1"/>
    <cellStyle name="Hiperlink Visitado" xfId="1330" builtinId="9" hidden="1"/>
    <cellStyle name="Hiperlink Visitado" xfId="1332" builtinId="9" hidden="1"/>
    <cellStyle name="Hiperlink Visitado" xfId="1334" builtinId="9" hidden="1"/>
    <cellStyle name="Hiperlink Visitado" xfId="1336" builtinId="9" hidden="1"/>
    <cellStyle name="Hiperlink Visitado" xfId="1338" builtinId="9" hidden="1"/>
    <cellStyle name="Hiperlink Visitado" xfId="1340" builtinId="9" hidden="1"/>
    <cellStyle name="Hiperlink Visitado" xfId="1342" builtinId="9" hidden="1"/>
    <cellStyle name="Hiperlink Visitado" xfId="1344" builtinId="9" hidden="1"/>
    <cellStyle name="Hiperlink Visitado" xfId="1346" builtinId="9" hidden="1"/>
    <cellStyle name="Hiperlink Visitado" xfId="1348" builtinId="9" hidden="1"/>
    <cellStyle name="Hiperlink Visitado" xfId="1350" builtinId="9" hidden="1"/>
    <cellStyle name="Hiperlink Visitado" xfId="1352" builtinId="9" hidden="1"/>
    <cellStyle name="Hiperlink Visitado" xfId="1354" builtinId="9" hidden="1"/>
    <cellStyle name="Hiperlink Visitado" xfId="1356" builtinId="9" hidden="1"/>
    <cellStyle name="Hiperlink Visitado" xfId="1358" builtinId="9" hidden="1"/>
    <cellStyle name="Hiperlink Visitado" xfId="1360" builtinId="9" hidden="1"/>
    <cellStyle name="Hiperlink Visitado" xfId="1362" builtinId="9" hidden="1"/>
    <cellStyle name="Hiperlink Visitado" xfId="1364" builtinId="9" hidden="1"/>
    <cellStyle name="Hiperlink Visitado" xfId="1366" builtinId="9" hidden="1"/>
    <cellStyle name="Hiperlink Visitado" xfId="1368" builtinId="9" hidden="1"/>
    <cellStyle name="Hiperlink Visitado" xfId="1370" builtinId="9" hidden="1"/>
    <cellStyle name="Hiperlink Visitado" xfId="1372" builtinId="9" hidden="1"/>
    <cellStyle name="Hiperlink Visitado" xfId="1374" builtinId="9" hidden="1"/>
    <cellStyle name="Hiperlink Visitado" xfId="1376" builtinId="9" hidden="1"/>
    <cellStyle name="Hiperlink Visitado" xfId="1378" builtinId="9" hidden="1"/>
    <cellStyle name="Hiperlink Visitado" xfId="1380" builtinId="9" hidden="1"/>
    <cellStyle name="Hiperlink Visitado" xfId="1382" builtinId="9" hidden="1"/>
    <cellStyle name="Hiperlink Visitado" xfId="1384" builtinId="9" hidden="1"/>
    <cellStyle name="Hiperlink Visitado" xfId="1386" builtinId="9" hidden="1"/>
    <cellStyle name="Hiperlink Visitado" xfId="1388" builtinId="9" hidden="1"/>
    <cellStyle name="Hiperlink Visitado" xfId="1390" builtinId="9" hidden="1"/>
    <cellStyle name="Hiperlink Visitado" xfId="1392" builtinId="9" hidden="1"/>
    <cellStyle name="Hiperlink Visitado" xfId="1394" builtinId="9" hidden="1"/>
    <cellStyle name="Hiperlink Visitado" xfId="1396" builtinId="9" hidden="1"/>
    <cellStyle name="Hiperlink Visitado" xfId="1398" builtinId="9" hidden="1"/>
    <cellStyle name="Hiperlink Visitado" xfId="1400" builtinId="9" hidden="1"/>
    <cellStyle name="Hiperlink Visitado" xfId="1402" builtinId="9" hidden="1"/>
    <cellStyle name="Hiperlink Visitado" xfId="1404" builtinId="9" hidden="1"/>
    <cellStyle name="Hiperlink Visitado" xfId="1406" builtinId="9" hidden="1"/>
    <cellStyle name="Hiperlink Visitado" xfId="1408" builtinId="9" hidden="1"/>
    <cellStyle name="Hiperlink Visitado" xfId="1410" builtinId="9" hidden="1"/>
    <cellStyle name="Hiperlink Visitado" xfId="1412" builtinId="9" hidden="1"/>
    <cellStyle name="Hiperlink Visitado" xfId="1414" builtinId="9" hidden="1"/>
    <cellStyle name="Hiperlink Visitado" xfId="1416" builtinId="9" hidden="1"/>
    <cellStyle name="Hiperlink Visitado" xfId="1418" builtinId="9" hidden="1"/>
    <cellStyle name="Hiperlink Visitado" xfId="1420" builtinId="9" hidden="1"/>
    <cellStyle name="Hiperlink Visitado" xfId="1422" builtinId="9" hidden="1"/>
    <cellStyle name="Hiperlink Visitado" xfId="1424" builtinId="9" hidden="1"/>
    <cellStyle name="Hiperlink Visitado" xfId="1426" builtinId="9" hidden="1"/>
    <cellStyle name="Hiperlink Visitado" xfId="1428" builtinId="9" hidden="1"/>
    <cellStyle name="Hiperlink Visitado" xfId="1430" builtinId="9" hidden="1"/>
    <cellStyle name="Hiperlink Visitado" xfId="1432" builtinId="9" hidden="1"/>
    <cellStyle name="Hiperlink Visitado" xfId="1434" builtinId="9" hidden="1"/>
    <cellStyle name="Hiperlink Visitado" xfId="1436" builtinId="9" hidden="1"/>
    <cellStyle name="Normal" xfId="0" builtinId="0"/>
    <cellStyle name="Normal 2" xfId="1437" xr:uid="{00000000-0005-0000-0000-00009B050000}"/>
    <cellStyle name="Normal_tabela 2008 - 2009" xfId="1" xr:uid="{00000000-0005-0000-0000-00009C050000}"/>
    <cellStyle name="Porcentagem 2" xfId="2" xr:uid="{00000000-0005-0000-0000-00009D050000}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g"/><Relationship Id="rId21" Type="http://schemas.openxmlformats.org/officeDocument/2006/relationships/image" Target="../media/image21.emf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79096</xdr:colOff>
      <xdr:row>2</xdr:row>
      <xdr:rowOff>94970</xdr:rowOff>
    </xdr:from>
    <xdr:to>
      <xdr:col>2</xdr:col>
      <xdr:colOff>203929</xdr:colOff>
      <xdr:row>5</xdr:row>
      <xdr:rowOff>253005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9596" y="412470"/>
          <a:ext cx="1871083" cy="634285"/>
        </a:xfrm>
        <a:prstGeom prst="rect">
          <a:avLst/>
        </a:prstGeom>
      </xdr:spPr>
    </xdr:pic>
    <xdr:clientData/>
  </xdr:twoCellAnchor>
  <xdr:twoCellAnchor editAs="oneCell">
    <xdr:from>
      <xdr:col>1</xdr:col>
      <xdr:colOff>497848</xdr:colOff>
      <xdr:row>23</xdr:row>
      <xdr:rowOff>356392</xdr:rowOff>
    </xdr:from>
    <xdr:to>
      <xdr:col>1</xdr:col>
      <xdr:colOff>1434670</xdr:colOff>
      <xdr:row>23</xdr:row>
      <xdr:rowOff>774839</xdr:rowOff>
    </xdr:to>
    <xdr:pic>
      <xdr:nvPicPr>
        <xdr:cNvPr id="322" name="Picture 1044" descr="amaranto sofa s bracos.jp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9515" y="12379059"/>
          <a:ext cx="936822" cy="418447"/>
        </a:xfrm>
        <a:prstGeom prst="rect">
          <a:avLst/>
        </a:prstGeom>
      </xdr:spPr>
    </xdr:pic>
    <xdr:clientData/>
  </xdr:twoCellAnchor>
  <xdr:twoCellAnchor editAs="oneCell">
    <xdr:from>
      <xdr:col>1</xdr:col>
      <xdr:colOff>557364</xdr:colOff>
      <xdr:row>15</xdr:row>
      <xdr:rowOff>415932</xdr:rowOff>
    </xdr:from>
    <xdr:to>
      <xdr:col>1</xdr:col>
      <xdr:colOff>1269658</xdr:colOff>
      <xdr:row>15</xdr:row>
      <xdr:rowOff>720464</xdr:rowOff>
    </xdr:to>
    <xdr:pic>
      <xdr:nvPicPr>
        <xdr:cNvPr id="323" name="Picture 475" descr="amaranto mesa.jp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7864" y="88103082"/>
          <a:ext cx="712294" cy="304532"/>
        </a:xfrm>
        <a:prstGeom prst="rect">
          <a:avLst/>
        </a:prstGeom>
      </xdr:spPr>
    </xdr:pic>
    <xdr:clientData/>
  </xdr:twoCellAnchor>
  <xdr:twoCellAnchor editAs="oneCell">
    <xdr:from>
      <xdr:col>1</xdr:col>
      <xdr:colOff>675795</xdr:colOff>
      <xdr:row>16</xdr:row>
      <xdr:rowOff>331095</xdr:rowOff>
    </xdr:from>
    <xdr:to>
      <xdr:col>1</xdr:col>
      <xdr:colOff>1156533</xdr:colOff>
      <xdr:row>16</xdr:row>
      <xdr:rowOff>757349</xdr:rowOff>
    </xdr:to>
    <xdr:pic>
      <xdr:nvPicPr>
        <xdr:cNvPr id="324" name="Picture 477" descr="amaranto mod canto.jp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7462" y="4846651"/>
          <a:ext cx="480738" cy="426254"/>
        </a:xfrm>
        <a:prstGeom prst="rect">
          <a:avLst/>
        </a:prstGeom>
      </xdr:spPr>
    </xdr:pic>
    <xdr:clientData/>
  </xdr:twoCellAnchor>
  <xdr:twoCellAnchor editAs="oneCell">
    <xdr:from>
      <xdr:col>1</xdr:col>
      <xdr:colOff>646786</xdr:colOff>
      <xdr:row>17</xdr:row>
      <xdr:rowOff>333684</xdr:rowOff>
    </xdr:from>
    <xdr:to>
      <xdr:col>1</xdr:col>
      <xdr:colOff>1306000</xdr:colOff>
      <xdr:row>17</xdr:row>
      <xdr:rowOff>830483</xdr:rowOff>
    </xdr:to>
    <xdr:pic>
      <xdr:nvPicPr>
        <xdr:cNvPr id="325" name="Picture 479" descr="poltrona amaranto1.jp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8453" y="5921684"/>
          <a:ext cx="659214" cy="496799"/>
        </a:xfrm>
        <a:prstGeom prst="rect">
          <a:avLst/>
        </a:prstGeom>
      </xdr:spPr>
    </xdr:pic>
    <xdr:clientData/>
  </xdr:twoCellAnchor>
  <xdr:twoCellAnchor editAs="oneCell">
    <xdr:from>
      <xdr:col>1</xdr:col>
      <xdr:colOff>523441</xdr:colOff>
      <xdr:row>19</xdr:row>
      <xdr:rowOff>360905</xdr:rowOff>
    </xdr:from>
    <xdr:to>
      <xdr:col>1</xdr:col>
      <xdr:colOff>1471504</xdr:colOff>
      <xdr:row>19</xdr:row>
      <xdr:rowOff>731886</xdr:rowOff>
    </xdr:to>
    <xdr:pic>
      <xdr:nvPicPr>
        <xdr:cNvPr id="326" name="Picture 480" descr="amaranto sofa.jp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5108" y="8093794"/>
          <a:ext cx="948063" cy="370981"/>
        </a:xfrm>
        <a:prstGeom prst="rect">
          <a:avLst/>
        </a:prstGeom>
      </xdr:spPr>
    </xdr:pic>
    <xdr:clientData/>
  </xdr:twoCellAnchor>
  <xdr:oneCellAnchor>
    <xdr:from>
      <xdr:col>1</xdr:col>
      <xdr:colOff>583559</xdr:colOff>
      <xdr:row>30</xdr:row>
      <xdr:rowOff>798496</xdr:rowOff>
    </xdr:from>
    <xdr:ext cx="819727" cy="588818"/>
    <xdr:pic>
      <xdr:nvPicPr>
        <xdr:cNvPr id="350" name="Picture 91" descr="ANI4.jp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5226" y="16151385"/>
          <a:ext cx="819727" cy="588818"/>
        </a:xfrm>
        <a:prstGeom prst="rect">
          <a:avLst/>
        </a:prstGeom>
      </xdr:spPr>
    </xdr:pic>
    <xdr:clientData/>
  </xdr:oneCellAnchor>
  <xdr:twoCellAnchor editAs="oneCell">
    <xdr:from>
      <xdr:col>1</xdr:col>
      <xdr:colOff>490557</xdr:colOff>
      <xdr:row>29</xdr:row>
      <xdr:rowOff>217310</xdr:rowOff>
    </xdr:from>
    <xdr:to>
      <xdr:col>1</xdr:col>
      <xdr:colOff>1490289</xdr:colOff>
      <xdr:row>29</xdr:row>
      <xdr:rowOff>748141</xdr:rowOff>
    </xdr:to>
    <xdr:pic>
      <xdr:nvPicPr>
        <xdr:cNvPr id="353" name="Imagem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2224" y="14497754"/>
          <a:ext cx="999732" cy="530831"/>
        </a:xfrm>
        <a:prstGeom prst="rect">
          <a:avLst/>
        </a:prstGeom>
      </xdr:spPr>
    </xdr:pic>
    <xdr:clientData/>
  </xdr:twoCellAnchor>
  <xdr:twoCellAnchor editAs="oneCell">
    <xdr:from>
      <xdr:col>1</xdr:col>
      <xdr:colOff>819024</xdr:colOff>
      <xdr:row>36</xdr:row>
      <xdr:rowOff>692540</xdr:rowOff>
    </xdr:from>
    <xdr:to>
      <xdr:col>1</xdr:col>
      <xdr:colOff>1183343</xdr:colOff>
      <xdr:row>37</xdr:row>
      <xdr:rowOff>279714</xdr:rowOff>
    </xdr:to>
    <xdr:pic>
      <xdr:nvPicPr>
        <xdr:cNvPr id="355" name="Picture 107" descr="BDN3.jp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0691" y="19290984"/>
          <a:ext cx="364319" cy="659619"/>
        </a:xfrm>
        <a:prstGeom prst="rect">
          <a:avLst/>
        </a:prstGeom>
      </xdr:spPr>
    </xdr:pic>
    <xdr:clientData/>
  </xdr:twoCellAnchor>
  <xdr:twoCellAnchor editAs="oneCell">
    <xdr:from>
      <xdr:col>1</xdr:col>
      <xdr:colOff>567086</xdr:colOff>
      <xdr:row>40</xdr:row>
      <xdr:rowOff>736468</xdr:rowOff>
    </xdr:from>
    <xdr:to>
      <xdr:col>1</xdr:col>
      <xdr:colOff>1378131</xdr:colOff>
      <xdr:row>41</xdr:row>
      <xdr:rowOff>261187</xdr:rowOff>
    </xdr:to>
    <xdr:pic>
      <xdr:nvPicPr>
        <xdr:cNvPr id="356" name="Picture 109" descr="BDN12.jp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8753" y="23624690"/>
          <a:ext cx="811045" cy="597164"/>
        </a:xfrm>
        <a:prstGeom prst="rect">
          <a:avLst/>
        </a:prstGeom>
      </xdr:spPr>
    </xdr:pic>
    <xdr:clientData/>
  </xdr:twoCellAnchor>
  <xdr:twoCellAnchor editAs="oneCell">
    <xdr:from>
      <xdr:col>1</xdr:col>
      <xdr:colOff>769634</xdr:colOff>
      <xdr:row>42</xdr:row>
      <xdr:rowOff>793560</xdr:rowOff>
    </xdr:from>
    <xdr:to>
      <xdr:col>1</xdr:col>
      <xdr:colOff>1321633</xdr:colOff>
      <xdr:row>43</xdr:row>
      <xdr:rowOff>324742</xdr:rowOff>
    </xdr:to>
    <xdr:pic>
      <xdr:nvPicPr>
        <xdr:cNvPr id="358" name="Picture 121" descr="BDN1.jp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1301" y="25826671"/>
          <a:ext cx="551999" cy="603627"/>
        </a:xfrm>
        <a:prstGeom prst="rect">
          <a:avLst/>
        </a:prstGeom>
      </xdr:spPr>
    </xdr:pic>
    <xdr:clientData/>
  </xdr:twoCellAnchor>
  <xdr:twoCellAnchor editAs="oneCell">
    <xdr:from>
      <xdr:col>1</xdr:col>
      <xdr:colOff>728133</xdr:colOff>
      <xdr:row>38</xdr:row>
      <xdr:rowOff>713236</xdr:rowOff>
    </xdr:from>
    <xdr:to>
      <xdr:col>1</xdr:col>
      <xdr:colOff>1572450</xdr:colOff>
      <xdr:row>39</xdr:row>
      <xdr:rowOff>355535</xdr:rowOff>
    </xdr:to>
    <xdr:pic>
      <xdr:nvPicPr>
        <xdr:cNvPr id="364" name="Imagem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39800" y="21456569"/>
          <a:ext cx="844317" cy="714744"/>
        </a:xfrm>
        <a:prstGeom prst="rect">
          <a:avLst/>
        </a:prstGeom>
      </xdr:spPr>
    </xdr:pic>
    <xdr:clientData/>
  </xdr:twoCellAnchor>
  <xdr:oneCellAnchor>
    <xdr:from>
      <xdr:col>1</xdr:col>
      <xdr:colOff>465038</xdr:colOff>
      <xdr:row>48</xdr:row>
      <xdr:rowOff>768077</xdr:rowOff>
    </xdr:from>
    <xdr:ext cx="936822" cy="494434"/>
    <xdr:pic>
      <xdr:nvPicPr>
        <xdr:cNvPr id="375" name="Picture 1036" descr="Bonina Espreguiçadeira em Tela.jpg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6705" y="29018521"/>
          <a:ext cx="936822" cy="494434"/>
        </a:xfrm>
        <a:prstGeom prst="rect">
          <a:avLst/>
        </a:prstGeom>
      </xdr:spPr>
    </xdr:pic>
    <xdr:clientData/>
  </xdr:oneCellAnchor>
  <xdr:oneCellAnchor>
    <xdr:from>
      <xdr:col>1</xdr:col>
      <xdr:colOff>696343</xdr:colOff>
      <xdr:row>52</xdr:row>
      <xdr:rowOff>807964</xdr:rowOff>
    </xdr:from>
    <xdr:ext cx="506845" cy="453179"/>
    <xdr:pic>
      <xdr:nvPicPr>
        <xdr:cNvPr id="376" name="Picture 388" descr="BN1.jpg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8010" y="33348186"/>
          <a:ext cx="506845" cy="453179"/>
        </a:xfrm>
        <a:prstGeom prst="rect">
          <a:avLst/>
        </a:prstGeom>
      </xdr:spPr>
    </xdr:pic>
    <xdr:clientData/>
  </xdr:oneCellAnchor>
  <xdr:twoCellAnchor editAs="oneCell">
    <xdr:from>
      <xdr:col>1</xdr:col>
      <xdr:colOff>765305</xdr:colOff>
      <xdr:row>51</xdr:row>
      <xdr:rowOff>363778</xdr:rowOff>
    </xdr:from>
    <xdr:to>
      <xdr:col>1</xdr:col>
      <xdr:colOff>1195434</xdr:colOff>
      <xdr:row>51</xdr:row>
      <xdr:rowOff>826493</xdr:rowOff>
    </xdr:to>
    <xdr:pic>
      <xdr:nvPicPr>
        <xdr:cNvPr id="378" name="Picture 286" descr="CARDO-base-de-mesa-lateral.jpg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6972" y="31831556"/>
          <a:ext cx="430129" cy="462715"/>
        </a:xfrm>
        <a:prstGeom prst="rect">
          <a:avLst/>
        </a:prstGeom>
      </xdr:spPr>
    </xdr:pic>
    <xdr:clientData/>
  </xdr:twoCellAnchor>
  <xdr:twoCellAnchor editAs="oneCell">
    <xdr:from>
      <xdr:col>1</xdr:col>
      <xdr:colOff>854943</xdr:colOff>
      <xdr:row>61</xdr:row>
      <xdr:rowOff>323015</xdr:rowOff>
    </xdr:from>
    <xdr:to>
      <xdr:col>1</xdr:col>
      <xdr:colOff>1464410</xdr:colOff>
      <xdr:row>61</xdr:row>
      <xdr:rowOff>832098</xdr:rowOff>
    </xdr:to>
    <xdr:pic>
      <xdr:nvPicPr>
        <xdr:cNvPr id="439" name="Picture 137" descr="CD9.jpg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6610" y="39297904"/>
          <a:ext cx="609467" cy="509083"/>
        </a:xfrm>
        <a:prstGeom prst="rect">
          <a:avLst/>
        </a:prstGeom>
      </xdr:spPr>
    </xdr:pic>
    <xdr:clientData/>
  </xdr:twoCellAnchor>
  <xdr:twoCellAnchor editAs="oneCell">
    <xdr:from>
      <xdr:col>1</xdr:col>
      <xdr:colOff>650913</xdr:colOff>
      <xdr:row>64</xdr:row>
      <xdr:rowOff>342954</xdr:rowOff>
    </xdr:from>
    <xdr:to>
      <xdr:col>1</xdr:col>
      <xdr:colOff>1600200</xdr:colOff>
      <xdr:row>64</xdr:row>
      <xdr:rowOff>831412</xdr:rowOff>
    </xdr:to>
    <xdr:pic>
      <xdr:nvPicPr>
        <xdr:cNvPr id="440" name="Picture 138" descr="CD10.jpg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2580" y="42535176"/>
          <a:ext cx="949287" cy="488458"/>
        </a:xfrm>
        <a:prstGeom prst="rect">
          <a:avLst/>
        </a:prstGeom>
      </xdr:spPr>
    </xdr:pic>
    <xdr:clientData/>
  </xdr:twoCellAnchor>
  <xdr:twoCellAnchor editAs="oneCell">
    <xdr:from>
      <xdr:col>1</xdr:col>
      <xdr:colOff>617495</xdr:colOff>
      <xdr:row>67</xdr:row>
      <xdr:rowOff>393986</xdr:rowOff>
    </xdr:from>
    <xdr:to>
      <xdr:col>1</xdr:col>
      <xdr:colOff>1554490</xdr:colOff>
      <xdr:row>67</xdr:row>
      <xdr:rowOff>819892</xdr:rowOff>
    </xdr:to>
    <xdr:pic>
      <xdr:nvPicPr>
        <xdr:cNvPr id="441" name="Picture 139" descr="CD11-e-CD12.jpg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9162" y="45803542"/>
          <a:ext cx="936995" cy="425906"/>
        </a:xfrm>
        <a:prstGeom prst="rect">
          <a:avLst/>
        </a:prstGeom>
      </xdr:spPr>
    </xdr:pic>
    <xdr:clientData/>
  </xdr:twoCellAnchor>
  <xdr:twoCellAnchor editAs="oneCell">
    <xdr:from>
      <xdr:col>1</xdr:col>
      <xdr:colOff>600452</xdr:colOff>
      <xdr:row>66</xdr:row>
      <xdr:rowOff>395188</xdr:rowOff>
    </xdr:from>
    <xdr:to>
      <xdr:col>1</xdr:col>
      <xdr:colOff>1511207</xdr:colOff>
      <xdr:row>66</xdr:row>
      <xdr:rowOff>809167</xdr:rowOff>
    </xdr:to>
    <xdr:pic>
      <xdr:nvPicPr>
        <xdr:cNvPr id="442" name="Picture 140" descr="CD11-e-CD12.jpg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2119" y="44732299"/>
          <a:ext cx="910755" cy="413979"/>
        </a:xfrm>
        <a:prstGeom prst="rect">
          <a:avLst/>
        </a:prstGeom>
      </xdr:spPr>
    </xdr:pic>
    <xdr:clientData/>
  </xdr:twoCellAnchor>
  <xdr:twoCellAnchor editAs="oneCell">
    <xdr:from>
      <xdr:col>1</xdr:col>
      <xdr:colOff>653012</xdr:colOff>
      <xdr:row>68</xdr:row>
      <xdr:rowOff>216321</xdr:rowOff>
    </xdr:from>
    <xdr:to>
      <xdr:col>1</xdr:col>
      <xdr:colOff>1427159</xdr:colOff>
      <xdr:row>68</xdr:row>
      <xdr:rowOff>684516</xdr:rowOff>
    </xdr:to>
    <xdr:pic>
      <xdr:nvPicPr>
        <xdr:cNvPr id="443" name="Picture 141" descr="CD13.jpg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4679" y="46698321"/>
          <a:ext cx="774147" cy="468195"/>
        </a:xfrm>
        <a:prstGeom prst="rect">
          <a:avLst/>
        </a:prstGeom>
      </xdr:spPr>
    </xdr:pic>
    <xdr:clientData/>
  </xdr:twoCellAnchor>
  <xdr:oneCellAnchor>
    <xdr:from>
      <xdr:col>1</xdr:col>
      <xdr:colOff>440621</xdr:colOff>
      <xdr:row>58</xdr:row>
      <xdr:rowOff>560210</xdr:rowOff>
    </xdr:from>
    <xdr:ext cx="1142999" cy="720341"/>
    <xdr:pic>
      <xdr:nvPicPr>
        <xdr:cNvPr id="450" name="Picture 11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2288" y="36317766"/>
          <a:ext cx="1142999" cy="720341"/>
        </a:xfrm>
        <a:prstGeom prst="rect">
          <a:avLst/>
        </a:prstGeom>
        <a:noFill/>
      </xdr:spPr>
    </xdr:pic>
    <xdr:clientData/>
  </xdr:oneCellAnchor>
  <xdr:twoCellAnchor editAs="oneCell">
    <xdr:from>
      <xdr:col>1</xdr:col>
      <xdr:colOff>817098</xdr:colOff>
      <xdr:row>62</xdr:row>
      <xdr:rowOff>367124</xdr:rowOff>
    </xdr:from>
    <xdr:to>
      <xdr:col>1</xdr:col>
      <xdr:colOff>1456960</xdr:colOff>
      <xdr:row>62</xdr:row>
      <xdr:rowOff>752227</xdr:rowOff>
    </xdr:to>
    <xdr:pic>
      <xdr:nvPicPr>
        <xdr:cNvPr id="451" name="Imagem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8765" y="40414457"/>
          <a:ext cx="639862" cy="385103"/>
        </a:xfrm>
        <a:prstGeom prst="rect">
          <a:avLst/>
        </a:prstGeom>
      </xdr:spPr>
    </xdr:pic>
    <xdr:clientData/>
  </xdr:twoCellAnchor>
  <xdr:twoCellAnchor editAs="oneCell">
    <xdr:from>
      <xdr:col>1</xdr:col>
      <xdr:colOff>939745</xdr:colOff>
      <xdr:row>75</xdr:row>
      <xdr:rowOff>750312</xdr:rowOff>
    </xdr:from>
    <xdr:to>
      <xdr:col>1</xdr:col>
      <xdr:colOff>1356840</xdr:colOff>
      <xdr:row>76</xdr:row>
      <xdr:rowOff>237468</xdr:rowOff>
    </xdr:to>
    <xdr:pic>
      <xdr:nvPicPr>
        <xdr:cNvPr id="394" name="Picture 154" descr="EC2.jpg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412" y="51465645"/>
          <a:ext cx="417095" cy="559601"/>
        </a:xfrm>
        <a:prstGeom prst="rect">
          <a:avLst/>
        </a:prstGeom>
      </xdr:spPr>
    </xdr:pic>
    <xdr:clientData/>
  </xdr:twoCellAnchor>
  <xdr:twoCellAnchor editAs="oneCell">
    <xdr:from>
      <xdr:col>1</xdr:col>
      <xdr:colOff>588112</xdr:colOff>
      <xdr:row>79</xdr:row>
      <xdr:rowOff>828900</xdr:rowOff>
    </xdr:from>
    <xdr:to>
      <xdr:col>1</xdr:col>
      <xdr:colOff>1569476</xdr:colOff>
      <xdr:row>80</xdr:row>
      <xdr:rowOff>281642</xdr:rowOff>
    </xdr:to>
    <xdr:pic>
      <xdr:nvPicPr>
        <xdr:cNvPr id="395" name="Picture 156" descr="EC3.jpg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9779" y="55834011"/>
          <a:ext cx="981364" cy="525187"/>
        </a:xfrm>
        <a:prstGeom prst="rect">
          <a:avLst/>
        </a:prstGeom>
      </xdr:spPr>
    </xdr:pic>
    <xdr:clientData/>
  </xdr:twoCellAnchor>
  <xdr:twoCellAnchor editAs="oneCell">
    <xdr:from>
      <xdr:col>1</xdr:col>
      <xdr:colOff>806757</xdr:colOff>
      <xdr:row>81</xdr:row>
      <xdr:rowOff>374985</xdr:rowOff>
    </xdr:from>
    <xdr:to>
      <xdr:col>1</xdr:col>
      <xdr:colOff>1360712</xdr:colOff>
      <xdr:row>81</xdr:row>
      <xdr:rowOff>844217</xdr:rowOff>
    </xdr:to>
    <xdr:pic>
      <xdr:nvPicPr>
        <xdr:cNvPr id="398" name="Picture 159" descr="EC8.jpg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8424" y="57524985"/>
          <a:ext cx="553955" cy="469232"/>
        </a:xfrm>
        <a:prstGeom prst="rect">
          <a:avLst/>
        </a:prstGeom>
      </xdr:spPr>
    </xdr:pic>
    <xdr:clientData/>
  </xdr:twoCellAnchor>
  <xdr:twoCellAnchor editAs="oneCell">
    <xdr:from>
      <xdr:col>1</xdr:col>
      <xdr:colOff>741982</xdr:colOff>
      <xdr:row>82</xdr:row>
      <xdr:rowOff>387007</xdr:rowOff>
    </xdr:from>
    <xdr:to>
      <xdr:col>1</xdr:col>
      <xdr:colOff>1365544</xdr:colOff>
      <xdr:row>82</xdr:row>
      <xdr:rowOff>863848</xdr:rowOff>
    </xdr:to>
    <xdr:pic>
      <xdr:nvPicPr>
        <xdr:cNvPr id="399" name="Picture 160" descr="EC1.jpg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3649" y="58609451"/>
          <a:ext cx="623562" cy="476841"/>
        </a:xfrm>
        <a:prstGeom prst="rect">
          <a:avLst/>
        </a:prstGeom>
      </xdr:spPr>
    </xdr:pic>
    <xdr:clientData/>
  </xdr:twoCellAnchor>
  <xdr:twoCellAnchor editAs="oneCell">
    <xdr:from>
      <xdr:col>1</xdr:col>
      <xdr:colOff>754355</xdr:colOff>
      <xdr:row>88</xdr:row>
      <xdr:rowOff>320232</xdr:rowOff>
    </xdr:from>
    <xdr:to>
      <xdr:col>1</xdr:col>
      <xdr:colOff>1437454</xdr:colOff>
      <xdr:row>88</xdr:row>
      <xdr:rowOff>762237</xdr:rowOff>
    </xdr:to>
    <xdr:pic>
      <xdr:nvPicPr>
        <xdr:cNvPr id="401" name="Picture 164" descr="EC12.jpg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6022" y="64977343"/>
          <a:ext cx="683099" cy="442005"/>
        </a:xfrm>
        <a:prstGeom prst="rect">
          <a:avLst/>
        </a:prstGeom>
      </xdr:spPr>
    </xdr:pic>
    <xdr:clientData/>
  </xdr:twoCellAnchor>
  <xdr:twoCellAnchor editAs="oneCell">
    <xdr:from>
      <xdr:col>1</xdr:col>
      <xdr:colOff>531040</xdr:colOff>
      <xdr:row>84</xdr:row>
      <xdr:rowOff>45175</xdr:rowOff>
    </xdr:from>
    <xdr:to>
      <xdr:col>1</xdr:col>
      <xdr:colOff>1369625</xdr:colOff>
      <xdr:row>84</xdr:row>
      <xdr:rowOff>524366</xdr:rowOff>
    </xdr:to>
    <xdr:pic>
      <xdr:nvPicPr>
        <xdr:cNvPr id="403" name="Picture 166" descr="EC13.jpg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2707" y="60412508"/>
          <a:ext cx="838585" cy="479191"/>
        </a:xfrm>
        <a:prstGeom prst="rect">
          <a:avLst/>
        </a:prstGeom>
      </xdr:spPr>
    </xdr:pic>
    <xdr:clientData/>
  </xdr:twoCellAnchor>
  <xdr:oneCellAnchor>
    <xdr:from>
      <xdr:col>1</xdr:col>
      <xdr:colOff>848886</xdr:colOff>
      <xdr:row>73</xdr:row>
      <xdr:rowOff>635944</xdr:rowOff>
    </xdr:from>
    <xdr:ext cx="379848" cy="612935"/>
    <xdr:pic>
      <xdr:nvPicPr>
        <xdr:cNvPr id="405" name="Picture 153" descr="EC14.jpg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0553" y="49206388"/>
          <a:ext cx="379848" cy="612935"/>
        </a:xfrm>
        <a:prstGeom prst="rect">
          <a:avLst/>
        </a:prstGeom>
      </xdr:spPr>
    </xdr:pic>
    <xdr:clientData/>
  </xdr:oneCellAnchor>
  <xdr:oneCellAnchor>
    <xdr:from>
      <xdr:col>1</xdr:col>
      <xdr:colOff>746833</xdr:colOff>
      <xdr:row>77</xdr:row>
      <xdr:rowOff>802311</xdr:rowOff>
    </xdr:from>
    <xdr:ext cx="471859" cy="549213"/>
    <xdr:pic>
      <xdr:nvPicPr>
        <xdr:cNvPr id="407" name="Picture 155" descr="EC16.jpg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500" y="53662533"/>
          <a:ext cx="471859" cy="549213"/>
        </a:xfrm>
        <a:prstGeom prst="rect">
          <a:avLst/>
        </a:prstGeom>
      </xdr:spPr>
    </xdr:pic>
    <xdr:clientData/>
  </xdr:oneCellAnchor>
  <xdr:twoCellAnchor editAs="oneCell">
    <xdr:from>
      <xdr:col>1</xdr:col>
      <xdr:colOff>477458</xdr:colOff>
      <xdr:row>84</xdr:row>
      <xdr:rowOff>813311</xdr:rowOff>
    </xdr:from>
    <xdr:to>
      <xdr:col>1</xdr:col>
      <xdr:colOff>1485805</xdr:colOff>
      <xdr:row>85</xdr:row>
      <xdr:rowOff>132082</xdr:rowOff>
    </xdr:to>
    <xdr:pic>
      <xdr:nvPicPr>
        <xdr:cNvPr id="408" name="Picture 161" descr="EC9.jpg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125" y="61180644"/>
          <a:ext cx="1008347" cy="391216"/>
        </a:xfrm>
        <a:prstGeom prst="rect">
          <a:avLst/>
        </a:prstGeom>
      </xdr:spPr>
    </xdr:pic>
    <xdr:clientData/>
  </xdr:twoCellAnchor>
  <xdr:twoCellAnchor editAs="oneCell">
    <xdr:from>
      <xdr:col>1</xdr:col>
      <xdr:colOff>681615</xdr:colOff>
      <xdr:row>87</xdr:row>
      <xdr:rowOff>296016</xdr:rowOff>
    </xdr:from>
    <xdr:to>
      <xdr:col>1</xdr:col>
      <xdr:colOff>1414591</xdr:colOff>
      <xdr:row>87</xdr:row>
      <xdr:rowOff>761671</xdr:rowOff>
    </xdr:to>
    <xdr:pic>
      <xdr:nvPicPr>
        <xdr:cNvPr id="409" name="Picture 167" descr="EC10.jpg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3282" y="63880683"/>
          <a:ext cx="732976" cy="465655"/>
        </a:xfrm>
        <a:prstGeom prst="rect">
          <a:avLst/>
        </a:prstGeom>
      </xdr:spPr>
    </xdr:pic>
    <xdr:clientData/>
  </xdr:twoCellAnchor>
  <xdr:twoCellAnchor editAs="oneCell">
    <xdr:from>
      <xdr:col>1</xdr:col>
      <xdr:colOff>636506</xdr:colOff>
      <xdr:row>86</xdr:row>
      <xdr:rowOff>362893</xdr:rowOff>
    </xdr:from>
    <xdr:to>
      <xdr:col>1</xdr:col>
      <xdr:colOff>1380325</xdr:colOff>
      <xdr:row>86</xdr:row>
      <xdr:rowOff>826686</xdr:rowOff>
    </xdr:to>
    <xdr:pic>
      <xdr:nvPicPr>
        <xdr:cNvPr id="410" name="Picture 168" descr="EC11.jpg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8173" y="62875115"/>
          <a:ext cx="743819" cy="463793"/>
        </a:xfrm>
        <a:prstGeom prst="rect">
          <a:avLst/>
        </a:prstGeom>
      </xdr:spPr>
    </xdr:pic>
    <xdr:clientData/>
  </xdr:twoCellAnchor>
  <xdr:twoCellAnchor editAs="oneCell">
    <xdr:from>
      <xdr:col>1</xdr:col>
      <xdr:colOff>808391</xdr:colOff>
      <xdr:row>100</xdr:row>
      <xdr:rowOff>269791</xdr:rowOff>
    </xdr:from>
    <xdr:to>
      <xdr:col>1</xdr:col>
      <xdr:colOff>1337203</xdr:colOff>
      <xdr:row>100</xdr:row>
      <xdr:rowOff>656606</xdr:rowOff>
    </xdr:to>
    <xdr:pic>
      <xdr:nvPicPr>
        <xdr:cNvPr id="480" name="Picture 17" descr="HB-1.jpg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0058" y="72702124"/>
          <a:ext cx="528812" cy="386815"/>
        </a:xfrm>
        <a:prstGeom prst="rect">
          <a:avLst/>
        </a:prstGeom>
      </xdr:spPr>
    </xdr:pic>
    <xdr:clientData/>
  </xdr:twoCellAnchor>
  <xdr:twoCellAnchor editAs="oneCell">
    <xdr:from>
      <xdr:col>1</xdr:col>
      <xdr:colOff>788301</xdr:colOff>
      <xdr:row>101</xdr:row>
      <xdr:rowOff>194133</xdr:rowOff>
    </xdr:from>
    <xdr:to>
      <xdr:col>1</xdr:col>
      <xdr:colOff>1369994</xdr:colOff>
      <xdr:row>101</xdr:row>
      <xdr:rowOff>625016</xdr:rowOff>
    </xdr:to>
    <xdr:pic>
      <xdr:nvPicPr>
        <xdr:cNvPr id="481" name="Picture 34" descr="HB15.jpg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9968" y="73430800"/>
          <a:ext cx="581693" cy="430883"/>
        </a:xfrm>
        <a:prstGeom prst="rect">
          <a:avLst/>
        </a:prstGeom>
      </xdr:spPr>
    </xdr:pic>
    <xdr:clientData/>
  </xdr:twoCellAnchor>
  <xdr:twoCellAnchor editAs="oneCell">
    <xdr:from>
      <xdr:col>1</xdr:col>
      <xdr:colOff>520132</xdr:colOff>
      <xdr:row>103</xdr:row>
      <xdr:rowOff>270196</xdr:rowOff>
    </xdr:from>
    <xdr:to>
      <xdr:col>1</xdr:col>
      <xdr:colOff>1533929</xdr:colOff>
      <xdr:row>103</xdr:row>
      <xdr:rowOff>685832</xdr:rowOff>
    </xdr:to>
    <xdr:pic>
      <xdr:nvPicPr>
        <xdr:cNvPr id="482" name="Picture 36" descr="HB1-e-HB5-e-HB9.jpg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1799" y="75115529"/>
          <a:ext cx="1013797" cy="415636"/>
        </a:xfrm>
        <a:prstGeom prst="rect">
          <a:avLst/>
        </a:prstGeom>
      </xdr:spPr>
    </xdr:pic>
    <xdr:clientData/>
  </xdr:twoCellAnchor>
  <xdr:twoCellAnchor editAs="oneCell">
    <xdr:from>
      <xdr:col>1</xdr:col>
      <xdr:colOff>534681</xdr:colOff>
      <xdr:row>106</xdr:row>
      <xdr:rowOff>151946</xdr:rowOff>
    </xdr:from>
    <xdr:to>
      <xdr:col>1</xdr:col>
      <xdr:colOff>1578543</xdr:colOff>
      <xdr:row>106</xdr:row>
      <xdr:rowOff>550789</xdr:rowOff>
    </xdr:to>
    <xdr:pic>
      <xdr:nvPicPr>
        <xdr:cNvPr id="483" name="Picture 41" descr="HB4-e-HB8-e-HB12.jpg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6348" y="80895724"/>
          <a:ext cx="1043862" cy="398843"/>
        </a:xfrm>
        <a:prstGeom prst="rect">
          <a:avLst/>
        </a:prstGeom>
      </xdr:spPr>
    </xdr:pic>
    <xdr:clientData/>
  </xdr:twoCellAnchor>
  <xdr:twoCellAnchor editAs="oneCell">
    <xdr:from>
      <xdr:col>1</xdr:col>
      <xdr:colOff>579184</xdr:colOff>
      <xdr:row>112</xdr:row>
      <xdr:rowOff>225368</xdr:rowOff>
    </xdr:from>
    <xdr:to>
      <xdr:col>1</xdr:col>
      <xdr:colOff>1618925</xdr:colOff>
      <xdr:row>112</xdr:row>
      <xdr:rowOff>634707</xdr:rowOff>
    </xdr:to>
    <xdr:pic>
      <xdr:nvPicPr>
        <xdr:cNvPr id="484" name="Picture 51" descr="HB2 e HB6 e HB10.psd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0851" y="82309701"/>
          <a:ext cx="1039741" cy="409339"/>
        </a:xfrm>
        <a:prstGeom prst="rect">
          <a:avLst/>
        </a:prstGeom>
      </xdr:spPr>
    </xdr:pic>
    <xdr:clientData/>
  </xdr:twoCellAnchor>
  <xdr:twoCellAnchor editAs="oneCell">
    <xdr:from>
      <xdr:col>1</xdr:col>
      <xdr:colOff>494984</xdr:colOff>
      <xdr:row>109</xdr:row>
      <xdr:rowOff>243007</xdr:rowOff>
    </xdr:from>
    <xdr:to>
      <xdr:col>1</xdr:col>
      <xdr:colOff>1553244</xdr:colOff>
      <xdr:row>109</xdr:row>
      <xdr:rowOff>652346</xdr:rowOff>
    </xdr:to>
    <xdr:pic>
      <xdr:nvPicPr>
        <xdr:cNvPr id="485" name="Picture 37" descr="HB3-e-HB7-e-HB11.jpg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6651" y="79914340"/>
          <a:ext cx="1058260" cy="409339"/>
        </a:xfrm>
        <a:prstGeom prst="rect">
          <a:avLst/>
        </a:prstGeom>
      </xdr:spPr>
    </xdr:pic>
    <xdr:clientData/>
  </xdr:twoCellAnchor>
  <xdr:twoCellAnchor editAs="oneCell">
    <xdr:from>
      <xdr:col>1</xdr:col>
      <xdr:colOff>781951</xdr:colOff>
      <xdr:row>99</xdr:row>
      <xdr:rowOff>190479</xdr:rowOff>
    </xdr:from>
    <xdr:to>
      <xdr:col>1</xdr:col>
      <xdr:colOff>1363644</xdr:colOff>
      <xdr:row>99</xdr:row>
      <xdr:rowOff>615976</xdr:rowOff>
    </xdr:to>
    <xdr:pic>
      <xdr:nvPicPr>
        <xdr:cNvPr id="486" name="Picture 13" descr="HB14.jpg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3618" y="71818479"/>
          <a:ext cx="581693" cy="425497"/>
        </a:xfrm>
        <a:prstGeom prst="rect">
          <a:avLst/>
        </a:prstGeom>
      </xdr:spPr>
    </xdr:pic>
    <xdr:clientData/>
  </xdr:twoCellAnchor>
  <xdr:twoCellAnchor editAs="oneCell">
    <xdr:from>
      <xdr:col>1</xdr:col>
      <xdr:colOff>657967</xdr:colOff>
      <xdr:row>98</xdr:row>
      <xdr:rowOff>317124</xdr:rowOff>
    </xdr:from>
    <xdr:to>
      <xdr:col>1</xdr:col>
      <xdr:colOff>1367681</xdr:colOff>
      <xdr:row>98</xdr:row>
      <xdr:rowOff>532189</xdr:rowOff>
    </xdr:to>
    <xdr:pic>
      <xdr:nvPicPr>
        <xdr:cNvPr id="487" name="Picture 1029" descr="bertalha mesa lateral.jpg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9634" y="71140791"/>
          <a:ext cx="709714" cy="215065"/>
        </a:xfrm>
        <a:prstGeom prst="rect">
          <a:avLst/>
        </a:prstGeom>
      </xdr:spPr>
    </xdr:pic>
    <xdr:clientData/>
  </xdr:twoCellAnchor>
  <xdr:twoCellAnchor editAs="oneCell">
    <xdr:from>
      <xdr:col>1</xdr:col>
      <xdr:colOff>611638</xdr:colOff>
      <xdr:row>96</xdr:row>
      <xdr:rowOff>741606</xdr:rowOff>
    </xdr:from>
    <xdr:to>
      <xdr:col>1</xdr:col>
      <xdr:colOff>1481033</xdr:colOff>
      <xdr:row>97</xdr:row>
      <xdr:rowOff>175688</xdr:rowOff>
    </xdr:to>
    <xdr:pic>
      <xdr:nvPicPr>
        <xdr:cNvPr id="488" name="Picture 1029" descr="bertalha mesa lateral.jpg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3305" y="69956606"/>
          <a:ext cx="869395" cy="238415"/>
        </a:xfrm>
        <a:prstGeom prst="rect">
          <a:avLst/>
        </a:prstGeom>
      </xdr:spPr>
    </xdr:pic>
    <xdr:clientData/>
  </xdr:twoCellAnchor>
  <xdr:twoCellAnchor editAs="oneCell">
    <xdr:from>
      <xdr:col>1</xdr:col>
      <xdr:colOff>807632</xdr:colOff>
      <xdr:row>118</xdr:row>
      <xdr:rowOff>256822</xdr:rowOff>
    </xdr:from>
    <xdr:to>
      <xdr:col>1</xdr:col>
      <xdr:colOff>1261181</xdr:colOff>
      <xdr:row>118</xdr:row>
      <xdr:rowOff>860449</xdr:rowOff>
    </xdr:to>
    <xdr:pic>
      <xdr:nvPicPr>
        <xdr:cNvPr id="490" name="Picture 269" descr="isis-banqueta-fibra-IIPR15.jpg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9299" y="84965822"/>
          <a:ext cx="453549" cy="603627"/>
        </a:xfrm>
        <a:prstGeom prst="rect">
          <a:avLst/>
        </a:prstGeom>
      </xdr:spPr>
    </xdr:pic>
    <xdr:clientData/>
  </xdr:twoCellAnchor>
  <xdr:twoCellAnchor editAs="oneCell">
    <xdr:from>
      <xdr:col>1</xdr:col>
      <xdr:colOff>732367</xdr:colOff>
      <xdr:row>121</xdr:row>
      <xdr:rowOff>327049</xdr:rowOff>
    </xdr:from>
    <xdr:to>
      <xdr:col>1</xdr:col>
      <xdr:colOff>1227668</xdr:colOff>
      <xdr:row>121</xdr:row>
      <xdr:rowOff>924752</xdr:rowOff>
    </xdr:to>
    <xdr:pic>
      <xdr:nvPicPr>
        <xdr:cNvPr id="491" name="Picture 270" descr="isis-cadeira-fibra-IIPR1.jpg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4034" y="88253382"/>
          <a:ext cx="495301" cy="597703"/>
        </a:xfrm>
        <a:prstGeom prst="rect">
          <a:avLst/>
        </a:prstGeom>
      </xdr:spPr>
    </xdr:pic>
    <xdr:clientData/>
  </xdr:twoCellAnchor>
  <xdr:twoCellAnchor editAs="oneCell">
    <xdr:from>
      <xdr:col>1</xdr:col>
      <xdr:colOff>704527</xdr:colOff>
      <xdr:row>124</xdr:row>
      <xdr:rowOff>359183</xdr:rowOff>
    </xdr:from>
    <xdr:to>
      <xdr:col>1</xdr:col>
      <xdr:colOff>1350760</xdr:colOff>
      <xdr:row>124</xdr:row>
      <xdr:rowOff>817609</xdr:rowOff>
    </xdr:to>
    <xdr:pic>
      <xdr:nvPicPr>
        <xdr:cNvPr id="493" name="Picture 277" descr="isis-namoradeira.jpg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194" y="91502850"/>
          <a:ext cx="646233" cy="458426"/>
        </a:xfrm>
        <a:prstGeom prst="rect">
          <a:avLst/>
        </a:prstGeom>
      </xdr:spPr>
    </xdr:pic>
    <xdr:clientData/>
  </xdr:twoCellAnchor>
  <xdr:oneCellAnchor>
    <xdr:from>
      <xdr:col>1</xdr:col>
      <xdr:colOff>719022</xdr:colOff>
      <xdr:row>119</xdr:row>
      <xdr:rowOff>784625</xdr:rowOff>
    </xdr:from>
    <xdr:ext cx="447967" cy="570484"/>
    <xdr:pic>
      <xdr:nvPicPr>
        <xdr:cNvPr id="495" name="Picture 158" descr="isis banqueta tela.jpg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30689" y="86566069"/>
          <a:ext cx="447967" cy="570484"/>
        </a:xfrm>
        <a:prstGeom prst="rect">
          <a:avLst/>
        </a:prstGeom>
      </xdr:spPr>
    </xdr:pic>
    <xdr:clientData/>
  </xdr:oneCellAnchor>
  <xdr:oneCellAnchor>
    <xdr:from>
      <xdr:col>1</xdr:col>
      <xdr:colOff>695140</xdr:colOff>
      <xdr:row>122</xdr:row>
      <xdr:rowOff>794126</xdr:rowOff>
    </xdr:from>
    <xdr:ext cx="482266" cy="553955"/>
    <xdr:pic>
      <xdr:nvPicPr>
        <xdr:cNvPr id="496" name="Picture 271" descr="isis-cadeira-tela-IIPR2.jpg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6807" y="89792904"/>
          <a:ext cx="482266" cy="553955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114</xdr:row>
      <xdr:rowOff>0</xdr:rowOff>
    </xdr:from>
    <xdr:to>
      <xdr:col>1</xdr:col>
      <xdr:colOff>685800</xdr:colOff>
      <xdr:row>116</xdr:row>
      <xdr:rowOff>431800</xdr:rowOff>
    </xdr:to>
    <xdr:sp macro="" textlink="">
      <xdr:nvSpPr>
        <xdr:cNvPr id="503" name="AutoShape 10" descr="B7-e-GB8.jpg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80975" y="285902400"/>
          <a:ext cx="6858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736600</xdr:colOff>
      <xdr:row>79</xdr:row>
      <xdr:rowOff>771878</xdr:rowOff>
    </xdr:to>
    <xdr:sp macro="" textlink="">
      <xdr:nvSpPr>
        <xdr:cNvPr id="504" name="AutoShape 11" descr="B7-e-GB8.jpg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80975" y="285902400"/>
          <a:ext cx="7366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685800</xdr:colOff>
      <xdr:row>87</xdr:row>
      <xdr:rowOff>711200</xdr:rowOff>
    </xdr:to>
    <xdr:sp macro="" textlink="">
      <xdr:nvSpPr>
        <xdr:cNvPr id="512" name="AutoShape 10" descr="B7-e-GB8.jpg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80975" y="292427025"/>
          <a:ext cx="6858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736600</xdr:colOff>
      <xdr:row>74</xdr:row>
      <xdr:rowOff>774700</xdr:rowOff>
    </xdr:to>
    <xdr:sp macro="" textlink="">
      <xdr:nvSpPr>
        <xdr:cNvPr id="513" name="AutoShape 11" descr="B7-e-GB8.jpg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80975" y="292427025"/>
          <a:ext cx="7366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oneCellAnchor>
    <xdr:from>
      <xdr:col>1</xdr:col>
      <xdr:colOff>736110</xdr:colOff>
      <xdr:row>50</xdr:row>
      <xdr:rowOff>485775</xdr:rowOff>
    </xdr:from>
    <xdr:ext cx="481710" cy="430705"/>
    <xdr:pic>
      <xdr:nvPicPr>
        <xdr:cNvPr id="521" name="Picture 388" descr="BN1.jpg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947777" y="33025997"/>
          <a:ext cx="481710" cy="430705"/>
        </a:xfrm>
        <a:prstGeom prst="rect">
          <a:avLst/>
        </a:prstGeom>
      </xdr:spPr>
    </xdr:pic>
    <xdr:clientData/>
  </xdr:oneCellAnchor>
  <xdr:twoCellAnchor editAs="oneCell">
    <xdr:from>
      <xdr:col>1</xdr:col>
      <xdr:colOff>443159</xdr:colOff>
      <xdr:row>21</xdr:row>
      <xdr:rowOff>321802</xdr:rowOff>
    </xdr:from>
    <xdr:to>
      <xdr:col>1</xdr:col>
      <xdr:colOff>1382959</xdr:colOff>
      <xdr:row>21</xdr:row>
      <xdr:rowOff>715502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26" y="10199580"/>
          <a:ext cx="9398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546805</xdr:colOff>
      <xdr:row>22</xdr:row>
      <xdr:rowOff>351367</xdr:rowOff>
    </xdr:from>
    <xdr:to>
      <xdr:col>1</xdr:col>
      <xdr:colOff>1486605</xdr:colOff>
      <xdr:row>22</xdr:row>
      <xdr:rowOff>745067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472" y="11301589"/>
          <a:ext cx="9398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776013</xdr:colOff>
      <xdr:row>60</xdr:row>
      <xdr:rowOff>332383</xdr:rowOff>
    </xdr:from>
    <xdr:to>
      <xdr:col>1</xdr:col>
      <xdr:colOff>1445982</xdr:colOff>
      <xdr:row>60</xdr:row>
      <xdr:rowOff>885013</xdr:rowOff>
    </xdr:to>
    <xdr:pic>
      <xdr:nvPicPr>
        <xdr:cNvPr id="576" name="Imagem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7680" y="38234827"/>
          <a:ext cx="669969" cy="552630"/>
        </a:xfrm>
        <a:prstGeom prst="rect">
          <a:avLst/>
        </a:prstGeom>
      </xdr:spPr>
    </xdr:pic>
    <xdr:clientData/>
  </xdr:twoCellAnchor>
  <xdr:oneCellAnchor>
    <xdr:from>
      <xdr:col>1</xdr:col>
      <xdr:colOff>585315</xdr:colOff>
      <xdr:row>94</xdr:row>
      <xdr:rowOff>188076</xdr:rowOff>
    </xdr:from>
    <xdr:ext cx="944628" cy="443923"/>
    <xdr:pic>
      <xdr:nvPicPr>
        <xdr:cNvPr id="546" name="Imagem 545" descr="_DSC0629.JPG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6982" y="67794409"/>
          <a:ext cx="944628" cy="443923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10885" name="AutoShape 1669">
          <a:extLst>
            <a:ext uri="{FF2B5EF4-FFF2-40B4-BE49-F238E27FC236}">
              <a16:creationId xmlns:a16="http://schemas.microsoft.com/office/drawing/2014/main" id="{00000000-0008-0000-0100-0000852A0000}"/>
            </a:ext>
          </a:extLst>
        </xdr:cNvPr>
        <xdr:cNvSpPr>
          <a:spLocks noChangeAspect="1" noChangeArrowheads="1"/>
        </xdr:cNvSpPr>
      </xdr:nvSpPr>
      <xdr:spPr bwMode="auto">
        <a:xfrm>
          <a:off x="198120" y="61664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0914" name="AutoShape 1698" descr="35cm">
          <a:extLst>
            <a:ext uri="{FF2B5EF4-FFF2-40B4-BE49-F238E27FC236}">
              <a16:creationId xmlns:a16="http://schemas.microsoft.com/office/drawing/2014/main" id="{00000000-0008-0000-0100-0000A22A0000}"/>
            </a:ext>
          </a:extLst>
        </xdr:cNvPr>
        <xdr:cNvSpPr>
          <a:spLocks noChangeAspect="1" noChangeArrowheads="1"/>
        </xdr:cNvSpPr>
      </xdr:nvSpPr>
      <xdr:spPr bwMode="auto">
        <a:xfrm>
          <a:off x="190500" y="6240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76200</xdr:rowOff>
    </xdr:from>
    <xdr:to>
      <xdr:col>1</xdr:col>
      <xdr:colOff>1199797</xdr:colOff>
      <xdr:row>3</xdr:row>
      <xdr:rowOff>149568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" y="76200"/>
          <a:ext cx="1866547" cy="6448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666749</xdr:colOff>
      <xdr:row>20</xdr:row>
      <xdr:rowOff>9194</xdr:rowOff>
    </xdr:from>
    <xdr:to>
      <xdr:col>2</xdr:col>
      <xdr:colOff>1952624</xdr:colOff>
      <xdr:row>26</xdr:row>
      <xdr:rowOff>79375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6749" y="7787944"/>
          <a:ext cx="2619375" cy="13878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333374</xdr:rowOff>
    </xdr:from>
    <xdr:to>
      <xdr:col>2</xdr:col>
      <xdr:colOff>723900</xdr:colOff>
      <xdr:row>0</xdr:row>
      <xdr:rowOff>1320799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6724" y="333374"/>
          <a:ext cx="1895476" cy="987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419100</xdr:rowOff>
    </xdr:from>
    <xdr:to>
      <xdr:col>1</xdr:col>
      <xdr:colOff>1725930</xdr:colOff>
      <xdr:row>0</xdr:row>
      <xdr:rowOff>1278134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4820" y="419100"/>
          <a:ext cx="1703070" cy="85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3"/>
  <sheetViews>
    <sheetView zoomScale="85" zoomScaleSheetLayoutView="85" workbookViewId="0">
      <selection activeCell="A6" sqref="A6:C27"/>
    </sheetView>
  </sheetViews>
  <sheetFormatPr defaultColWidth="8.85546875" defaultRowHeight="15" x14ac:dyDescent="0.25"/>
  <cols>
    <col min="1" max="1" width="7.42578125" style="2" customWidth="1"/>
    <col min="2" max="2" width="40.28515625" bestFit="1" customWidth="1"/>
    <col min="3" max="3" width="35.7109375" style="1" customWidth="1"/>
    <col min="4" max="4" width="10.28515625" style="1" customWidth="1"/>
    <col min="5" max="5" width="8.7109375" style="1" customWidth="1"/>
    <col min="6" max="6" width="10.85546875" style="1" customWidth="1"/>
    <col min="7" max="7" width="16.85546875" customWidth="1"/>
    <col min="8" max="8" width="21.28515625" bestFit="1" customWidth="1"/>
    <col min="10" max="10" width="29.140625" bestFit="1" customWidth="1"/>
  </cols>
  <sheetData>
    <row r="1" spans="1:10" ht="15.75" thickBot="1" x14ac:dyDescent="0.3">
      <c r="A1" s="3"/>
      <c r="B1" s="4"/>
      <c r="C1" s="5"/>
      <c r="D1" s="5"/>
      <c r="E1" s="5"/>
      <c r="F1" s="5"/>
    </row>
    <row r="2" spans="1:10" x14ac:dyDescent="0.25">
      <c r="A2" s="6"/>
      <c r="B2" s="7"/>
      <c r="C2" s="8"/>
      <c r="D2" s="8"/>
      <c r="E2" s="8"/>
      <c r="F2" s="8"/>
    </row>
    <row r="3" spans="1:10" x14ac:dyDescent="0.25">
      <c r="A3" s="9" t="s">
        <v>0</v>
      </c>
      <c r="B3" s="10"/>
    </row>
    <row r="4" spans="1:10" x14ac:dyDescent="0.25">
      <c r="A4" s="11"/>
      <c r="B4" s="2"/>
    </row>
    <row r="5" spans="1:10" ht="33.75" x14ac:dyDescent="0.25">
      <c r="A5" s="12" t="s">
        <v>1</v>
      </c>
      <c r="B5" s="13" t="s">
        <v>2</v>
      </c>
      <c r="C5" s="14" t="s">
        <v>3</v>
      </c>
      <c r="D5" s="15" t="s">
        <v>4</v>
      </c>
      <c r="E5" s="15" t="s">
        <v>5</v>
      </c>
      <c r="F5" s="16" t="s">
        <v>6</v>
      </c>
    </row>
    <row r="6" spans="1:10" x14ac:dyDescent="0.25">
      <c r="A6" s="17" t="s">
        <v>7</v>
      </c>
      <c r="B6" s="18" t="s">
        <v>8</v>
      </c>
      <c r="C6" s="19" t="s">
        <v>9</v>
      </c>
      <c r="D6" s="20">
        <v>3.1E-2</v>
      </c>
      <c r="E6" s="20">
        <v>0.42499999999999999</v>
      </c>
      <c r="F6" s="21">
        <v>0.6</v>
      </c>
    </row>
    <row r="7" spans="1:10" x14ac:dyDescent="0.25">
      <c r="A7" s="17" t="s">
        <v>10</v>
      </c>
      <c r="B7" s="18" t="s">
        <v>11</v>
      </c>
      <c r="C7" s="19" t="s">
        <v>12</v>
      </c>
      <c r="D7" s="20">
        <v>4.4999999999999998E-2</v>
      </c>
      <c r="E7" s="20">
        <v>0.42499999999999999</v>
      </c>
      <c r="F7" s="21">
        <v>0.8</v>
      </c>
    </row>
    <row r="8" spans="1:10" x14ac:dyDescent="0.25">
      <c r="A8" s="17" t="s">
        <v>13</v>
      </c>
      <c r="B8" s="18" t="s">
        <v>14</v>
      </c>
      <c r="C8" s="19" t="s">
        <v>9</v>
      </c>
      <c r="D8" s="20">
        <v>3.1E-2</v>
      </c>
      <c r="E8" s="20">
        <v>0.42</v>
      </c>
      <c r="F8" s="21">
        <v>0.6</v>
      </c>
    </row>
    <row r="9" spans="1:10" x14ac:dyDescent="0.25">
      <c r="A9" s="17" t="s">
        <v>15</v>
      </c>
      <c r="B9" s="18" t="s">
        <v>16</v>
      </c>
      <c r="C9" s="19" t="s">
        <v>12</v>
      </c>
      <c r="D9" s="20">
        <v>4.4999999999999998E-2</v>
      </c>
      <c r="E9" s="20">
        <v>0.435</v>
      </c>
      <c r="F9" s="21">
        <v>0.8</v>
      </c>
    </row>
    <row r="10" spans="1:10" x14ac:dyDescent="0.25">
      <c r="A10" s="17" t="s">
        <v>17</v>
      </c>
      <c r="B10" s="18" t="s">
        <v>18</v>
      </c>
      <c r="C10" s="19" t="s">
        <v>19</v>
      </c>
      <c r="D10" s="20">
        <v>7.5999999999999998E-2</v>
      </c>
      <c r="E10" s="20">
        <v>0.8</v>
      </c>
      <c r="F10" s="21">
        <v>0.9</v>
      </c>
    </row>
    <row r="11" spans="1:10" x14ac:dyDescent="0.25">
      <c r="A11" s="17" t="s">
        <v>20</v>
      </c>
      <c r="B11" s="18" t="s">
        <v>21</v>
      </c>
      <c r="C11" s="19" t="s">
        <v>19</v>
      </c>
      <c r="D11" s="20">
        <v>7.5999999999999998E-2</v>
      </c>
      <c r="E11" s="20">
        <v>0.8</v>
      </c>
      <c r="F11" s="21">
        <v>0.9</v>
      </c>
    </row>
    <row r="12" spans="1:10" x14ac:dyDescent="0.25">
      <c r="A12" s="17" t="s">
        <v>22</v>
      </c>
      <c r="B12" s="18" t="s">
        <v>446</v>
      </c>
      <c r="C12" s="21" t="s">
        <v>23</v>
      </c>
      <c r="D12" s="22">
        <v>3.7524000000000002E-2</v>
      </c>
      <c r="E12" s="23">
        <v>2.23</v>
      </c>
      <c r="F12" s="24">
        <v>2.4</v>
      </c>
    </row>
    <row r="13" spans="1:10" x14ac:dyDescent="0.25">
      <c r="A13" s="17" t="s">
        <v>24</v>
      </c>
      <c r="B13" s="18" t="s">
        <v>325</v>
      </c>
      <c r="C13" s="21" t="s">
        <v>25</v>
      </c>
      <c r="D13" s="22">
        <v>3.1600000000000003E-2</v>
      </c>
      <c r="E13" s="23"/>
      <c r="F13" s="24"/>
    </row>
    <row r="14" spans="1:10" x14ac:dyDescent="0.25">
      <c r="A14" s="17" t="s">
        <v>26</v>
      </c>
      <c r="B14" s="25" t="s">
        <v>27</v>
      </c>
      <c r="C14" s="19" t="s">
        <v>28</v>
      </c>
      <c r="D14" s="20">
        <v>4.3200000000000002E-2</v>
      </c>
      <c r="E14" s="20"/>
      <c r="F14" s="24" t="s">
        <v>29</v>
      </c>
      <c r="J14" t="s">
        <v>485</v>
      </c>
    </row>
    <row r="15" spans="1:10" x14ac:dyDescent="0.25">
      <c r="A15" s="17" t="s">
        <v>30</v>
      </c>
      <c r="B15" s="25" t="s">
        <v>31</v>
      </c>
      <c r="C15" s="19" t="s">
        <v>32</v>
      </c>
      <c r="D15" s="20">
        <v>6.7500000000000004E-2</v>
      </c>
      <c r="E15" s="20"/>
      <c r="F15" s="24" t="s">
        <v>29</v>
      </c>
    </row>
    <row r="16" spans="1:10" x14ac:dyDescent="0.25">
      <c r="A16" s="17" t="s">
        <v>33</v>
      </c>
      <c r="B16" s="25" t="s">
        <v>34</v>
      </c>
      <c r="C16" s="19" t="s">
        <v>485</v>
      </c>
      <c r="D16" s="20">
        <v>1.0800000000000001E-2</v>
      </c>
      <c r="E16" s="20"/>
      <c r="F16" s="24" t="s">
        <v>29</v>
      </c>
    </row>
    <row r="17" spans="1:7" x14ac:dyDescent="0.25">
      <c r="A17" s="17" t="s">
        <v>35</v>
      </c>
      <c r="B17" s="25" t="s">
        <v>36</v>
      </c>
      <c r="C17" s="19" t="s">
        <v>37</v>
      </c>
      <c r="D17" s="20">
        <v>1.47E-2</v>
      </c>
      <c r="E17" s="20"/>
      <c r="F17" s="24" t="s">
        <v>29</v>
      </c>
      <c r="G17" t="s">
        <v>486</v>
      </c>
    </row>
    <row r="18" spans="1:7" x14ac:dyDescent="0.25">
      <c r="A18" s="17" t="s">
        <v>334</v>
      </c>
      <c r="B18" s="25" t="s">
        <v>308</v>
      </c>
      <c r="C18" s="49" t="s">
        <v>252</v>
      </c>
      <c r="D18" s="20"/>
      <c r="E18" s="20"/>
      <c r="F18" s="24"/>
    </row>
    <row r="19" spans="1:7" x14ac:dyDescent="0.25">
      <c r="A19" s="17" t="s">
        <v>335</v>
      </c>
      <c r="B19" s="39" t="s">
        <v>309</v>
      </c>
      <c r="C19" s="49" t="s">
        <v>251</v>
      </c>
      <c r="D19" s="20"/>
      <c r="E19" s="20"/>
      <c r="F19" s="24"/>
    </row>
    <row r="20" spans="1:7" x14ac:dyDescent="0.25">
      <c r="A20" s="58" t="s">
        <v>444</v>
      </c>
      <c r="B20" s="39" t="s">
        <v>40</v>
      </c>
      <c r="C20" s="76" t="s">
        <v>41</v>
      </c>
      <c r="D20" s="20"/>
      <c r="E20" s="20"/>
      <c r="F20" s="24"/>
    </row>
    <row r="21" spans="1:7" x14ac:dyDescent="0.25">
      <c r="A21" s="58" t="s">
        <v>445</v>
      </c>
      <c r="B21" s="39" t="s">
        <v>43</v>
      </c>
      <c r="C21" s="76" t="s">
        <v>229</v>
      </c>
      <c r="D21" s="20"/>
      <c r="E21" s="20"/>
      <c r="F21" s="24"/>
    </row>
    <row r="22" spans="1:7" x14ac:dyDescent="0.25">
      <c r="A22" s="58" t="s">
        <v>447</v>
      </c>
      <c r="B22" s="39" t="s">
        <v>449</v>
      </c>
      <c r="C22" s="76" t="s">
        <v>452</v>
      </c>
      <c r="D22" s="20"/>
      <c r="E22" s="20"/>
      <c r="F22" s="24"/>
    </row>
    <row r="23" spans="1:7" x14ac:dyDescent="0.25">
      <c r="A23" s="58" t="s">
        <v>448</v>
      </c>
      <c r="B23" s="39" t="s">
        <v>450</v>
      </c>
      <c r="C23" s="76" t="s">
        <v>451</v>
      </c>
      <c r="D23" s="20"/>
      <c r="E23" s="20"/>
      <c r="F23" s="24"/>
    </row>
    <row r="24" spans="1:7" x14ac:dyDescent="0.25">
      <c r="A24" s="85"/>
      <c r="B24" s="39" t="s">
        <v>466</v>
      </c>
      <c r="C24" s="76"/>
      <c r="D24" s="20"/>
      <c r="E24" s="20"/>
      <c r="F24" s="24"/>
      <c r="G24" t="s">
        <v>467</v>
      </c>
    </row>
    <row r="25" spans="1:7" x14ac:dyDescent="0.25">
      <c r="A25" s="58" t="s">
        <v>474</v>
      </c>
      <c r="B25" s="39" t="s">
        <v>475</v>
      </c>
      <c r="C25" s="76" t="s">
        <v>476</v>
      </c>
      <c r="D25" s="20"/>
      <c r="E25" s="20"/>
      <c r="F25" s="24"/>
    </row>
    <row r="26" spans="1:7" x14ac:dyDescent="0.25">
      <c r="A26" s="58" t="s">
        <v>477</v>
      </c>
      <c r="B26" s="39" t="s">
        <v>478</v>
      </c>
      <c r="C26" s="76" t="s">
        <v>476</v>
      </c>
      <c r="D26" s="20"/>
      <c r="E26" s="20"/>
      <c r="F26" s="20"/>
    </row>
    <row r="27" spans="1:7" x14ac:dyDescent="0.25">
      <c r="A27" s="58" t="s">
        <v>479</v>
      </c>
      <c r="B27" s="39" t="s">
        <v>480</v>
      </c>
      <c r="C27" s="76" t="s">
        <v>476</v>
      </c>
      <c r="D27" s="20"/>
      <c r="E27" s="20"/>
      <c r="F27" s="20"/>
    </row>
    <row r="28" spans="1:7" ht="15.75" thickBot="1" x14ac:dyDescent="0.3">
      <c r="A28" s="27"/>
      <c r="B28" s="28"/>
      <c r="C28" s="29"/>
    </row>
    <row r="29" spans="1:7" x14ac:dyDescent="0.25">
      <c r="A29" s="6"/>
      <c r="B29" s="7"/>
      <c r="C29" s="8"/>
    </row>
    <row r="30" spans="1:7" x14ac:dyDescent="0.25">
      <c r="A30" s="9" t="s">
        <v>38</v>
      </c>
      <c r="B30" s="30"/>
    </row>
    <row r="31" spans="1:7" x14ac:dyDescent="0.25">
      <c r="B31" s="2"/>
    </row>
    <row r="32" spans="1:7" ht="33.75" x14ac:dyDescent="0.25">
      <c r="A32" s="12" t="s">
        <v>1</v>
      </c>
      <c r="B32" s="13" t="s">
        <v>2</v>
      </c>
      <c r="C32" s="14" t="s">
        <v>3</v>
      </c>
      <c r="D32" s="15" t="s">
        <v>4</v>
      </c>
      <c r="E32" s="15" t="s">
        <v>5</v>
      </c>
      <c r="F32" s="16" t="s">
        <v>6</v>
      </c>
    </row>
    <row r="33" spans="1:7" x14ac:dyDescent="0.25">
      <c r="A33" s="17" t="s">
        <v>39</v>
      </c>
      <c r="B33" s="25" t="s">
        <v>40</v>
      </c>
      <c r="C33" s="21" t="s">
        <v>41</v>
      </c>
      <c r="D33" s="20">
        <v>0.189</v>
      </c>
      <c r="E33" s="20">
        <v>5</v>
      </c>
      <c r="F33" s="24" t="s">
        <v>29</v>
      </c>
    </row>
    <row r="34" spans="1:7" x14ac:dyDescent="0.25">
      <c r="A34" s="17" t="s">
        <v>42</v>
      </c>
      <c r="B34" s="25" t="s">
        <v>43</v>
      </c>
      <c r="C34" s="21" t="s">
        <v>44</v>
      </c>
      <c r="D34" s="20">
        <v>7.1999999999999995E-2</v>
      </c>
      <c r="E34" s="20">
        <v>5</v>
      </c>
      <c r="F34" s="24" t="s">
        <v>29</v>
      </c>
    </row>
    <row r="35" spans="1:7" x14ac:dyDescent="0.25">
      <c r="A35" s="17" t="s">
        <v>45</v>
      </c>
      <c r="B35" s="25" t="s">
        <v>46</v>
      </c>
      <c r="C35" s="21" t="s">
        <v>47</v>
      </c>
      <c r="D35" s="20">
        <v>0.54</v>
      </c>
      <c r="E35" s="20">
        <v>14.5</v>
      </c>
      <c r="F35" s="21">
        <v>2.5499999999999998</v>
      </c>
    </row>
    <row r="36" spans="1:7" x14ac:dyDescent="0.25">
      <c r="A36" s="17" t="s">
        <v>48</v>
      </c>
      <c r="B36" s="25" t="s">
        <v>49</v>
      </c>
      <c r="C36" s="21" t="s">
        <v>50</v>
      </c>
      <c r="D36" s="20">
        <v>0.23599999999999999</v>
      </c>
      <c r="E36" s="20">
        <v>9.6</v>
      </c>
      <c r="F36" s="21">
        <v>1.4</v>
      </c>
    </row>
    <row r="37" spans="1:7" x14ac:dyDescent="0.25">
      <c r="A37" s="17" t="s">
        <v>51</v>
      </c>
      <c r="B37" s="25" t="s">
        <v>52</v>
      </c>
      <c r="C37" s="21" t="s">
        <v>53</v>
      </c>
      <c r="D37" s="20">
        <v>0.87</v>
      </c>
      <c r="E37" s="20"/>
      <c r="F37" s="21">
        <v>5.0999999999999996</v>
      </c>
    </row>
    <row r="38" spans="1:7" x14ac:dyDescent="0.25">
      <c r="A38" s="17" t="s">
        <v>54</v>
      </c>
      <c r="B38" s="25" t="s">
        <v>55</v>
      </c>
      <c r="C38" s="21" t="s">
        <v>56</v>
      </c>
      <c r="D38" s="20">
        <v>1.2</v>
      </c>
      <c r="E38" s="20">
        <v>22</v>
      </c>
      <c r="F38" s="21">
        <v>7.65</v>
      </c>
    </row>
    <row r="39" spans="1:7" ht="15.75" thickBot="1" x14ac:dyDescent="0.3">
      <c r="A39" s="27"/>
      <c r="B39" s="31"/>
      <c r="C39" s="32"/>
      <c r="D39" s="33"/>
      <c r="E39" s="33"/>
      <c r="F39" s="32"/>
    </row>
    <row r="40" spans="1:7" x14ac:dyDescent="0.25">
      <c r="A40" s="6"/>
      <c r="B40" s="7"/>
      <c r="C40" s="8"/>
      <c r="D40" s="8"/>
      <c r="E40" s="8"/>
      <c r="F40" s="8"/>
    </row>
    <row r="41" spans="1:7" x14ac:dyDescent="0.25">
      <c r="A41" s="9" t="s">
        <v>57</v>
      </c>
      <c r="B41" s="30"/>
    </row>
    <row r="42" spans="1:7" x14ac:dyDescent="0.25">
      <c r="B42" s="2"/>
    </row>
    <row r="43" spans="1:7" ht="33.75" x14ac:dyDescent="0.25">
      <c r="A43" s="12" t="s">
        <v>1</v>
      </c>
      <c r="B43" s="13" t="s">
        <v>2</v>
      </c>
      <c r="C43" s="14" t="s">
        <v>3</v>
      </c>
      <c r="D43" s="15" t="s">
        <v>4</v>
      </c>
      <c r="E43" s="15" t="s">
        <v>5</v>
      </c>
      <c r="F43" s="16" t="s">
        <v>6</v>
      </c>
      <c r="G43" t="s">
        <v>345</v>
      </c>
    </row>
    <row r="44" spans="1:7" x14ac:dyDescent="0.25">
      <c r="A44" s="34" t="s">
        <v>342</v>
      </c>
      <c r="B44" s="35" t="s">
        <v>58</v>
      </c>
      <c r="C44" s="21" t="s">
        <v>238</v>
      </c>
      <c r="D44" s="36"/>
      <c r="E44" s="19"/>
      <c r="F44" s="24"/>
    </row>
    <row r="45" spans="1:7" x14ac:dyDescent="0.25">
      <c r="A45" s="34" t="s">
        <v>453</v>
      </c>
      <c r="B45" s="18" t="s">
        <v>330</v>
      </c>
      <c r="C45" s="52" t="s">
        <v>454</v>
      </c>
      <c r="D45" s="86"/>
      <c r="E45" s="19"/>
      <c r="F45" s="24"/>
    </row>
    <row r="46" spans="1:7" x14ac:dyDescent="0.25">
      <c r="A46" s="34" t="s">
        <v>346</v>
      </c>
      <c r="B46" s="18" t="s">
        <v>59</v>
      </c>
      <c r="C46" s="21" t="s">
        <v>239</v>
      </c>
      <c r="D46" s="36"/>
      <c r="E46" s="20"/>
      <c r="F46" s="24"/>
    </row>
    <row r="47" spans="1:7" x14ac:dyDescent="0.25">
      <c r="A47" s="34" t="s">
        <v>347</v>
      </c>
      <c r="B47" s="18" t="s">
        <v>60</v>
      </c>
      <c r="C47" s="21" t="s">
        <v>102</v>
      </c>
      <c r="D47" s="36"/>
      <c r="E47" s="20"/>
      <c r="F47" s="24"/>
    </row>
    <row r="48" spans="1:7" x14ac:dyDescent="0.25">
      <c r="A48" s="34" t="s">
        <v>348</v>
      </c>
      <c r="B48" s="18" t="s">
        <v>61</v>
      </c>
      <c r="C48" s="21" t="s">
        <v>240</v>
      </c>
      <c r="D48" s="36"/>
      <c r="E48" s="20"/>
      <c r="F48" s="24"/>
    </row>
    <row r="49" spans="1:8" x14ac:dyDescent="0.25">
      <c r="A49" s="34" t="s">
        <v>343</v>
      </c>
      <c r="B49" s="35" t="s">
        <v>40</v>
      </c>
      <c r="C49" s="21" t="s">
        <v>241</v>
      </c>
      <c r="D49" s="36"/>
      <c r="E49" s="20"/>
      <c r="F49" s="24"/>
      <c r="H49" t="s">
        <v>244</v>
      </c>
    </row>
    <row r="50" spans="1:8" x14ac:dyDescent="0.25">
      <c r="A50" s="34" t="s">
        <v>344</v>
      </c>
      <c r="B50" s="35" t="s">
        <v>43</v>
      </c>
      <c r="C50" s="21" t="s">
        <v>242</v>
      </c>
      <c r="D50" s="36"/>
      <c r="E50" s="20"/>
      <c r="F50" s="24"/>
      <c r="H50" t="s">
        <v>244</v>
      </c>
    </row>
    <row r="51" spans="1:8" x14ac:dyDescent="0.25">
      <c r="A51" s="34" t="s">
        <v>350</v>
      </c>
      <c r="B51" s="35" t="s">
        <v>253</v>
      </c>
      <c r="C51" s="21" t="s">
        <v>243</v>
      </c>
      <c r="D51" s="36"/>
      <c r="E51" s="20"/>
      <c r="F51" s="24"/>
    </row>
    <row r="52" spans="1:8" x14ac:dyDescent="0.25">
      <c r="A52" s="17" t="s">
        <v>334</v>
      </c>
      <c r="B52" s="18" t="s">
        <v>308</v>
      </c>
      <c r="C52" s="49" t="s">
        <v>252</v>
      </c>
      <c r="D52" s="20"/>
      <c r="E52" s="20"/>
      <c r="F52" s="24"/>
    </row>
    <row r="53" spans="1:8" x14ac:dyDescent="0.25">
      <c r="A53" s="17" t="s">
        <v>335</v>
      </c>
      <c r="B53" s="18" t="s">
        <v>309</v>
      </c>
      <c r="C53" s="49" t="s">
        <v>251</v>
      </c>
      <c r="D53" s="20"/>
      <c r="E53" s="20"/>
      <c r="F53" s="24"/>
    </row>
    <row r="54" spans="1:8" x14ac:dyDescent="0.25">
      <c r="A54" s="34" t="s">
        <v>337</v>
      </c>
      <c r="B54" s="35" t="s">
        <v>46</v>
      </c>
      <c r="C54" s="21" t="s">
        <v>245</v>
      </c>
      <c r="D54" s="36"/>
      <c r="E54" s="20"/>
      <c r="F54" s="24"/>
    </row>
    <row r="55" spans="1:8" x14ac:dyDescent="0.25">
      <c r="A55" s="34" t="s">
        <v>338</v>
      </c>
      <c r="B55" s="35" t="s">
        <v>49</v>
      </c>
      <c r="C55" s="21" t="s">
        <v>246</v>
      </c>
      <c r="D55" s="36"/>
      <c r="E55" s="20"/>
      <c r="F55" s="24"/>
    </row>
    <row r="56" spans="1:8" x14ac:dyDescent="0.25">
      <c r="A56" s="34" t="s">
        <v>349</v>
      </c>
      <c r="B56" s="18" t="s">
        <v>63</v>
      </c>
      <c r="C56" s="21" t="s">
        <v>247</v>
      </c>
      <c r="D56" s="36"/>
      <c r="E56" s="20"/>
      <c r="F56" s="24"/>
    </row>
    <row r="57" spans="1:8" x14ac:dyDescent="0.25">
      <c r="A57" s="34" t="s">
        <v>339</v>
      </c>
      <c r="B57" s="18" t="s">
        <v>64</v>
      </c>
      <c r="C57" s="21" t="s">
        <v>247</v>
      </c>
      <c r="D57" s="36"/>
      <c r="E57" s="20"/>
      <c r="F57" s="24"/>
    </row>
    <row r="58" spans="1:8" x14ac:dyDescent="0.25">
      <c r="A58" s="34" t="s">
        <v>340</v>
      </c>
      <c r="B58" s="18" t="s">
        <v>65</v>
      </c>
      <c r="C58" s="21" t="s">
        <v>247</v>
      </c>
      <c r="D58" s="36"/>
      <c r="E58" s="19"/>
      <c r="F58" s="24"/>
    </row>
    <row r="59" spans="1:8" x14ac:dyDescent="0.25">
      <c r="A59" s="34" t="s">
        <v>336</v>
      </c>
      <c r="B59" s="18" t="s">
        <v>198</v>
      </c>
      <c r="C59" s="21" t="s">
        <v>248</v>
      </c>
      <c r="D59" s="36"/>
      <c r="E59" s="19"/>
      <c r="F59" s="24"/>
    </row>
    <row r="60" spans="1:8" x14ac:dyDescent="0.25">
      <c r="A60" s="34" t="s">
        <v>341</v>
      </c>
      <c r="B60" s="18" t="s">
        <v>159</v>
      </c>
      <c r="C60" s="21" t="s">
        <v>249</v>
      </c>
      <c r="D60" s="36"/>
      <c r="E60" s="19"/>
      <c r="F60" s="24"/>
    </row>
    <row r="61" spans="1:8" ht="15.75" thickBot="1" x14ac:dyDescent="0.3">
      <c r="A61" s="37"/>
      <c r="B61" s="37"/>
      <c r="C61" s="38"/>
      <c r="D61" s="38"/>
      <c r="E61" s="38"/>
      <c r="F61" s="38"/>
    </row>
    <row r="62" spans="1:8" x14ac:dyDescent="0.25">
      <c r="A62" s="6"/>
      <c r="B62" s="7"/>
      <c r="C62" s="8"/>
      <c r="D62" s="8"/>
      <c r="E62" s="8"/>
      <c r="F62" s="8"/>
    </row>
    <row r="63" spans="1:8" x14ac:dyDescent="0.25">
      <c r="A63" s="9" t="s">
        <v>66</v>
      </c>
      <c r="B63" s="30"/>
    </row>
    <row r="64" spans="1:8" x14ac:dyDescent="0.25">
      <c r="B64" s="2"/>
    </row>
    <row r="65" spans="1:8" ht="33.75" x14ac:dyDescent="0.25">
      <c r="A65" s="12" t="s">
        <v>1</v>
      </c>
      <c r="B65" s="13" t="s">
        <v>2</v>
      </c>
      <c r="C65" s="14" t="s">
        <v>3</v>
      </c>
      <c r="D65" s="15" t="s">
        <v>4</v>
      </c>
      <c r="E65" s="15" t="s">
        <v>5</v>
      </c>
      <c r="F65" s="16" t="s">
        <v>6</v>
      </c>
    </row>
    <row r="66" spans="1:8" x14ac:dyDescent="0.25">
      <c r="A66" s="17" t="s">
        <v>67</v>
      </c>
      <c r="B66" s="25" t="s">
        <v>68</v>
      </c>
      <c r="C66" s="21" t="s">
        <v>69</v>
      </c>
      <c r="D66" s="20">
        <v>0.29315000000000002</v>
      </c>
      <c r="E66" s="24" t="s">
        <v>29</v>
      </c>
      <c r="F66" s="24" t="s">
        <v>29</v>
      </c>
      <c r="H66" t="s">
        <v>255</v>
      </c>
    </row>
    <row r="67" spans="1:8" x14ac:dyDescent="0.25">
      <c r="A67" s="17" t="s">
        <v>70</v>
      </c>
      <c r="B67" s="25" t="s">
        <v>59</v>
      </c>
      <c r="C67" s="21" t="s">
        <v>71</v>
      </c>
      <c r="D67" s="20">
        <v>0.48</v>
      </c>
      <c r="E67" s="24" t="s">
        <v>29</v>
      </c>
      <c r="F67" s="24" t="s">
        <v>29</v>
      </c>
      <c r="H67" t="s">
        <v>255</v>
      </c>
    </row>
    <row r="68" spans="1:8" x14ac:dyDescent="0.25">
      <c r="A68" s="17" t="s">
        <v>72</v>
      </c>
      <c r="B68" s="25" t="s">
        <v>60</v>
      </c>
      <c r="C68" s="21" t="s">
        <v>73</v>
      </c>
      <c r="D68" s="20">
        <v>0.75</v>
      </c>
      <c r="E68" s="24" t="s">
        <v>29</v>
      </c>
      <c r="F68" s="24" t="s">
        <v>29</v>
      </c>
    </row>
    <row r="69" spans="1:8" x14ac:dyDescent="0.25">
      <c r="A69" s="17" t="s">
        <v>351</v>
      </c>
      <c r="B69" s="39" t="s">
        <v>40</v>
      </c>
      <c r="C69" s="21" t="s">
        <v>254</v>
      </c>
      <c r="D69" s="20"/>
      <c r="E69" s="24"/>
      <c r="F69" s="24"/>
    </row>
    <row r="70" spans="1:8" x14ac:dyDescent="0.25">
      <c r="A70" s="17" t="s">
        <v>352</v>
      </c>
      <c r="B70" s="39" t="s">
        <v>43</v>
      </c>
      <c r="C70" s="21" t="s">
        <v>256</v>
      </c>
      <c r="D70" s="20"/>
      <c r="E70" s="24"/>
      <c r="F70" s="24"/>
    </row>
    <row r="71" spans="1:8" x14ac:dyDescent="0.25">
      <c r="A71" s="17" t="s">
        <v>74</v>
      </c>
      <c r="B71" s="25" t="s">
        <v>58</v>
      </c>
      <c r="C71" s="21" t="s">
        <v>75</v>
      </c>
      <c r="D71" s="20">
        <v>0.58115000000000006</v>
      </c>
      <c r="E71" s="24" t="s">
        <v>29</v>
      </c>
      <c r="F71" s="24" t="s">
        <v>29</v>
      </c>
    </row>
    <row r="72" spans="1:8" ht="15.75" thickBot="1" x14ac:dyDescent="0.3">
      <c r="A72" s="27"/>
      <c r="B72" s="40"/>
      <c r="C72" s="41"/>
      <c r="D72" s="41"/>
      <c r="E72" s="41"/>
      <c r="F72" s="41"/>
    </row>
    <row r="73" spans="1:8" x14ac:dyDescent="0.25">
      <c r="A73" s="6"/>
      <c r="B73" s="7"/>
      <c r="C73" s="8"/>
      <c r="D73" s="8"/>
      <c r="E73" s="8"/>
      <c r="F73" s="8"/>
    </row>
    <row r="74" spans="1:8" x14ac:dyDescent="0.25">
      <c r="A74" s="9" t="s">
        <v>76</v>
      </c>
      <c r="B74" s="10"/>
    </row>
    <row r="75" spans="1:8" x14ac:dyDescent="0.25">
      <c r="A75" s="11"/>
      <c r="B75" s="2"/>
    </row>
    <row r="76" spans="1:8" ht="33.75" x14ac:dyDescent="0.25">
      <c r="A76" s="12" t="s">
        <v>1</v>
      </c>
      <c r="B76" s="13" t="s">
        <v>2</v>
      </c>
      <c r="C76" s="14" t="s">
        <v>3</v>
      </c>
      <c r="D76" s="15" t="s">
        <v>4</v>
      </c>
      <c r="E76" s="15" t="s">
        <v>5</v>
      </c>
      <c r="F76" s="16" t="s">
        <v>6</v>
      </c>
      <c r="G76" t="s">
        <v>438</v>
      </c>
    </row>
    <row r="77" spans="1:8" x14ac:dyDescent="0.25">
      <c r="A77" s="58" t="s">
        <v>436</v>
      </c>
      <c r="B77" s="25" t="s">
        <v>77</v>
      </c>
      <c r="C77" s="21" t="s">
        <v>257</v>
      </c>
      <c r="D77" s="21"/>
      <c r="E77" s="20"/>
      <c r="F77" s="24"/>
    </row>
    <row r="78" spans="1:8" x14ac:dyDescent="0.25">
      <c r="A78" s="58" t="s">
        <v>437</v>
      </c>
      <c r="B78" s="25" t="s">
        <v>68</v>
      </c>
      <c r="C78" s="21" t="s">
        <v>258</v>
      </c>
      <c r="D78" s="21"/>
      <c r="E78" s="20"/>
      <c r="F78" s="24"/>
    </row>
    <row r="79" spans="1:8" x14ac:dyDescent="0.25">
      <c r="A79" s="58" t="s">
        <v>487</v>
      </c>
      <c r="B79" s="25" t="s">
        <v>58</v>
      </c>
      <c r="C79" s="21" t="s">
        <v>259</v>
      </c>
      <c r="D79" s="21"/>
      <c r="E79" s="20"/>
      <c r="F79" s="24"/>
      <c r="H79" t="s">
        <v>441</v>
      </c>
    </row>
    <row r="80" spans="1:8" x14ac:dyDescent="0.25">
      <c r="A80" s="17" t="s">
        <v>78</v>
      </c>
      <c r="B80" s="25" t="s">
        <v>40</v>
      </c>
      <c r="C80" s="21" t="s">
        <v>79</v>
      </c>
      <c r="D80" s="21">
        <v>0.13500000000000001</v>
      </c>
      <c r="E80" s="20">
        <v>3.2</v>
      </c>
      <c r="F80" s="24" t="s">
        <v>29</v>
      </c>
      <c r="H80" t="s">
        <v>441</v>
      </c>
    </row>
    <row r="81" spans="1:8" x14ac:dyDescent="0.25">
      <c r="A81" s="17" t="s">
        <v>80</v>
      </c>
      <c r="B81" s="25" t="s">
        <v>43</v>
      </c>
      <c r="C81" s="21" t="s">
        <v>81</v>
      </c>
      <c r="D81" s="21">
        <v>9.4E-2</v>
      </c>
      <c r="E81" s="20">
        <v>3.2</v>
      </c>
      <c r="F81" s="24" t="s">
        <v>29</v>
      </c>
      <c r="H81" t="s">
        <v>441</v>
      </c>
    </row>
    <row r="82" spans="1:8" x14ac:dyDescent="0.25">
      <c r="A82" s="58" t="s">
        <v>439</v>
      </c>
      <c r="B82" s="25" t="s">
        <v>440</v>
      </c>
      <c r="C82" s="21" t="s">
        <v>71</v>
      </c>
      <c r="D82" s="21"/>
      <c r="E82" s="20"/>
      <c r="F82" s="24"/>
    </row>
    <row r="83" spans="1:8" x14ac:dyDescent="0.25">
      <c r="A83" s="58" t="s">
        <v>442</v>
      </c>
      <c r="B83" s="25" t="s">
        <v>60</v>
      </c>
      <c r="C83" s="21" t="s">
        <v>73</v>
      </c>
      <c r="D83" s="21"/>
      <c r="E83" s="20"/>
      <c r="F83" s="24"/>
    </row>
    <row r="84" spans="1:8" x14ac:dyDescent="0.25">
      <c r="A84" s="58" t="s">
        <v>443</v>
      </c>
      <c r="B84" s="25" t="s">
        <v>61</v>
      </c>
      <c r="C84" s="21" t="s">
        <v>105</v>
      </c>
      <c r="D84" s="21"/>
      <c r="E84" s="20"/>
      <c r="F84" s="24"/>
    </row>
    <row r="85" spans="1:8" x14ac:dyDescent="0.25">
      <c r="A85" s="17" t="s">
        <v>82</v>
      </c>
      <c r="B85" s="25" t="s">
        <v>46</v>
      </c>
      <c r="C85" s="21" t="s">
        <v>83</v>
      </c>
      <c r="D85" s="21">
        <v>0.36599999999999999</v>
      </c>
      <c r="E85" s="20">
        <v>11</v>
      </c>
      <c r="F85" s="21">
        <v>2.1</v>
      </c>
    </row>
    <row r="86" spans="1:8" x14ac:dyDescent="0.25">
      <c r="A86" s="17" t="s">
        <v>84</v>
      </c>
      <c r="B86" s="25" t="s">
        <v>49</v>
      </c>
      <c r="C86" s="21" t="s">
        <v>85</v>
      </c>
      <c r="D86" s="21">
        <v>0.13300000000000001</v>
      </c>
      <c r="E86" s="20">
        <v>4.8</v>
      </c>
      <c r="F86" s="21">
        <v>1</v>
      </c>
    </row>
    <row r="87" spans="1:8" x14ac:dyDescent="0.25">
      <c r="A87" s="17" t="s">
        <v>86</v>
      </c>
      <c r="B87" s="25" t="s">
        <v>87</v>
      </c>
      <c r="C87" s="21" t="s">
        <v>88</v>
      </c>
      <c r="D87" s="21">
        <v>0.59199999999999997</v>
      </c>
      <c r="E87" s="20">
        <v>13.1</v>
      </c>
      <c r="F87" s="21">
        <v>2.95</v>
      </c>
    </row>
    <row r="88" spans="1:8" x14ac:dyDescent="0.25">
      <c r="A88" s="17" t="s">
        <v>89</v>
      </c>
      <c r="B88" s="25" t="s">
        <v>90</v>
      </c>
      <c r="C88" s="21" t="s">
        <v>91</v>
      </c>
      <c r="D88" s="21">
        <v>0.79900000000000004</v>
      </c>
      <c r="E88" s="20"/>
      <c r="F88" s="21">
        <v>3.95</v>
      </c>
    </row>
    <row r="89" spans="1:8" ht="15.75" thickBot="1" x14ac:dyDescent="0.3">
      <c r="A89" s="42"/>
      <c r="B89" s="43"/>
      <c r="C89" s="29"/>
      <c r="D89" s="44"/>
      <c r="E89" s="45"/>
      <c r="F89" s="46"/>
    </row>
    <row r="90" spans="1:8" x14ac:dyDescent="0.25">
      <c r="A90" s="6"/>
      <c r="B90" s="7"/>
      <c r="C90" s="8"/>
      <c r="D90" s="8"/>
      <c r="E90" s="8"/>
      <c r="F90" s="8"/>
    </row>
    <row r="91" spans="1:8" x14ac:dyDescent="0.25">
      <c r="A91" s="9" t="s">
        <v>92</v>
      </c>
      <c r="B91" s="30"/>
    </row>
    <row r="92" spans="1:8" x14ac:dyDescent="0.25">
      <c r="B92" s="2"/>
    </row>
    <row r="93" spans="1:8" ht="33.75" x14ac:dyDescent="0.25">
      <c r="A93" s="12" t="s">
        <v>1</v>
      </c>
      <c r="B93" s="13" t="s">
        <v>2</v>
      </c>
      <c r="C93" s="14" t="s">
        <v>3</v>
      </c>
      <c r="D93" s="15" t="s">
        <v>4</v>
      </c>
      <c r="E93" s="15" t="s">
        <v>5</v>
      </c>
      <c r="F93" s="16" t="s">
        <v>6</v>
      </c>
    </row>
    <row r="94" spans="1:8" x14ac:dyDescent="0.25">
      <c r="A94" s="34" t="s">
        <v>326</v>
      </c>
      <c r="B94" s="18" t="s">
        <v>58</v>
      </c>
      <c r="C94" s="49" t="s">
        <v>260</v>
      </c>
      <c r="D94" s="50"/>
      <c r="E94" s="51"/>
      <c r="F94" s="24"/>
    </row>
    <row r="95" spans="1:8" x14ac:dyDescent="0.25">
      <c r="A95" s="47" t="s">
        <v>93</v>
      </c>
      <c r="B95" s="35" t="s">
        <v>46</v>
      </c>
      <c r="C95" s="49" t="s">
        <v>94</v>
      </c>
      <c r="D95" s="50">
        <v>0.39689999999999998</v>
      </c>
      <c r="E95" s="51"/>
      <c r="F95" s="24" t="s">
        <v>29</v>
      </c>
    </row>
    <row r="96" spans="1:8" x14ac:dyDescent="0.25">
      <c r="A96" s="47" t="s">
        <v>95</v>
      </c>
      <c r="B96" s="35" t="s">
        <v>68</v>
      </c>
      <c r="C96" s="49" t="s">
        <v>96</v>
      </c>
      <c r="D96" s="50"/>
      <c r="E96" s="51"/>
      <c r="F96" s="24" t="s">
        <v>29</v>
      </c>
    </row>
    <row r="97" spans="1:7" x14ac:dyDescent="0.25">
      <c r="A97" s="47" t="s">
        <v>97</v>
      </c>
      <c r="B97" s="35" t="s">
        <v>77</v>
      </c>
      <c r="C97" s="49" t="s">
        <v>98</v>
      </c>
      <c r="D97" s="50">
        <v>0.34429999999999999</v>
      </c>
      <c r="E97" s="51"/>
      <c r="F97" s="24" t="s">
        <v>29</v>
      </c>
    </row>
    <row r="98" spans="1:7" x14ac:dyDescent="0.25">
      <c r="A98" s="34" t="s">
        <v>327</v>
      </c>
      <c r="B98" s="18" t="s">
        <v>99</v>
      </c>
      <c r="C98" s="49" t="s">
        <v>261</v>
      </c>
      <c r="D98" s="50"/>
      <c r="E98" s="51"/>
      <c r="F98" s="24"/>
    </row>
    <row r="99" spans="1:7" x14ac:dyDescent="0.25">
      <c r="A99" s="47" t="s">
        <v>100</v>
      </c>
      <c r="B99" s="35" t="s">
        <v>101</v>
      </c>
      <c r="C99" s="49" t="s">
        <v>102</v>
      </c>
      <c r="D99" s="50">
        <v>0.72</v>
      </c>
      <c r="E99" s="51"/>
      <c r="F99" s="24" t="s">
        <v>29</v>
      </c>
    </row>
    <row r="100" spans="1:7" x14ac:dyDescent="0.25">
      <c r="A100" s="47" t="s">
        <v>103</v>
      </c>
      <c r="B100" s="35" t="s">
        <v>104</v>
      </c>
      <c r="C100" s="49" t="s">
        <v>105</v>
      </c>
      <c r="D100" s="50">
        <v>1.08</v>
      </c>
      <c r="E100" s="51"/>
      <c r="F100" s="24" t="s">
        <v>29</v>
      </c>
    </row>
    <row r="101" spans="1:7" x14ac:dyDescent="0.25">
      <c r="A101" s="47" t="s">
        <v>106</v>
      </c>
      <c r="B101" s="35" t="s">
        <v>107</v>
      </c>
      <c r="C101" s="49" t="s">
        <v>108</v>
      </c>
      <c r="D101" s="50">
        <v>1.6875</v>
      </c>
      <c r="E101" s="51"/>
      <c r="F101" s="24" t="s">
        <v>29</v>
      </c>
    </row>
    <row r="102" spans="1:7" x14ac:dyDescent="0.25">
      <c r="A102" s="47" t="s">
        <v>109</v>
      </c>
      <c r="B102" s="35" t="s">
        <v>110</v>
      </c>
      <c r="C102" s="49" t="s">
        <v>111</v>
      </c>
      <c r="D102" s="50">
        <v>1.08</v>
      </c>
      <c r="E102" s="51"/>
      <c r="F102" s="24" t="s">
        <v>29</v>
      </c>
    </row>
    <row r="103" spans="1:7" x14ac:dyDescent="0.25">
      <c r="A103" s="47" t="s">
        <v>112</v>
      </c>
      <c r="B103" s="35" t="s">
        <v>113</v>
      </c>
      <c r="C103" s="49" t="s">
        <v>114</v>
      </c>
      <c r="D103" s="50">
        <v>1.6875</v>
      </c>
      <c r="E103" s="51"/>
      <c r="F103" s="24" t="s">
        <v>29</v>
      </c>
    </row>
    <row r="104" spans="1:7" x14ac:dyDescent="0.25">
      <c r="A104" s="47" t="s">
        <v>115</v>
      </c>
      <c r="B104" s="35" t="s">
        <v>62</v>
      </c>
      <c r="C104" s="49" t="s">
        <v>116</v>
      </c>
      <c r="D104" s="50">
        <v>1.1628000000000001</v>
      </c>
      <c r="E104" s="51"/>
      <c r="F104" s="24" t="s">
        <v>29</v>
      </c>
    </row>
    <row r="105" spans="1:7" x14ac:dyDescent="0.25">
      <c r="A105" s="47" t="s">
        <v>117</v>
      </c>
      <c r="B105" s="35" t="s">
        <v>40</v>
      </c>
      <c r="C105" s="49" t="s">
        <v>118</v>
      </c>
      <c r="D105" s="50">
        <v>0.14169999999999999</v>
      </c>
      <c r="E105" s="51"/>
      <c r="F105" s="24" t="s">
        <v>29</v>
      </c>
    </row>
    <row r="106" spans="1:7" x14ac:dyDescent="0.25">
      <c r="A106" s="34" t="s">
        <v>481</v>
      </c>
      <c r="B106" s="18" t="s">
        <v>43</v>
      </c>
      <c r="C106" s="49"/>
      <c r="D106" s="50"/>
      <c r="E106" s="51"/>
      <c r="F106" s="24"/>
      <c r="G106" t="s">
        <v>482</v>
      </c>
    </row>
    <row r="107" spans="1:7" ht="15.75" thickBot="1" x14ac:dyDescent="0.3">
      <c r="B107" s="43"/>
      <c r="C107" s="29"/>
      <c r="D107" s="44"/>
      <c r="E107" s="45"/>
      <c r="F107" s="29"/>
    </row>
    <row r="108" spans="1:7" x14ac:dyDescent="0.25">
      <c r="A108" s="6"/>
      <c r="B108" s="7"/>
      <c r="C108" s="8"/>
      <c r="D108" s="8"/>
      <c r="E108" s="8"/>
      <c r="F108" s="8"/>
    </row>
    <row r="109" spans="1:7" x14ac:dyDescent="0.25">
      <c r="A109" s="9" t="s">
        <v>119</v>
      </c>
      <c r="B109" s="30"/>
    </row>
    <row r="110" spans="1:7" x14ac:dyDescent="0.25">
      <c r="B110" s="2"/>
    </row>
    <row r="111" spans="1:7" ht="33.75" x14ac:dyDescent="0.25">
      <c r="A111" s="12" t="s">
        <v>1</v>
      </c>
      <c r="B111" s="13" t="s">
        <v>2</v>
      </c>
      <c r="C111" s="14" t="s">
        <v>3</v>
      </c>
      <c r="D111" s="15" t="s">
        <v>4</v>
      </c>
      <c r="E111" s="15" t="s">
        <v>5</v>
      </c>
      <c r="F111" s="16" t="s">
        <v>6</v>
      </c>
    </row>
    <row r="112" spans="1:7" x14ac:dyDescent="0.25">
      <c r="A112" s="34" t="s">
        <v>120</v>
      </c>
      <c r="B112" s="35" t="s">
        <v>46</v>
      </c>
      <c r="C112" s="21" t="s">
        <v>121</v>
      </c>
      <c r="D112" s="22">
        <v>0.2732</v>
      </c>
      <c r="E112" s="23"/>
      <c r="F112" s="24" t="s">
        <v>29</v>
      </c>
    </row>
    <row r="113" spans="1:8" x14ac:dyDescent="0.25">
      <c r="A113" s="34" t="s">
        <v>122</v>
      </c>
      <c r="B113" s="35" t="s">
        <v>40</v>
      </c>
      <c r="C113" s="21" t="s">
        <v>123</v>
      </c>
      <c r="D113" s="22">
        <v>0.16500000000000001</v>
      </c>
      <c r="E113" s="23"/>
      <c r="F113" s="24" t="s">
        <v>29</v>
      </c>
    </row>
    <row r="114" spans="1:8" x14ac:dyDescent="0.25">
      <c r="A114" s="34" t="s">
        <v>328</v>
      </c>
      <c r="B114" s="18" t="s">
        <v>43</v>
      </c>
      <c r="C114" s="52" t="s">
        <v>124</v>
      </c>
      <c r="D114" s="22"/>
      <c r="E114" s="23"/>
      <c r="F114" s="24"/>
    </row>
    <row r="115" spans="1:8" ht="15.75" thickBot="1" x14ac:dyDescent="0.3">
      <c r="B115" s="2"/>
      <c r="C115" s="26"/>
      <c r="D115" s="26"/>
      <c r="E115" s="26"/>
      <c r="F115" s="26"/>
    </row>
    <row r="116" spans="1:8" x14ac:dyDescent="0.25">
      <c r="A116" s="6"/>
      <c r="B116" s="7"/>
      <c r="C116" s="8"/>
      <c r="D116" s="8"/>
      <c r="E116" s="8"/>
      <c r="F116" s="8"/>
    </row>
    <row r="117" spans="1:8" x14ac:dyDescent="0.25">
      <c r="A117" s="53" t="s">
        <v>125</v>
      </c>
      <c r="B117" s="30"/>
    </row>
    <row r="118" spans="1:8" x14ac:dyDescent="0.25">
      <c r="B118" s="2"/>
    </row>
    <row r="119" spans="1:8" ht="33.75" x14ac:dyDescent="0.25">
      <c r="A119" s="12" t="s">
        <v>1</v>
      </c>
      <c r="B119" s="13" t="s">
        <v>2</v>
      </c>
      <c r="C119" s="14" t="s">
        <v>3</v>
      </c>
      <c r="D119" s="15" t="s">
        <v>4</v>
      </c>
      <c r="E119" s="15" t="s">
        <v>5</v>
      </c>
      <c r="F119" s="16" t="s">
        <v>6</v>
      </c>
    </row>
    <row r="120" spans="1:8" x14ac:dyDescent="0.25">
      <c r="A120" s="47" t="s">
        <v>356</v>
      </c>
      <c r="B120" s="18" t="s">
        <v>77</v>
      </c>
      <c r="C120" s="49" t="s">
        <v>262</v>
      </c>
      <c r="D120" s="51"/>
      <c r="E120" s="51"/>
      <c r="F120" s="54"/>
    </row>
    <row r="121" spans="1:8" x14ac:dyDescent="0.25">
      <c r="A121" s="34" t="s">
        <v>329</v>
      </c>
      <c r="B121" s="18" t="s">
        <v>68</v>
      </c>
      <c r="C121" s="49" t="s">
        <v>263</v>
      </c>
      <c r="D121" s="51"/>
      <c r="E121" s="51"/>
      <c r="F121" s="54"/>
    </row>
    <row r="122" spans="1:8" x14ac:dyDescent="0.25">
      <c r="A122" s="47" t="s">
        <v>358</v>
      </c>
      <c r="B122" s="18" t="s">
        <v>357</v>
      </c>
      <c r="C122" s="49" t="s">
        <v>264</v>
      </c>
      <c r="D122" s="51"/>
      <c r="E122" s="51"/>
      <c r="F122" s="54"/>
      <c r="H122" t="s">
        <v>456</v>
      </c>
    </row>
    <row r="123" spans="1:8" x14ac:dyDescent="0.25">
      <c r="A123" s="17" t="s">
        <v>335</v>
      </c>
      <c r="B123" s="39" t="s">
        <v>309</v>
      </c>
      <c r="C123" s="49" t="s">
        <v>251</v>
      </c>
      <c r="D123" s="20"/>
      <c r="E123" s="20"/>
      <c r="F123" s="24"/>
      <c r="H123" t="s">
        <v>458</v>
      </c>
    </row>
    <row r="124" spans="1:8" x14ac:dyDescent="0.25">
      <c r="A124" s="17" t="s">
        <v>334</v>
      </c>
      <c r="B124" s="25" t="s">
        <v>308</v>
      </c>
      <c r="C124" s="49" t="s">
        <v>252</v>
      </c>
      <c r="D124" s="20"/>
      <c r="E124" s="20"/>
      <c r="F124" s="24"/>
    </row>
    <row r="125" spans="1:8" x14ac:dyDescent="0.25">
      <c r="A125" s="47" t="s">
        <v>359</v>
      </c>
      <c r="B125" s="18" t="s">
        <v>455</v>
      </c>
      <c r="C125" s="49" t="s">
        <v>265</v>
      </c>
      <c r="D125" s="51"/>
      <c r="E125" s="51"/>
      <c r="F125" s="54"/>
    </row>
    <row r="126" spans="1:8" x14ac:dyDescent="0.25">
      <c r="A126" s="47" t="s">
        <v>360</v>
      </c>
      <c r="B126" s="18" t="s">
        <v>457</v>
      </c>
      <c r="C126" s="49" t="s">
        <v>266</v>
      </c>
      <c r="D126" s="51"/>
      <c r="E126" s="51"/>
      <c r="F126" s="54"/>
    </row>
    <row r="127" spans="1:8" x14ac:dyDescent="0.25">
      <c r="A127" s="47" t="s">
        <v>361</v>
      </c>
      <c r="B127" s="18" t="s">
        <v>126</v>
      </c>
      <c r="C127" s="49" t="s">
        <v>267</v>
      </c>
      <c r="D127" s="51"/>
      <c r="E127" s="51"/>
      <c r="F127" s="54"/>
    </row>
    <row r="128" spans="1:8" x14ac:dyDescent="0.25">
      <c r="A128" s="47" t="s">
        <v>362</v>
      </c>
      <c r="B128" s="18" t="s">
        <v>46</v>
      </c>
      <c r="C128" s="49" t="s">
        <v>267</v>
      </c>
      <c r="D128" s="51"/>
      <c r="E128" s="51"/>
      <c r="F128" s="54"/>
      <c r="G128" s="84" t="s">
        <v>313</v>
      </c>
      <c r="H128" s="75"/>
    </row>
    <row r="129" spans="1:7" x14ac:dyDescent="0.25">
      <c r="A129" s="47" t="s">
        <v>353</v>
      </c>
      <c r="B129" s="18" t="s">
        <v>127</v>
      </c>
      <c r="C129" s="49" t="s">
        <v>268</v>
      </c>
      <c r="D129" s="51"/>
      <c r="E129" s="51"/>
      <c r="F129" s="54"/>
    </row>
    <row r="130" spans="1:7" x14ac:dyDescent="0.25">
      <c r="A130" s="47" t="s">
        <v>354</v>
      </c>
      <c r="B130" s="18" t="s">
        <v>459</v>
      </c>
      <c r="C130" s="49" t="s">
        <v>269</v>
      </c>
      <c r="D130" s="51"/>
      <c r="E130" s="51"/>
      <c r="F130" s="54"/>
    </row>
    <row r="131" spans="1:7" x14ac:dyDescent="0.25">
      <c r="A131" s="34" t="s">
        <v>488</v>
      </c>
      <c r="B131" s="18" t="s">
        <v>489</v>
      </c>
      <c r="C131" s="72" t="s">
        <v>270</v>
      </c>
      <c r="D131" s="73"/>
      <c r="E131" s="73"/>
      <c r="F131" s="74"/>
    </row>
    <row r="132" spans="1:7" x14ac:dyDescent="0.25">
      <c r="A132" s="47" t="s">
        <v>355</v>
      </c>
      <c r="B132" s="18" t="s">
        <v>460</v>
      </c>
      <c r="C132" s="49" t="s">
        <v>269</v>
      </c>
      <c r="D132" s="51"/>
      <c r="E132" s="51"/>
      <c r="F132" s="54"/>
    </row>
    <row r="133" spans="1:7" ht="15.75" thickBot="1" x14ac:dyDescent="0.3">
      <c r="A133" s="34" t="s">
        <v>490</v>
      </c>
      <c r="B133" s="18" t="s">
        <v>196</v>
      </c>
      <c r="C133" s="72" t="s">
        <v>491</v>
      </c>
      <c r="D133" s="51"/>
      <c r="E133" s="51"/>
      <c r="F133" s="54"/>
    </row>
    <row r="134" spans="1:7" ht="15.75" thickBot="1" x14ac:dyDescent="0.3">
      <c r="B134" s="2"/>
      <c r="C134" s="26"/>
      <c r="D134" s="8"/>
      <c r="E134" s="8"/>
      <c r="F134" s="8"/>
    </row>
    <row r="135" spans="1:7" x14ac:dyDescent="0.25">
      <c r="A135" s="6"/>
      <c r="B135" s="7"/>
      <c r="C135" s="8"/>
    </row>
    <row r="136" spans="1:7" x14ac:dyDescent="0.25">
      <c r="A136" s="9" t="s">
        <v>128</v>
      </c>
      <c r="B136" s="30"/>
    </row>
    <row r="137" spans="1:7" ht="33.75" x14ac:dyDescent="0.25">
      <c r="B137" s="2"/>
      <c r="D137" s="15" t="s">
        <v>4</v>
      </c>
      <c r="E137" s="15" t="s">
        <v>5</v>
      </c>
      <c r="F137" s="16" t="s">
        <v>6</v>
      </c>
    </row>
    <row r="138" spans="1:7" x14ac:dyDescent="0.25">
      <c r="A138" s="12" t="s">
        <v>1</v>
      </c>
      <c r="B138" s="13" t="s">
        <v>2</v>
      </c>
      <c r="C138" s="14" t="s">
        <v>3</v>
      </c>
      <c r="D138" s="20"/>
      <c r="E138" s="20"/>
      <c r="F138" s="24"/>
    </row>
    <row r="139" spans="1:7" x14ac:dyDescent="0.25">
      <c r="A139" s="17" t="s">
        <v>433</v>
      </c>
      <c r="B139" s="18" t="s">
        <v>129</v>
      </c>
      <c r="C139" s="21" t="s">
        <v>271</v>
      </c>
      <c r="D139" s="20"/>
      <c r="E139" s="20"/>
      <c r="F139" s="24"/>
    </row>
    <row r="140" spans="1:7" x14ac:dyDescent="0.25">
      <c r="A140" s="17" t="s">
        <v>434</v>
      </c>
      <c r="B140" s="18" t="s">
        <v>432</v>
      </c>
      <c r="C140" s="21" t="s">
        <v>273</v>
      </c>
      <c r="D140" s="20"/>
      <c r="E140" s="20"/>
      <c r="F140" s="24"/>
    </row>
    <row r="141" spans="1:7" x14ac:dyDescent="0.25">
      <c r="A141" s="17" t="s">
        <v>435</v>
      </c>
      <c r="B141" s="18" t="s">
        <v>58</v>
      </c>
      <c r="C141" s="21" t="s">
        <v>272</v>
      </c>
      <c r="D141" s="20">
        <v>0.158</v>
      </c>
      <c r="E141" s="20">
        <v>3.7</v>
      </c>
      <c r="F141" s="24" t="s">
        <v>29</v>
      </c>
    </row>
    <row r="142" spans="1:7" x14ac:dyDescent="0.25">
      <c r="A142" s="17" t="s">
        <v>130</v>
      </c>
      <c r="B142" s="25" t="s">
        <v>40</v>
      </c>
      <c r="C142" s="21" t="s">
        <v>131</v>
      </c>
      <c r="D142" s="20">
        <v>0.14199999999999999</v>
      </c>
      <c r="E142" s="20">
        <v>3.5</v>
      </c>
      <c r="F142" s="24" t="s">
        <v>29</v>
      </c>
    </row>
    <row r="143" spans="1:7" x14ac:dyDescent="0.25">
      <c r="A143" s="17" t="s">
        <v>132</v>
      </c>
      <c r="B143" s="25" t="s">
        <v>43</v>
      </c>
      <c r="C143" s="21" t="s">
        <v>133</v>
      </c>
      <c r="D143" s="20">
        <v>0.34699999999999998</v>
      </c>
      <c r="E143" s="20">
        <v>7.8</v>
      </c>
      <c r="F143" s="21">
        <v>0.6</v>
      </c>
    </row>
    <row r="144" spans="1:7" x14ac:dyDescent="0.25">
      <c r="A144" s="17" t="s">
        <v>134</v>
      </c>
      <c r="B144" s="25" t="s">
        <v>46</v>
      </c>
      <c r="C144" s="21" t="s">
        <v>135</v>
      </c>
      <c r="D144" s="20">
        <v>9.8000000000000004E-2</v>
      </c>
      <c r="E144" s="20">
        <v>3.9</v>
      </c>
      <c r="F144" s="21">
        <v>0.8</v>
      </c>
      <c r="G144" t="s">
        <v>472</v>
      </c>
    </row>
    <row r="145" spans="1:8" x14ac:dyDescent="0.25">
      <c r="A145" s="17" t="s">
        <v>136</v>
      </c>
      <c r="B145" s="25" t="s">
        <v>49</v>
      </c>
      <c r="C145" s="21" t="s">
        <v>137</v>
      </c>
      <c r="D145" s="20">
        <v>0.754</v>
      </c>
      <c r="E145" s="20">
        <v>13.2</v>
      </c>
      <c r="F145" s="21">
        <v>1.4</v>
      </c>
      <c r="G145" t="s">
        <v>472</v>
      </c>
    </row>
    <row r="146" spans="1:8" x14ac:dyDescent="0.25">
      <c r="A146" s="17" t="s">
        <v>138</v>
      </c>
      <c r="B146" s="25" t="s">
        <v>87</v>
      </c>
      <c r="C146" s="21" t="s">
        <v>139</v>
      </c>
      <c r="D146" s="20">
        <v>0.90800000000000003</v>
      </c>
      <c r="E146" s="20"/>
      <c r="F146" s="21">
        <v>1.7</v>
      </c>
      <c r="G146" t="s">
        <v>472</v>
      </c>
    </row>
    <row r="147" spans="1:8" x14ac:dyDescent="0.25">
      <c r="A147" s="17" t="s">
        <v>140</v>
      </c>
      <c r="B147" s="25" t="s">
        <v>90</v>
      </c>
      <c r="C147" s="21" t="s">
        <v>141</v>
      </c>
      <c r="D147" s="20"/>
      <c r="E147" s="20"/>
      <c r="F147" s="21"/>
    </row>
    <row r="148" spans="1:8" x14ac:dyDescent="0.25">
      <c r="A148" s="58" t="s">
        <v>461</v>
      </c>
      <c r="B148" s="39" t="s">
        <v>469</v>
      </c>
      <c r="C148" s="52" t="s">
        <v>71</v>
      </c>
      <c r="D148" s="20"/>
      <c r="E148" s="20"/>
      <c r="F148" s="21"/>
    </row>
    <row r="149" spans="1:8" x14ac:dyDescent="0.25">
      <c r="A149" s="58" t="s">
        <v>463</v>
      </c>
      <c r="B149" s="39" t="s">
        <v>470</v>
      </c>
      <c r="C149" s="52" t="s">
        <v>73</v>
      </c>
      <c r="D149" s="20"/>
      <c r="E149" s="20"/>
      <c r="F149" s="21"/>
    </row>
    <row r="150" spans="1:8" ht="15.75" thickBot="1" x14ac:dyDescent="0.3">
      <c r="A150" s="58" t="s">
        <v>471</v>
      </c>
      <c r="B150" s="39" t="s">
        <v>462</v>
      </c>
      <c r="C150" s="52" t="s">
        <v>105</v>
      </c>
      <c r="D150" s="29"/>
      <c r="E150" s="29"/>
      <c r="F150" s="29"/>
    </row>
    <row r="151" spans="1:8" ht="15.75" thickBot="1" x14ac:dyDescent="0.3">
      <c r="A151" s="27"/>
      <c r="B151" s="28"/>
      <c r="C151" s="29"/>
      <c r="D151" s="8"/>
      <c r="E151" s="8"/>
      <c r="F151" s="8"/>
    </row>
    <row r="152" spans="1:8" x14ac:dyDescent="0.25">
      <c r="A152" s="6"/>
      <c r="B152" s="7"/>
      <c r="C152" s="8"/>
    </row>
    <row r="153" spans="1:8" x14ac:dyDescent="0.25">
      <c r="A153" s="53" t="s">
        <v>142</v>
      </c>
      <c r="B153" s="30"/>
      <c r="D153" s="55"/>
    </row>
    <row r="154" spans="1:8" ht="33.75" x14ac:dyDescent="0.25">
      <c r="B154" s="2"/>
      <c r="C154" s="55"/>
      <c r="D154" s="15" t="s">
        <v>4</v>
      </c>
      <c r="E154" s="15" t="s">
        <v>5</v>
      </c>
      <c r="F154" s="16" t="s">
        <v>6</v>
      </c>
      <c r="G154" t="s">
        <v>313</v>
      </c>
    </row>
    <row r="155" spans="1:8" x14ac:dyDescent="0.25">
      <c r="A155" s="12" t="s">
        <v>1</v>
      </c>
      <c r="B155" s="13" t="s">
        <v>2</v>
      </c>
      <c r="C155" s="14" t="s">
        <v>3</v>
      </c>
      <c r="D155" s="20"/>
      <c r="E155" s="20"/>
      <c r="F155" s="56"/>
    </row>
    <row r="156" spans="1:8" x14ac:dyDescent="0.25">
      <c r="A156" s="17" t="s">
        <v>368</v>
      </c>
      <c r="B156" s="39" t="s">
        <v>77</v>
      </c>
      <c r="C156" s="52" t="s">
        <v>274</v>
      </c>
      <c r="D156" s="20"/>
      <c r="E156" s="20"/>
      <c r="F156" s="56"/>
      <c r="H156" t="s">
        <v>279</v>
      </c>
    </row>
    <row r="157" spans="1:8" x14ac:dyDescent="0.25">
      <c r="A157" s="17" t="s">
        <v>369</v>
      </c>
      <c r="B157" s="39" t="s">
        <v>68</v>
      </c>
      <c r="C157" s="52" t="s">
        <v>275</v>
      </c>
      <c r="D157" s="20"/>
      <c r="E157" s="20"/>
      <c r="F157" s="56"/>
    </row>
    <row r="158" spans="1:8" x14ac:dyDescent="0.25">
      <c r="A158" s="17"/>
      <c r="B158" s="39" t="s">
        <v>143</v>
      </c>
      <c r="C158" s="52" t="s">
        <v>276</v>
      </c>
      <c r="D158" s="20"/>
      <c r="E158" s="20"/>
      <c r="F158" s="56"/>
      <c r="H158" t="s">
        <v>281</v>
      </c>
    </row>
    <row r="159" spans="1:8" x14ac:dyDescent="0.25">
      <c r="A159" s="17" t="s">
        <v>371</v>
      </c>
      <c r="B159" s="39" t="s">
        <v>58</v>
      </c>
      <c r="C159" s="52" t="s">
        <v>277</v>
      </c>
      <c r="D159" s="20"/>
      <c r="E159" s="20"/>
      <c r="F159" s="56"/>
    </row>
    <row r="160" spans="1:8" x14ac:dyDescent="0.25">
      <c r="A160" s="17" t="s">
        <v>372</v>
      </c>
      <c r="B160" s="39" t="s">
        <v>373</v>
      </c>
      <c r="C160" s="52" t="s">
        <v>278</v>
      </c>
      <c r="D160" s="20"/>
      <c r="E160" s="20"/>
      <c r="F160" s="56"/>
      <c r="G160" t="s">
        <v>282</v>
      </c>
    </row>
    <row r="161" spans="1:8" x14ac:dyDescent="0.25">
      <c r="A161" s="17" t="s">
        <v>375</v>
      </c>
      <c r="B161" s="39" t="s">
        <v>374</v>
      </c>
      <c r="C161" s="52" t="s">
        <v>280</v>
      </c>
      <c r="D161" s="20"/>
      <c r="E161" s="20"/>
      <c r="F161" s="24"/>
      <c r="H161" t="s">
        <v>283</v>
      </c>
    </row>
    <row r="162" spans="1:8" x14ac:dyDescent="0.25">
      <c r="A162" s="58" t="s">
        <v>444</v>
      </c>
      <c r="B162" s="39" t="s">
        <v>40</v>
      </c>
      <c r="C162" s="76" t="s">
        <v>41</v>
      </c>
      <c r="D162" s="20"/>
      <c r="E162" s="20"/>
      <c r="F162" s="24"/>
      <c r="H162" t="s">
        <v>283</v>
      </c>
    </row>
    <row r="163" spans="1:8" x14ac:dyDescent="0.25">
      <c r="A163" s="58" t="s">
        <v>445</v>
      </c>
      <c r="B163" s="39" t="s">
        <v>43</v>
      </c>
      <c r="C163" s="76" t="s">
        <v>229</v>
      </c>
      <c r="D163" s="20"/>
      <c r="E163" s="20"/>
      <c r="F163" s="24"/>
    </row>
    <row r="164" spans="1:8" x14ac:dyDescent="0.25">
      <c r="A164" s="17" t="s">
        <v>392</v>
      </c>
      <c r="B164" s="39" t="s">
        <v>398</v>
      </c>
      <c r="C164" s="76" t="s">
        <v>310</v>
      </c>
      <c r="D164" s="20"/>
      <c r="E164" s="20"/>
      <c r="F164" s="57"/>
    </row>
    <row r="165" spans="1:8" x14ac:dyDescent="0.25">
      <c r="A165" s="17" t="s">
        <v>334</v>
      </c>
      <c r="B165" s="25" t="s">
        <v>308</v>
      </c>
      <c r="C165" s="49" t="s">
        <v>252</v>
      </c>
      <c r="D165" s="20"/>
      <c r="E165" s="20"/>
      <c r="F165" s="57"/>
      <c r="G165" t="s">
        <v>473</v>
      </c>
    </row>
    <row r="166" spans="1:8" x14ac:dyDescent="0.25">
      <c r="A166" s="17" t="s">
        <v>335</v>
      </c>
      <c r="B166" s="25" t="s">
        <v>250</v>
      </c>
      <c r="C166" s="49" t="s">
        <v>251</v>
      </c>
      <c r="D166" s="20"/>
      <c r="E166" s="20"/>
      <c r="F166" s="57"/>
    </row>
    <row r="167" spans="1:8" x14ac:dyDescent="0.25">
      <c r="A167" s="17" t="s">
        <v>376</v>
      </c>
      <c r="B167" s="39" t="s">
        <v>126</v>
      </c>
      <c r="C167" s="52" t="s">
        <v>284</v>
      </c>
      <c r="D167" s="20"/>
      <c r="E167" s="20"/>
      <c r="F167" s="56"/>
    </row>
    <row r="168" spans="1:8" x14ac:dyDescent="0.25">
      <c r="A168" s="17" t="s">
        <v>370</v>
      </c>
      <c r="B168" s="39" t="s">
        <v>46</v>
      </c>
      <c r="C168" s="52" t="s">
        <v>285</v>
      </c>
      <c r="D168" s="20"/>
      <c r="E168" s="20"/>
      <c r="F168" s="56"/>
    </row>
    <row r="169" spans="1:8" x14ac:dyDescent="0.25">
      <c r="A169" s="17" t="s">
        <v>367</v>
      </c>
      <c r="B169" s="39" t="s">
        <v>366</v>
      </c>
      <c r="C169" s="52"/>
      <c r="D169" s="20"/>
      <c r="E169" s="20"/>
      <c r="F169" s="56"/>
    </row>
    <row r="170" spans="1:8" x14ac:dyDescent="0.25">
      <c r="A170" s="17" t="s">
        <v>379</v>
      </c>
      <c r="B170" s="39" t="s">
        <v>63</v>
      </c>
      <c r="C170" s="52" t="s">
        <v>286</v>
      </c>
      <c r="D170" s="20"/>
      <c r="E170" s="20"/>
      <c r="F170" s="56"/>
    </row>
    <row r="171" spans="1:8" x14ac:dyDescent="0.25">
      <c r="A171" s="17" t="s">
        <v>363</v>
      </c>
      <c r="B171" s="39" t="s">
        <v>377</v>
      </c>
      <c r="C171" s="52" t="s">
        <v>287</v>
      </c>
      <c r="D171" s="20"/>
      <c r="E171" s="20"/>
      <c r="F171" s="56"/>
    </row>
    <row r="172" spans="1:8" x14ac:dyDescent="0.25">
      <c r="A172" s="17" t="s">
        <v>364</v>
      </c>
      <c r="B172" s="39" t="s">
        <v>378</v>
      </c>
      <c r="C172" s="52" t="s">
        <v>287</v>
      </c>
      <c r="D172" s="20"/>
      <c r="E172" s="20"/>
      <c r="F172" s="56"/>
    </row>
    <row r="173" spans="1:8" ht="15.75" thickBot="1" x14ac:dyDescent="0.3">
      <c r="A173" s="17" t="s">
        <v>365</v>
      </c>
      <c r="B173" s="39" t="s">
        <v>90</v>
      </c>
      <c r="C173" s="52" t="s">
        <v>288</v>
      </c>
      <c r="D173" s="38"/>
      <c r="E173" s="38"/>
      <c r="F173" s="38"/>
    </row>
    <row r="174" spans="1:8" ht="15.75" thickBot="1" x14ac:dyDescent="0.3">
      <c r="A174" s="37"/>
      <c r="B174" s="37"/>
      <c r="C174" s="38"/>
      <c r="D174" s="8"/>
      <c r="E174" s="8"/>
      <c r="F174" s="8"/>
    </row>
    <row r="175" spans="1:8" x14ac:dyDescent="0.25">
      <c r="A175" s="6"/>
      <c r="B175" s="7"/>
      <c r="C175" s="8"/>
    </row>
    <row r="176" spans="1:8" x14ac:dyDescent="0.25">
      <c r="A176" s="9" t="s">
        <v>144</v>
      </c>
      <c r="B176" s="30"/>
    </row>
    <row r="177" spans="1:6" ht="33.75" x14ac:dyDescent="0.25">
      <c r="B177" s="2"/>
      <c r="D177" s="15" t="s">
        <v>4</v>
      </c>
      <c r="E177" s="15" t="s">
        <v>5</v>
      </c>
      <c r="F177" s="16" t="s">
        <v>6</v>
      </c>
    </row>
    <row r="178" spans="1:6" x14ac:dyDescent="0.25">
      <c r="A178" s="12" t="s">
        <v>1</v>
      </c>
      <c r="B178" s="13" t="s">
        <v>2</v>
      </c>
      <c r="C178" s="14" t="s">
        <v>3</v>
      </c>
      <c r="D178" s="20"/>
      <c r="E178" s="20"/>
      <c r="F178" s="21"/>
    </row>
    <row r="179" spans="1:6" x14ac:dyDescent="0.25">
      <c r="A179" s="17" t="s">
        <v>426</v>
      </c>
      <c r="B179" s="18" t="s">
        <v>68</v>
      </c>
      <c r="C179" s="76" t="s">
        <v>289</v>
      </c>
      <c r="D179" s="20"/>
      <c r="E179" s="20"/>
      <c r="F179" s="21"/>
    </row>
    <row r="180" spans="1:6" x14ac:dyDescent="0.25">
      <c r="A180" s="17" t="s">
        <v>427</v>
      </c>
      <c r="B180" s="18" t="s">
        <v>58</v>
      </c>
      <c r="C180" s="76" t="s">
        <v>290</v>
      </c>
      <c r="D180" s="20"/>
      <c r="E180" s="20"/>
      <c r="F180" s="21"/>
    </row>
    <row r="181" spans="1:6" x14ac:dyDescent="0.25">
      <c r="A181" s="17" t="s">
        <v>428</v>
      </c>
      <c r="B181" s="18" t="s">
        <v>429</v>
      </c>
      <c r="C181" s="76" t="s">
        <v>291</v>
      </c>
      <c r="D181" s="20"/>
      <c r="E181" s="20"/>
      <c r="F181" s="21"/>
    </row>
    <row r="182" spans="1:6" x14ac:dyDescent="0.25">
      <c r="A182" s="17" t="s">
        <v>430</v>
      </c>
      <c r="B182" s="18" t="s">
        <v>331</v>
      </c>
      <c r="C182" s="76" t="s">
        <v>292</v>
      </c>
      <c r="D182" s="20"/>
      <c r="E182" s="20"/>
      <c r="F182" s="21"/>
    </row>
    <row r="183" spans="1:6" x14ac:dyDescent="0.25">
      <c r="A183" s="17" t="s">
        <v>431</v>
      </c>
      <c r="B183" s="18" t="s">
        <v>332</v>
      </c>
      <c r="C183" s="76" t="s">
        <v>278</v>
      </c>
      <c r="D183" s="20">
        <v>0.25900000000000001</v>
      </c>
      <c r="E183" s="20">
        <v>11.3</v>
      </c>
      <c r="F183" s="21">
        <v>2.2000000000000002</v>
      </c>
    </row>
    <row r="184" spans="1:6" x14ac:dyDescent="0.25">
      <c r="A184" s="58" t="s">
        <v>145</v>
      </c>
      <c r="B184" s="25" t="s">
        <v>146</v>
      </c>
      <c r="C184" s="19" t="s">
        <v>147</v>
      </c>
      <c r="D184" s="20">
        <v>0.50700000000000001</v>
      </c>
      <c r="E184" s="20">
        <v>19.8</v>
      </c>
      <c r="F184" s="21">
        <v>2.5</v>
      </c>
    </row>
    <row r="185" spans="1:6" x14ac:dyDescent="0.25">
      <c r="A185" s="17" t="s">
        <v>148</v>
      </c>
      <c r="B185" s="25" t="s">
        <v>46</v>
      </c>
      <c r="C185" s="19" t="s">
        <v>149</v>
      </c>
      <c r="D185" s="20">
        <v>0.82799999999999996</v>
      </c>
      <c r="E185" s="20">
        <v>28</v>
      </c>
      <c r="F185" s="21">
        <v>4.8</v>
      </c>
    </row>
    <row r="186" spans="1:6" x14ac:dyDescent="0.25">
      <c r="A186" s="17" t="s">
        <v>150</v>
      </c>
      <c r="B186" s="25" t="s">
        <v>87</v>
      </c>
      <c r="C186" s="19" t="s">
        <v>151</v>
      </c>
      <c r="D186" s="20">
        <v>1.159</v>
      </c>
      <c r="E186" s="20"/>
      <c r="F186" s="21">
        <v>7.1</v>
      </c>
    </row>
    <row r="187" spans="1:6" ht="15.75" thickBot="1" x14ac:dyDescent="0.3">
      <c r="A187" s="17" t="s">
        <v>152</v>
      </c>
      <c r="B187" s="25" t="s">
        <v>90</v>
      </c>
      <c r="C187" s="19" t="s">
        <v>153</v>
      </c>
      <c r="D187" s="60"/>
      <c r="E187" s="60"/>
      <c r="F187" s="46"/>
    </row>
    <row r="188" spans="1:6" ht="15.75" thickBot="1" x14ac:dyDescent="0.3">
      <c r="A188" s="27"/>
      <c r="B188" s="28"/>
      <c r="C188" s="59"/>
      <c r="D188" s="62"/>
      <c r="E188" s="62"/>
      <c r="F188" s="62"/>
    </row>
    <row r="189" spans="1:6" x14ac:dyDescent="0.25">
      <c r="A189" s="61"/>
      <c r="B189" s="61"/>
      <c r="C189" s="62"/>
    </row>
    <row r="190" spans="1:6" x14ac:dyDescent="0.25">
      <c r="A190" s="9" t="s">
        <v>154</v>
      </c>
      <c r="B190" s="30"/>
    </row>
    <row r="191" spans="1:6" ht="33.75" x14ac:dyDescent="0.25">
      <c r="B191" s="2"/>
      <c r="D191" s="15" t="s">
        <v>4</v>
      </c>
      <c r="E191" s="15" t="s">
        <v>5</v>
      </c>
      <c r="F191" s="16" t="s">
        <v>6</v>
      </c>
    </row>
    <row r="192" spans="1:6" x14ac:dyDescent="0.25">
      <c r="A192" s="12" t="s">
        <v>1</v>
      </c>
      <c r="B192" s="13" t="s">
        <v>2</v>
      </c>
      <c r="C192" s="14" t="s">
        <v>3</v>
      </c>
      <c r="D192" s="36"/>
      <c r="E192" s="20"/>
      <c r="F192" s="24"/>
    </row>
    <row r="193" spans="1:14" x14ac:dyDescent="0.25">
      <c r="A193" s="17" t="s">
        <v>424</v>
      </c>
      <c r="B193" s="18" t="s">
        <v>77</v>
      </c>
      <c r="C193" s="76" t="s">
        <v>293</v>
      </c>
      <c r="D193" s="36"/>
      <c r="E193" s="20"/>
      <c r="F193" s="24"/>
    </row>
    <row r="194" spans="1:14" x14ac:dyDescent="0.25">
      <c r="A194" s="17" t="s">
        <v>425</v>
      </c>
      <c r="B194" s="18" t="s">
        <v>410</v>
      </c>
      <c r="C194" s="76" t="s">
        <v>294</v>
      </c>
      <c r="D194" s="36">
        <v>0.25700000000000001</v>
      </c>
      <c r="E194" s="20"/>
      <c r="F194" s="24"/>
      <c r="G194" t="s">
        <v>464</v>
      </c>
    </row>
    <row r="195" spans="1:14" x14ac:dyDescent="0.25">
      <c r="A195" s="17" t="s">
        <v>155</v>
      </c>
      <c r="B195" s="18" t="s">
        <v>156</v>
      </c>
      <c r="C195" s="19" t="s">
        <v>157</v>
      </c>
      <c r="D195" s="36"/>
      <c r="E195" s="20"/>
      <c r="F195" s="24"/>
    </row>
    <row r="196" spans="1:14" x14ac:dyDescent="0.25">
      <c r="A196" s="17" t="s">
        <v>158</v>
      </c>
      <c r="B196" s="18" t="s">
        <v>159</v>
      </c>
      <c r="C196" s="19" t="s">
        <v>160</v>
      </c>
      <c r="D196" s="36"/>
      <c r="E196" s="20"/>
      <c r="F196" s="24"/>
    </row>
    <row r="197" spans="1:14" x14ac:dyDescent="0.25">
      <c r="A197" s="17" t="s">
        <v>422</v>
      </c>
      <c r="B197" s="18" t="s">
        <v>40</v>
      </c>
      <c r="C197" s="76" t="s">
        <v>295</v>
      </c>
      <c r="D197" s="36"/>
      <c r="E197" s="20"/>
      <c r="F197" s="24"/>
    </row>
    <row r="198" spans="1:14" x14ac:dyDescent="0.25">
      <c r="A198" s="17" t="s">
        <v>423</v>
      </c>
      <c r="B198" s="18" t="s">
        <v>43</v>
      </c>
      <c r="C198" s="76" t="s">
        <v>242</v>
      </c>
      <c r="D198" s="36">
        <v>0.48</v>
      </c>
      <c r="E198" s="20"/>
      <c r="F198" s="24"/>
    </row>
    <row r="199" spans="1:14" x14ac:dyDescent="0.25">
      <c r="A199" s="17" t="s">
        <v>161</v>
      </c>
      <c r="B199" s="18" t="s">
        <v>162</v>
      </c>
      <c r="C199" s="19" t="s">
        <v>71</v>
      </c>
      <c r="D199" s="36">
        <v>0.75</v>
      </c>
      <c r="E199" s="20"/>
      <c r="F199" s="24"/>
    </row>
    <row r="200" spans="1:14" x14ac:dyDescent="0.25">
      <c r="A200" s="17" t="s">
        <v>163</v>
      </c>
      <c r="B200" s="18" t="s">
        <v>164</v>
      </c>
      <c r="C200" s="19" t="s">
        <v>73</v>
      </c>
      <c r="D200" s="36">
        <v>0.25700000000000001</v>
      </c>
      <c r="E200" s="20"/>
      <c r="F200" s="24"/>
    </row>
    <row r="201" spans="1:14" x14ac:dyDescent="0.25">
      <c r="A201" s="17" t="s">
        <v>165</v>
      </c>
      <c r="B201" s="18" t="s">
        <v>166</v>
      </c>
      <c r="C201" s="19" t="s">
        <v>157</v>
      </c>
      <c r="D201" s="36"/>
      <c r="E201" s="20"/>
      <c r="F201" s="24"/>
    </row>
    <row r="202" spans="1:14" x14ac:dyDescent="0.25">
      <c r="A202" s="17" t="s">
        <v>167</v>
      </c>
      <c r="B202" s="18" t="s">
        <v>168</v>
      </c>
      <c r="C202" s="19" t="s">
        <v>160</v>
      </c>
      <c r="D202" s="36">
        <v>0.48</v>
      </c>
      <c r="E202" s="20"/>
      <c r="F202" s="24"/>
    </row>
    <row r="203" spans="1:14" x14ac:dyDescent="0.25">
      <c r="A203" s="17" t="s">
        <v>169</v>
      </c>
      <c r="B203" s="18" t="s">
        <v>170</v>
      </c>
      <c r="C203" s="19" t="s">
        <v>71</v>
      </c>
      <c r="D203" s="36">
        <v>0.75</v>
      </c>
      <c r="E203" s="20"/>
      <c r="F203" s="24"/>
      <c r="H203" t="s">
        <v>283</v>
      </c>
    </row>
    <row r="204" spans="1:14" x14ac:dyDescent="0.25">
      <c r="A204" s="17" t="s">
        <v>171</v>
      </c>
      <c r="B204" s="18" t="s">
        <v>172</v>
      </c>
      <c r="C204" s="19" t="s">
        <v>73</v>
      </c>
      <c r="D204" s="36"/>
      <c r="E204" s="20"/>
      <c r="F204" s="24"/>
      <c r="H204" t="s">
        <v>283</v>
      </c>
    </row>
    <row r="205" spans="1:14" x14ac:dyDescent="0.25">
      <c r="A205" s="17" t="s">
        <v>420</v>
      </c>
      <c r="B205" s="18" t="s">
        <v>46</v>
      </c>
      <c r="C205" s="76" t="s">
        <v>296</v>
      </c>
      <c r="D205" s="36"/>
      <c r="E205" s="20"/>
      <c r="F205" s="24"/>
      <c r="H205" t="s">
        <v>382</v>
      </c>
      <c r="I205" s="17"/>
      <c r="J205" s="48" t="s">
        <v>90</v>
      </c>
      <c r="K205" s="19"/>
      <c r="L205" s="36"/>
      <c r="M205" s="20"/>
      <c r="N205" s="24"/>
    </row>
    <row r="206" spans="1:14" x14ac:dyDescent="0.25">
      <c r="A206" s="17" t="s">
        <v>421</v>
      </c>
      <c r="B206" s="18" t="s">
        <v>87</v>
      </c>
      <c r="C206" s="76" t="s">
        <v>297</v>
      </c>
      <c r="D206" s="20"/>
      <c r="E206" s="20"/>
      <c r="F206" s="57"/>
    </row>
    <row r="207" spans="1:14" x14ac:dyDescent="0.25">
      <c r="A207" s="17" t="s">
        <v>334</v>
      </c>
      <c r="B207" s="25" t="s">
        <v>308</v>
      </c>
      <c r="C207" s="49" t="s">
        <v>252</v>
      </c>
      <c r="D207" s="20"/>
      <c r="E207" s="20"/>
      <c r="F207" s="57"/>
    </row>
    <row r="208" spans="1:14" x14ac:dyDescent="0.25">
      <c r="A208" s="17" t="s">
        <v>335</v>
      </c>
      <c r="B208" s="25" t="s">
        <v>250</v>
      </c>
      <c r="C208" s="49" t="s">
        <v>251</v>
      </c>
    </row>
    <row r="209" spans="1:14" ht="15.75" thickBot="1" x14ac:dyDescent="0.3">
      <c r="D209" s="64"/>
      <c r="E209" s="64"/>
      <c r="F209" s="65"/>
    </row>
    <row r="210" spans="1:14" ht="15.75" thickBot="1" x14ac:dyDescent="0.3">
      <c r="A210" s="11"/>
      <c r="B210" s="43"/>
      <c r="C210" s="63"/>
      <c r="D210" s="62"/>
      <c r="E210" s="62"/>
      <c r="F210" s="62"/>
    </row>
    <row r="211" spans="1:14" x14ac:dyDescent="0.25">
      <c r="A211" s="61"/>
      <c r="B211" s="61"/>
      <c r="C211" s="62"/>
    </row>
    <row r="212" spans="1:14" x14ac:dyDescent="0.25">
      <c r="A212" s="53" t="s">
        <v>173</v>
      </c>
      <c r="B212" s="30"/>
    </row>
    <row r="213" spans="1:14" ht="33.75" x14ac:dyDescent="0.25">
      <c r="B213" s="2"/>
      <c r="D213" s="15" t="s">
        <v>4</v>
      </c>
      <c r="E213" s="15" t="s">
        <v>5</v>
      </c>
      <c r="F213" s="16" t="s">
        <v>6</v>
      </c>
      <c r="H213" t="s">
        <v>382</v>
      </c>
      <c r="I213" s="34" t="s">
        <v>178</v>
      </c>
      <c r="J213" s="68" t="s">
        <v>179</v>
      </c>
      <c r="K213" s="76" t="s">
        <v>298</v>
      </c>
      <c r="L213" s="22">
        <v>0.57494000000000001</v>
      </c>
      <c r="M213" s="67">
        <v>14.1</v>
      </c>
      <c r="N213" s="24">
        <v>1.9</v>
      </c>
    </row>
    <row r="214" spans="1:14" x14ac:dyDescent="0.25">
      <c r="A214" s="12" t="s">
        <v>1</v>
      </c>
      <c r="B214" s="13" t="s">
        <v>2</v>
      </c>
      <c r="C214" s="14" t="s">
        <v>3</v>
      </c>
      <c r="D214" s="22">
        <v>0.34</v>
      </c>
      <c r="E214" s="67"/>
      <c r="F214" s="24" t="s">
        <v>29</v>
      </c>
      <c r="H214" t="s">
        <v>382</v>
      </c>
      <c r="I214" s="34" t="s">
        <v>180</v>
      </c>
      <c r="J214" s="68" t="s">
        <v>181</v>
      </c>
      <c r="K214" s="76" t="s">
        <v>298</v>
      </c>
      <c r="L214" s="22">
        <v>0.57494000000000001</v>
      </c>
      <c r="M214" s="67">
        <v>14.1</v>
      </c>
      <c r="N214" s="24">
        <v>1.9</v>
      </c>
    </row>
    <row r="215" spans="1:14" x14ac:dyDescent="0.25">
      <c r="A215" s="34" t="s">
        <v>174</v>
      </c>
      <c r="B215" s="66" t="s">
        <v>40</v>
      </c>
      <c r="C215" s="19" t="s">
        <v>175</v>
      </c>
      <c r="D215" s="22">
        <v>0.1125</v>
      </c>
      <c r="E215" s="67">
        <v>2.9950000000000001</v>
      </c>
      <c r="F215" s="24" t="s">
        <v>29</v>
      </c>
    </row>
    <row r="216" spans="1:14" x14ac:dyDescent="0.25">
      <c r="A216" s="34" t="s">
        <v>176</v>
      </c>
      <c r="B216" s="66" t="s">
        <v>43</v>
      </c>
      <c r="C216" s="19" t="s">
        <v>177</v>
      </c>
      <c r="H216" t="s">
        <v>382</v>
      </c>
      <c r="I216" s="34" t="s">
        <v>185</v>
      </c>
      <c r="J216" s="68" t="s">
        <v>186</v>
      </c>
      <c r="K216" s="49" t="s">
        <v>187</v>
      </c>
      <c r="L216" s="22">
        <v>0.36720000000000003</v>
      </c>
      <c r="M216" s="67">
        <v>8.9</v>
      </c>
      <c r="N216" s="54">
        <v>1.9</v>
      </c>
    </row>
    <row r="217" spans="1:14" x14ac:dyDescent="0.25">
      <c r="H217" t="s">
        <v>382</v>
      </c>
      <c r="I217" s="34" t="s">
        <v>188</v>
      </c>
      <c r="J217" s="66" t="s">
        <v>49</v>
      </c>
      <c r="K217" s="49" t="s">
        <v>189</v>
      </c>
      <c r="L217" s="22">
        <v>0.42</v>
      </c>
      <c r="M217" s="67"/>
      <c r="N217" s="54">
        <v>2</v>
      </c>
    </row>
    <row r="218" spans="1:14" x14ac:dyDescent="0.25">
      <c r="D218" s="22">
        <v>0.77786999999999995</v>
      </c>
      <c r="E218" s="67">
        <v>16.100000000000001</v>
      </c>
      <c r="F218" s="54">
        <v>2.1</v>
      </c>
      <c r="H218" t="s">
        <v>382</v>
      </c>
      <c r="I218" s="34" t="s">
        <v>190</v>
      </c>
      <c r="J218" s="68" t="s">
        <v>191</v>
      </c>
      <c r="K218" s="49" t="s">
        <v>192</v>
      </c>
      <c r="L218" s="22">
        <v>0.93840000000000001</v>
      </c>
      <c r="M218" s="67">
        <v>20.350000000000001</v>
      </c>
      <c r="N218" s="54">
        <v>4.2</v>
      </c>
    </row>
    <row r="219" spans="1:14" x14ac:dyDescent="0.25">
      <c r="A219" s="34" t="s">
        <v>182</v>
      </c>
      <c r="B219" s="68" t="s">
        <v>183</v>
      </c>
      <c r="C219" s="49" t="s">
        <v>184</v>
      </c>
      <c r="H219" t="s">
        <v>382</v>
      </c>
      <c r="I219" s="34" t="s">
        <v>193</v>
      </c>
      <c r="J219" s="68" t="s">
        <v>194</v>
      </c>
      <c r="K219" s="49" t="s">
        <v>192</v>
      </c>
      <c r="L219" s="22">
        <v>0.93840000000000001</v>
      </c>
      <c r="M219" s="67">
        <v>20.350000000000001</v>
      </c>
      <c r="N219" s="54">
        <v>4.2</v>
      </c>
    </row>
    <row r="223" spans="1:14" x14ac:dyDescent="0.25">
      <c r="D223" s="22"/>
      <c r="E223" s="67"/>
      <c r="F223" s="54"/>
    </row>
    <row r="224" spans="1:14" ht="15.75" thickBot="1" x14ac:dyDescent="0.3">
      <c r="A224" s="34" t="s">
        <v>380</v>
      </c>
      <c r="B224" s="68" t="s">
        <v>87</v>
      </c>
      <c r="C224" s="72" t="s">
        <v>299</v>
      </c>
      <c r="D224" s="22"/>
      <c r="E224" s="67"/>
      <c r="F224" s="54"/>
    </row>
    <row r="225" spans="1:6" ht="15.75" thickBot="1" x14ac:dyDescent="0.3">
      <c r="A225" s="34" t="s">
        <v>381</v>
      </c>
      <c r="B225" s="68" t="s">
        <v>90</v>
      </c>
      <c r="C225" s="72" t="s">
        <v>300</v>
      </c>
      <c r="D225" s="8"/>
      <c r="E225" s="8"/>
      <c r="F225" s="8"/>
    </row>
    <row r="226" spans="1:6" x14ac:dyDescent="0.25">
      <c r="A226" s="6"/>
      <c r="B226" s="7"/>
      <c r="C226" s="8"/>
    </row>
    <row r="227" spans="1:6" x14ac:dyDescent="0.25">
      <c r="A227" s="53" t="s">
        <v>195</v>
      </c>
      <c r="B227" s="30"/>
    </row>
    <row r="228" spans="1:6" ht="33.75" x14ac:dyDescent="0.25">
      <c r="B228" s="2"/>
      <c r="D228" s="15" t="s">
        <v>4</v>
      </c>
      <c r="E228" s="15" t="s">
        <v>5</v>
      </c>
      <c r="F228" s="16" t="s">
        <v>6</v>
      </c>
    </row>
    <row r="229" spans="1:6" x14ac:dyDescent="0.25">
      <c r="A229" s="12" t="s">
        <v>1</v>
      </c>
      <c r="B229" s="13" t="s">
        <v>2</v>
      </c>
      <c r="C229" s="14" t="s">
        <v>3</v>
      </c>
      <c r="D229" s="20"/>
      <c r="E229" s="20"/>
      <c r="F229" s="24"/>
    </row>
    <row r="230" spans="1:6" x14ac:dyDescent="0.25">
      <c r="A230" s="17" t="s">
        <v>384</v>
      </c>
      <c r="B230" s="39" t="s">
        <v>77</v>
      </c>
      <c r="C230" s="76" t="s">
        <v>301</v>
      </c>
      <c r="D230" s="20"/>
      <c r="E230" s="20"/>
      <c r="F230" s="24"/>
    </row>
    <row r="231" spans="1:6" x14ac:dyDescent="0.25">
      <c r="A231" s="17" t="s">
        <v>383</v>
      </c>
      <c r="B231" s="39" t="s">
        <v>68</v>
      </c>
      <c r="C231" s="76" t="s">
        <v>302</v>
      </c>
      <c r="D231" s="20"/>
      <c r="E231" s="20"/>
      <c r="F231" s="24"/>
    </row>
    <row r="232" spans="1:6" x14ac:dyDescent="0.25">
      <c r="A232" s="17" t="s">
        <v>385</v>
      </c>
      <c r="B232" s="39" t="s">
        <v>58</v>
      </c>
      <c r="C232" s="76" t="s">
        <v>303</v>
      </c>
      <c r="D232" s="20"/>
      <c r="E232" s="20"/>
      <c r="F232" s="24"/>
    </row>
    <row r="233" spans="1:6" x14ac:dyDescent="0.25">
      <c r="A233" s="17" t="s">
        <v>386</v>
      </c>
      <c r="B233" s="39" t="s">
        <v>59</v>
      </c>
      <c r="C233" s="76" t="s">
        <v>71</v>
      </c>
      <c r="D233" s="20"/>
      <c r="E233" s="20"/>
      <c r="F233" s="24"/>
    </row>
    <row r="234" spans="1:6" x14ac:dyDescent="0.25">
      <c r="A234" s="17" t="s">
        <v>387</v>
      </c>
      <c r="B234" s="39" t="s">
        <v>60</v>
      </c>
      <c r="C234" s="76" t="s">
        <v>73</v>
      </c>
      <c r="D234" s="20"/>
      <c r="E234" s="20"/>
      <c r="F234" s="24"/>
    </row>
    <row r="235" spans="1:6" x14ac:dyDescent="0.25">
      <c r="A235" s="58" t="s">
        <v>444</v>
      </c>
      <c r="B235" s="39" t="s">
        <v>40</v>
      </c>
      <c r="C235" s="76" t="s">
        <v>41</v>
      </c>
      <c r="D235" s="20"/>
      <c r="E235" s="20"/>
      <c r="F235" s="24"/>
    </row>
    <row r="236" spans="1:6" x14ac:dyDescent="0.25">
      <c r="A236" s="58" t="s">
        <v>445</v>
      </c>
      <c r="B236" s="39" t="s">
        <v>43</v>
      </c>
      <c r="C236" s="76" t="s">
        <v>229</v>
      </c>
      <c r="D236" s="20"/>
      <c r="E236" s="20"/>
      <c r="F236" s="24"/>
    </row>
    <row r="237" spans="1:6" ht="15.75" thickBot="1" x14ac:dyDescent="0.3">
      <c r="A237" s="17" t="s">
        <v>388</v>
      </c>
      <c r="B237" s="39" t="s">
        <v>196</v>
      </c>
      <c r="C237" s="76" t="s">
        <v>304</v>
      </c>
      <c r="D237" s="26"/>
      <c r="E237" s="26"/>
      <c r="F237" s="26"/>
    </row>
    <row r="238" spans="1:6" ht="15.75" thickBot="1" x14ac:dyDescent="0.3">
      <c r="B238" s="2"/>
      <c r="C238" s="26"/>
      <c r="D238" s="8"/>
      <c r="E238" s="8"/>
      <c r="F238" s="8"/>
    </row>
    <row r="239" spans="1:6" x14ac:dyDescent="0.25">
      <c r="A239" s="6"/>
      <c r="B239" s="7"/>
      <c r="C239" s="8"/>
    </row>
    <row r="240" spans="1:6" x14ac:dyDescent="0.25">
      <c r="A240" s="53" t="s">
        <v>197</v>
      </c>
      <c r="B240" s="30"/>
    </row>
    <row r="241" spans="1:8" ht="33.75" x14ac:dyDescent="0.25">
      <c r="B241" s="2"/>
      <c r="D241" s="15" t="s">
        <v>4</v>
      </c>
      <c r="E241" s="15" t="s">
        <v>5</v>
      </c>
      <c r="F241" s="16" t="s">
        <v>6</v>
      </c>
    </row>
    <row r="242" spans="1:8" x14ac:dyDescent="0.25">
      <c r="A242" s="12" t="s">
        <v>1</v>
      </c>
      <c r="B242" s="13" t="s">
        <v>2</v>
      </c>
      <c r="C242" s="14" t="s">
        <v>3</v>
      </c>
      <c r="D242" s="20"/>
      <c r="E242" s="20"/>
      <c r="F242" s="24"/>
      <c r="H242" t="s">
        <v>283</v>
      </c>
    </row>
    <row r="243" spans="1:8" x14ac:dyDescent="0.25">
      <c r="A243" s="17" t="s">
        <v>390</v>
      </c>
      <c r="B243" s="39" t="s">
        <v>198</v>
      </c>
      <c r="C243" s="76" t="s">
        <v>305</v>
      </c>
      <c r="D243" s="20"/>
      <c r="E243" s="20"/>
      <c r="F243" s="24"/>
      <c r="H243" t="s">
        <v>283</v>
      </c>
    </row>
    <row r="244" spans="1:8" x14ac:dyDescent="0.25">
      <c r="A244" s="17" t="s">
        <v>389</v>
      </c>
      <c r="B244" s="39" t="s">
        <v>199</v>
      </c>
      <c r="C244" s="76" t="s">
        <v>306</v>
      </c>
      <c r="D244" s="20"/>
      <c r="E244" s="20"/>
      <c r="F244" s="24"/>
    </row>
    <row r="245" spans="1:8" x14ac:dyDescent="0.25">
      <c r="A245" s="17" t="s">
        <v>391</v>
      </c>
      <c r="B245" s="39" t="s">
        <v>400</v>
      </c>
      <c r="C245" s="76" t="s">
        <v>307</v>
      </c>
      <c r="D245" s="20"/>
      <c r="E245" s="20"/>
      <c r="F245" s="24"/>
    </row>
    <row r="246" spans="1:8" x14ac:dyDescent="0.25">
      <c r="A246" s="17" t="s">
        <v>334</v>
      </c>
      <c r="B246" s="25" t="s">
        <v>308</v>
      </c>
      <c r="C246" s="49" t="s">
        <v>252</v>
      </c>
      <c r="D246" s="20"/>
      <c r="E246" s="20"/>
      <c r="F246" s="24"/>
      <c r="G246" t="s">
        <v>401</v>
      </c>
    </row>
    <row r="247" spans="1:8" x14ac:dyDescent="0.25">
      <c r="A247" s="17" t="s">
        <v>335</v>
      </c>
      <c r="B247" s="39" t="s">
        <v>309</v>
      </c>
      <c r="C247" s="49" t="s">
        <v>251</v>
      </c>
      <c r="D247" s="20"/>
      <c r="E247" s="20"/>
      <c r="F247" s="24"/>
    </row>
    <row r="248" spans="1:8" x14ac:dyDescent="0.25">
      <c r="A248" s="17" t="s">
        <v>392</v>
      </c>
      <c r="B248" s="39" t="s">
        <v>398</v>
      </c>
      <c r="C248" s="76" t="s">
        <v>310</v>
      </c>
      <c r="D248" s="20"/>
      <c r="E248" s="20"/>
      <c r="F248" s="24"/>
    </row>
    <row r="249" spans="1:8" x14ac:dyDescent="0.25">
      <c r="A249" s="17" t="s">
        <v>396</v>
      </c>
      <c r="B249" s="39" t="s">
        <v>397</v>
      </c>
      <c r="C249" s="76" t="s">
        <v>311</v>
      </c>
      <c r="D249" s="20"/>
      <c r="E249" s="20"/>
      <c r="F249" s="24"/>
    </row>
    <row r="250" spans="1:8" x14ac:dyDescent="0.25">
      <c r="A250" s="17" t="s">
        <v>399</v>
      </c>
      <c r="B250" s="39" t="s">
        <v>400</v>
      </c>
      <c r="C250" s="76" t="s">
        <v>312</v>
      </c>
      <c r="D250" s="20"/>
      <c r="E250" s="20"/>
      <c r="F250" s="24"/>
    </row>
    <row r="251" spans="1:8" x14ac:dyDescent="0.25">
      <c r="A251" s="17" t="s">
        <v>393</v>
      </c>
      <c r="B251" s="39" t="s">
        <v>46</v>
      </c>
      <c r="C251" s="76" t="s">
        <v>314</v>
      </c>
      <c r="D251" s="20"/>
      <c r="E251" s="20"/>
      <c r="F251" s="24"/>
    </row>
    <row r="252" spans="1:8" x14ac:dyDescent="0.25">
      <c r="A252" s="17" t="s">
        <v>394</v>
      </c>
      <c r="B252" s="39" t="s">
        <v>87</v>
      </c>
      <c r="C252" s="76" t="s">
        <v>316</v>
      </c>
      <c r="D252" s="20"/>
      <c r="E252" s="20"/>
      <c r="F252" s="24"/>
    </row>
    <row r="253" spans="1:8" ht="15.75" thickBot="1" x14ac:dyDescent="0.3">
      <c r="A253" s="17" t="s">
        <v>395</v>
      </c>
      <c r="B253" s="39" t="s">
        <v>90</v>
      </c>
      <c r="C253" s="76" t="s">
        <v>315</v>
      </c>
      <c r="D253" s="33"/>
      <c r="E253" s="33"/>
      <c r="F253" s="71"/>
    </row>
    <row r="254" spans="1:8" ht="15.75" thickBot="1" x14ac:dyDescent="0.3">
      <c r="A254" s="3"/>
      <c r="B254" s="69"/>
      <c r="C254" s="70"/>
      <c r="D254" s="62"/>
      <c r="E254" s="62"/>
      <c r="F254" s="62"/>
    </row>
    <row r="255" spans="1:8" x14ac:dyDescent="0.25">
      <c r="A255" s="61"/>
      <c r="B255" s="61"/>
      <c r="C255" s="62"/>
      <c r="H255" t="s">
        <v>465</v>
      </c>
    </row>
    <row r="256" spans="1:8" x14ac:dyDescent="0.25">
      <c r="A256" s="241" t="s">
        <v>200</v>
      </c>
      <c r="B256" s="241"/>
      <c r="H256" t="s">
        <v>465</v>
      </c>
    </row>
    <row r="257" spans="1:6" ht="33.75" x14ac:dyDescent="0.25">
      <c r="B257" s="2"/>
      <c r="D257" s="15" t="s">
        <v>4</v>
      </c>
      <c r="E257" s="15" t="s">
        <v>5</v>
      </c>
      <c r="F257" s="16" t="s">
        <v>6</v>
      </c>
    </row>
    <row r="258" spans="1:6" x14ac:dyDescent="0.25">
      <c r="A258" s="12" t="s">
        <v>1</v>
      </c>
      <c r="B258" s="13" t="s">
        <v>2</v>
      </c>
      <c r="C258" s="14" t="s">
        <v>3</v>
      </c>
      <c r="D258" s="22">
        <v>3.7524000000000002E-2</v>
      </c>
      <c r="E258" s="67">
        <v>2.23</v>
      </c>
      <c r="F258" s="24">
        <v>2.4</v>
      </c>
    </row>
    <row r="259" spans="1:6" x14ac:dyDescent="0.25">
      <c r="A259" s="34" t="s">
        <v>22</v>
      </c>
      <c r="B259" s="18" t="s">
        <v>330</v>
      </c>
      <c r="C259" s="21" t="s">
        <v>23</v>
      </c>
      <c r="D259" s="22">
        <v>0.297375</v>
      </c>
      <c r="E259" s="67">
        <v>14.3</v>
      </c>
      <c r="F259" s="24" t="s">
        <v>29</v>
      </c>
    </row>
    <row r="260" spans="1:6" x14ac:dyDescent="0.25">
      <c r="A260" s="34" t="s">
        <v>201</v>
      </c>
      <c r="B260" s="18" t="s">
        <v>58</v>
      </c>
      <c r="C260" s="21" t="s">
        <v>202</v>
      </c>
      <c r="D260" s="36">
        <v>0.58429200000000003</v>
      </c>
      <c r="E260" s="67">
        <v>12.435</v>
      </c>
      <c r="F260" s="24">
        <v>1.9</v>
      </c>
    </row>
    <row r="261" spans="1:6" x14ac:dyDescent="0.25">
      <c r="A261" s="34" t="s">
        <v>203</v>
      </c>
      <c r="B261" s="35" t="s">
        <v>46</v>
      </c>
      <c r="C261" s="76" t="s">
        <v>317</v>
      </c>
      <c r="D261" s="36">
        <v>1.0278400000000001</v>
      </c>
      <c r="E261" s="67">
        <v>23.7</v>
      </c>
      <c r="F261" s="24">
        <v>3.7</v>
      </c>
    </row>
    <row r="262" spans="1:6" x14ac:dyDescent="0.25">
      <c r="A262" s="34" t="s">
        <v>204</v>
      </c>
      <c r="B262" s="35" t="s">
        <v>205</v>
      </c>
      <c r="C262" s="76" t="s">
        <v>318</v>
      </c>
      <c r="D262" s="36">
        <f>0.73*2.25*0.8</f>
        <v>1.3140000000000001</v>
      </c>
      <c r="E262" s="67"/>
      <c r="F262" s="24">
        <v>5</v>
      </c>
    </row>
    <row r="263" spans="1:6" x14ac:dyDescent="0.25">
      <c r="A263" s="34" t="s">
        <v>206</v>
      </c>
      <c r="B263" s="35" t="s">
        <v>207</v>
      </c>
      <c r="C263" s="76" t="s">
        <v>319</v>
      </c>
      <c r="D263" s="36">
        <v>0.312</v>
      </c>
      <c r="E263" s="67">
        <v>4.6449999999999996</v>
      </c>
      <c r="F263" s="24" t="s">
        <v>29</v>
      </c>
    </row>
    <row r="264" spans="1:6" x14ac:dyDescent="0.25">
      <c r="A264" s="34" t="s">
        <v>208</v>
      </c>
      <c r="B264" s="35" t="s">
        <v>40</v>
      </c>
      <c r="C264" s="19" t="s">
        <v>209</v>
      </c>
      <c r="D264" s="36">
        <v>0.45390000000000003</v>
      </c>
      <c r="E264" s="67">
        <v>6.0949999999999998</v>
      </c>
      <c r="F264" s="24" t="s">
        <v>29</v>
      </c>
    </row>
    <row r="265" spans="1:6" x14ac:dyDescent="0.25">
      <c r="A265" s="34" t="s">
        <v>210</v>
      </c>
      <c r="B265" s="35" t="s">
        <v>43</v>
      </c>
      <c r="C265" s="19" t="s">
        <v>211</v>
      </c>
      <c r="D265" s="20"/>
      <c r="E265" s="20"/>
      <c r="F265" s="24">
        <v>4.7</v>
      </c>
    </row>
    <row r="266" spans="1:6" x14ac:dyDescent="0.25">
      <c r="A266" s="34" t="s">
        <v>212</v>
      </c>
      <c r="B266" s="25" t="s">
        <v>213</v>
      </c>
      <c r="C266" s="76" t="s">
        <v>320</v>
      </c>
      <c r="D266" s="20"/>
      <c r="E266" s="20"/>
      <c r="F266" s="24">
        <v>1.8</v>
      </c>
    </row>
    <row r="267" spans="1:6" x14ac:dyDescent="0.25">
      <c r="A267" s="34"/>
      <c r="B267" s="25" t="s">
        <v>214</v>
      </c>
      <c r="C267" s="19"/>
      <c r="D267" s="20"/>
      <c r="E267" s="20"/>
      <c r="F267" s="24">
        <v>1</v>
      </c>
    </row>
    <row r="268" spans="1:6" x14ac:dyDescent="0.25">
      <c r="A268" s="34"/>
      <c r="B268" s="25" t="s">
        <v>215</v>
      </c>
      <c r="C268" s="19"/>
      <c r="D268" s="20"/>
      <c r="E268" s="20"/>
      <c r="F268" s="24" t="s">
        <v>29</v>
      </c>
    </row>
    <row r="269" spans="1:6" ht="15.75" thickBot="1" x14ac:dyDescent="0.3">
      <c r="A269" s="34" t="s">
        <v>216</v>
      </c>
      <c r="B269" s="25" t="s">
        <v>49</v>
      </c>
      <c r="C269" s="19" t="s">
        <v>217</v>
      </c>
      <c r="D269" s="29"/>
      <c r="E269" s="29"/>
      <c r="F269" s="29"/>
    </row>
    <row r="270" spans="1:6" ht="15.75" thickBot="1" x14ac:dyDescent="0.3">
      <c r="A270" s="27"/>
      <c r="B270" s="28"/>
      <c r="C270" s="29"/>
      <c r="D270" s="62"/>
      <c r="E270" s="62"/>
      <c r="F270" s="62"/>
    </row>
    <row r="271" spans="1:6" x14ac:dyDescent="0.25">
      <c r="A271" s="61"/>
      <c r="B271" s="61"/>
      <c r="C271" s="62"/>
    </row>
    <row r="272" spans="1:6" x14ac:dyDescent="0.25">
      <c r="A272" s="242" t="s">
        <v>218</v>
      </c>
      <c r="B272" s="241"/>
    </row>
    <row r="273" spans="1:14" ht="33.75" x14ac:dyDescent="0.25">
      <c r="B273" s="2"/>
      <c r="D273" s="15" t="s">
        <v>4</v>
      </c>
      <c r="E273" s="15" t="s">
        <v>5</v>
      </c>
      <c r="F273" s="16" t="s">
        <v>6</v>
      </c>
    </row>
    <row r="274" spans="1:14" x14ac:dyDescent="0.25">
      <c r="A274" s="12" t="s">
        <v>1</v>
      </c>
      <c r="B274" s="13" t="s">
        <v>2</v>
      </c>
      <c r="C274" s="14" t="s">
        <v>3</v>
      </c>
      <c r="D274" s="20"/>
      <c r="E274" s="20"/>
      <c r="F274" s="21"/>
      <c r="H274" t="s">
        <v>405</v>
      </c>
    </row>
    <row r="275" spans="1:14" x14ac:dyDescent="0.25">
      <c r="A275" s="17" t="s">
        <v>402</v>
      </c>
      <c r="B275" s="39" t="s">
        <v>77</v>
      </c>
      <c r="C275" s="72" t="s">
        <v>257</v>
      </c>
      <c r="D275" s="20"/>
      <c r="E275" s="20"/>
      <c r="F275" s="24"/>
      <c r="H275" t="s">
        <v>382</v>
      </c>
      <c r="I275" s="17"/>
      <c r="J275" s="39" t="s">
        <v>221</v>
      </c>
      <c r="K275" s="21" t="s">
        <v>222</v>
      </c>
      <c r="L275" s="20">
        <v>1.008</v>
      </c>
      <c r="M275" s="20"/>
      <c r="N275" s="24" t="s">
        <v>29</v>
      </c>
    </row>
    <row r="276" spans="1:14" x14ac:dyDescent="0.25">
      <c r="A276" s="17" t="s">
        <v>403</v>
      </c>
      <c r="B276" s="39" t="s">
        <v>198</v>
      </c>
      <c r="C276" s="72" t="s">
        <v>321</v>
      </c>
      <c r="D276" s="20"/>
      <c r="E276" s="20"/>
      <c r="F276" s="24"/>
    </row>
    <row r="277" spans="1:14" x14ac:dyDescent="0.25">
      <c r="A277" s="17" t="s">
        <v>404</v>
      </c>
      <c r="B277" s="39" t="s">
        <v>219</v>
      </c>
      <c r="C277" s="72" t="s">
        <v>322</v>
      </c>
      <c r="D277" s="20">
        <v>0.45369999999999999</v>
      </c>
      <c r="E277" s="20"/>
      <c r="F277" s="24" t="s">
        <v>29</v>
      </c>
      <c r="H277" t="s">
        <v>408</v>
      </c>
    </row>
    <row r="278" spans="1:14" x14ac:dyDescent="0.25">
      <c r="A278" s="17" t="s">
        <v>406</v>
      </c>
      <c r="B278" s="39" t="s">
        <v>468</v>
      </c>
      <c r="C278" s="21" t="s">
        <v>220</v>
      </c>
      <c r="H278" t="s">
        <v>408</v>
      </c>
    </row>
    <row r="279" spans="1:14" x14ac:dyDescent="0.25">
      <c r="D279" s="20"/>
      <c r="E279" s="20"/>
      <c r="F279" s="21"/>
    </row>
    <row r="280" spans="1:14" x14ac:dyDescent="0.25">
      <c r="A280" s="17" t="s">
        <v>411</v>
      </c>
      <c r="B280" s="39" t="s">
        <v>410</v>
      </c>
      <c r="C280" s="72" t="s">
        <v>323</v>
      </c>
      <c r="D280" s="20"/>
      <c r="E280" s="20"/>
      <c r="F280" s="21"/>
    </row>
    <row r="281" spans="1:14" x14ac:dyDescent="0.25">
      <c r="A281" s="17" t="s">
        <v>407</v>
      </c>
      <c r="B281" s="39" t="s">
        <v>59</v>
      </c>
      <c r="C281" s="72" t="s">
        <v>71</v>
      </c>
      <c r="D281" s="20"/>
      <c r="E281" s="20"/>
      <c r="F281" s="21"/>
    </row>
    <row r="282" spans="1:14" x14ac:dyDescent="0.25">
      <c r="A282" s="17" t="s">
        <v>409</v>
      </c>
      <c r="B282" s="39" t="s">
        <v>60</v>
      </c>
      <c r="C282" s="72" t="s">
        <v>73</v>
      </c>
      <c r="D282" s="20"/>
      <c r="E282" s="20"/>
      <c r="F282" s="21"/>
    </row>
    <row r="283" spans="1:14" x14ac:dyDescent="0.25">
      <c r="A283" s="17" t="s">
        <v>351</v>
      </c>
      <c r="B283" s="39" t="s">
        <v>40</v>
      </c>
      <c r="C283" s="72" t="s">
        <v>254</v>
      </c>
      <c r="D283" s="20"/>
      <c r="E283" s="20"/>
      <c r="F283" s="21"/>
      <c r="H283" t="s">
        <v>382</v>
      </c>
      <c r="I283" s="17" t="s">
        <v>414</v>
      </c>
      <c r="J283" s="18" t="s">
        <v>224</v>
      </c>
      <c r="K283" s="72"/>
      <c r="L283" s="20"/>
      <c r="M283" s="20"/>
      <c r="N283" s="21"/>
    </row>
    <row r="284" spans="1:14" x14ac:dyDescent="0.25">
      <c r="A284" s="17" t="s">
        <v>352</v>
      </c>
      <c r="B284" s="39" t="s">
        <v>43</v>
      </c>
      <c r="C284" s="72" t="s">
        <v>256</v>
      </c>
      <c r="D284" s="20"/>
      <c r="E284" s="20"/>
      <c r="F284" s="21"/>
    </row>
    <row r="285" spans="1:14" x14ac:dyDescent="0.25">
      <c r="A285" s="17" t="s">
        <v>412</v>
      </c>
      <c r="B285" s="39" t="s">
        <v>46</v>
      </c>
      <c r="C285" s="72" t="s">
        <v>324</v>
      </c>
      <c r="D285" s="20"/>
      <c r="E285" s="20"/>
      <c r="F285" s="24"/>
      <c r="G285" t="s">
        <v>484</v>
      </c>
    </row>
    <row r="286" spans="1:14" x14ac:dyDescent="0.25">
      <c r="A286" s="17" t="s">
        <v>413</v>
      </c>
      <c r="B286" s="18" t="s">
        <v>223</v>
      </c>
      <c r="C286" s="72" t="s">
        <v>483</v>
      </c>
    </row>
    <row r="287" spans="1:14" x14ac:dyDescent="0.25">
      <c r="D287" s="81"/>
      <c r="E287" s="81"/>
      <c r="F287" s="82"/>
    </row>
    <row r="288" spans="1:14" x14ac:dyDescent="0.25">
      <c r="A288" s="78"/>
      <c r="B288" s="79"/>
      <c r="C288" s="80"/>
      <c r="D288" s="83"/>
      <c r="E288" s="83"/>
      <c r="F288" s="83"/>
    </row>
    <row r="289" spans="1:9" x14ac:dyDescent="0.25">
      <c r="A289" s="77"/>
      <c r="B289" s="10"/>
      <c r="C289" s="83"/>
    </row>
    <row r="290" spans="1:9" x14ac:dyDescent="0.25">
      <c r="A290" s="241" t="s">
        <v>225</v>
      </c>
      <c r="B290" s="241"/>
    </row>
    <row r="291" spans="1:9" ht="33.75" x14ac:dyDescent="0.25">
      <c r="B291" s="2"/>
      <c r="D291" s="15" t="s">
        <v>4</v>
      </c>
      <c r="E291" s="15" t="s">
        <v>5</v>
      </c>
      <c r="F291" s="16" t="s">
        <v>6</v>
      </c>
      <c r="G291" t="s">
        <v>333</v>
      </c>
      <c r="I291" t="s">
        <v>419</v>
      </c>
    </row>
    <row r="292" spans="1:9" x14ac:dyDescent="0.25">
      <c r="A292" s="12" t="s">
        <v>1</v>
      </c>
      <c r="B292" s="13" t="s">
        <v>2</v>
      </c>
      <c r="C292" s="14" t="s">
        <v>3</v>
      </c>
      <c r="D292" s="20"/>
      <c r="E292" s="20"/>
      <c r="F292" s="24"/>
    </row>
    <row r="293" spans="1:9" x14ac:dyDescent="0.25">
      <c r="A293" s="17" t="s">
        <v>415</v>
      </c>
      <c r="B293" s="39" t="s">
        <v>198</v>
      </c>
      <c r="C293" s="76" t="s">
        <v>305</v>
      </c>
      <c r="D293" s="20"/>
      <c r="E293" s="20"/>
      <c r="F293" s="24"/>
    </row>
    <row r="294" spans="1:9" x14ac:dyDescent="0.25">
      <c r="A294" s="17" t="s">
        <v>416</v>
      </c>
      <c r="B294" s="39" t="s">
        <v>159</v>
      </c>
      <c r="C294" s="76" t="s">
        <v>306</v>
      </c>
      <c r="D294" s="20"/>
      <c r="E294" s="20"/>
      <c r="F294" s="24"/>
    </row>
    <row r="295" spans="1:9" x14ac:dyDescent="0.25">
      <c r="A295" s="17" t="s">
        <v>417</v>
      </c>
      <c r="B295" s="39" t="s">
        <v>418</v>
      </c>
      <c r="C295" s="76" t="s">
        <v>252</v>
      </c>
      <c r="D295" s="20">
        <v>0.186</v>
      </c>
      <c r="E295" s="20">
        <v>6.6</v>
      </c>
      <c r="F295" s="24" t="s">
        <v>29</v>
      </c>
    </row>
    <row r="296" spans="1:9" x14ac:dyDescent="0.25">
      <c r="A296" s="17" t="s">
        <v>226</v>
      </c>
      <c r="B296" s="25" t="s">
        <v>40</v>
      </c>
      <c r="C296" s="19" t="s">
        <v>227</v>
      </c>
      <c r="D296" s="20">
        <v>6.4000000000000001E-2</v>
      </c>
      <c r="E296" s="20">
        <v>3.1</v>
      </c>
      <c r="F296" s="24" t="s">
        <v>29</v>
      </c>
    </row>
    <row r="297" spans="1:9" x14ac:dyDescent="0.25">
      <c r="A297" s="17" t="s">
        <v>228</v>
      </c>
      <c r="B297" s="25" t="s">
        <v>43</v>
      </c>
      <c r="C297" s="19" t="s">
        <v>229</v>
      </c>
      <c r="D297" s="20">
        <v>0.58099999999999996</v>
      </c>
      <c r="E297" s="20">
        <v>22.8</v>
      </c>
      <c r="F297" s="21">
        <v>2.6</v>
      </c>
    </row>
    <row r="298" spans="1:9" x14ac:dyDescent="0.25">
      <c r="A298" s="17" t="s">
        <v>230</v>
      </c>
      <c r="B298" s="25" t="s">
        <v>46</v>
      </c>
      <c r="C298" s="19" t="s">
        <v>231</v>
      </c>
      <c r="D298" s="20">
        <v>0.23200000000000001</v>
      </c>
      <c r="E298" s="20">
        <v>12.3</v>
      </c>
      <c r="F298" s="21">
        <v>1.2</v>
      </c>
    </row>
    <row r="299" spans="1:9" x14ac:dyDescent="0.25">
      <c r="A299" s="17" t="s">
        <v>232</v>
      </c>
      <c r="B299" s="25" t="s">
        <v>49</v>
      </c>
      <c r="C299" s="19" t="s">
        <v>233</v>
      </c>
      <c r="D299" s="20">
        <v>0.92100000000000004</v>
      </c>
      <c r="E299" s="20">
        <v>29.5</v>
      </c>
      <c r="F299" s="21">
        <v>5</v>
      </c>
    </row>
    <row r="300" spans="1:9" x14ac:dyDescent="0.25">
      <c r="A300" s="17" t="s">
        <v>234</v>
      </c>
      <c r="B300" s="25" t="s">
        <v>87</v>
      </c>
      <c r="C300" s="19" t="s">
        <v>235</v>
      </c>
      <c r="D300" s="20">
        <v>1.3939999999999999</v>
      </c>
      <c r="E300" s="20">
        <v>45.1</v>
      </c>
      <c r="F300" s="21">
        <v>7.5</v>
      </c>
    </row>
    <row r="301" spans="1:9" x14ac:dyDescent="0.25">
      <c r="A301" s="17" t="s">
        <v>236</v>
      </c>
      <c r="B301" s="25" t="s">
        <v>90</v>
      </c>
      <c r="C301" s="19" t="s">
        <v>237</v>
      </c>
      <c r="D301" s="20"/>
      <c r="E301" s="20"/>
      <c r="F301" s="24"/>
    </row>
    <row r="302" spans="1:9" x14ac:dyDescent="0.25">
      <c r="A302" s="17" t="s">
        <v>334</v>
      </c>
      <c r="B302" s="25" t="s">
        <v>308</v>
      </c>
      <c r="C302" s="49" t="s">
        <v>252</v>
      </c>
      <c r="D302" s="20"/>
      <c r="E302" s="20"/>
      <c r="F302" s="24"/>
    </row>
    <row r="303" spans="1:9" x14ac:dyDescent="0.25">
      <c r="A303" s="17" t="s">
        <v>335</v>
      </c>
      <c r="B303" s="25" t="s">
        <v>250</v>
      </c>
      <c r="C303" s="49" t="s">
        <v>251</v>
      </c>
    </row>
  </sheetData>
  <mergeCells count="3">
    <mergeCell ref="A256:B256"/>
    <mergeCell ref="A272:B272"/>
    <mergeCell ref="A290:B290"/>
  </mergeCells>
  <phoneticPr fontId="24" type="noConversion"/>
  <conditionalFormatting sqref="J213:J214 B215:B216">
    <cfRule type="cellIs" dxfId="0" priority="1" stopIfTrue="1" operator="equal">
      <formula>0</formula>
    </cfRule>
  </conditionalFormatting>
  <pageMargins left="0.51181102362204722" right="0.51181102362204722" top="0.78740157480314965" bottom="0.78740157480314965" header="0.31496062992125984" footer="0.31496062992125984"/>
  <pageSetup scale="82" fitToHeight="8" orientation="landscape" r:id="rId1"/>
  <headerFooter alignWithMargins="0"/>
  <rowBreaks count="7" manualBreakCount="7">
    <brk id="38" max="7" man="1"/>
    <brk id="72" max="7" man="1"/>
    <brk id="115" max="7" man="1"/>
    <brk id="150" max="7" man="1"/>
    <brk id="187" max="7" man="1"/>
    <brk id="234" max="16383" man="1"/>
    <brk id="26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X1568"/>
  <sheetViews>
    <sheetView showGridLines="0" tabSelected="1" view="pageBreakPreview" zoomScale="90" zoomScaleNormal="90" zoomScaleSheetLayoutView="90" zoomScalePageLayoutView="90" workbookViewId="0">
      <selection activeCell="B1" sqref="B1"/>
    </sheetView>
  </sheetViews>
  <sheetFormatPr defaultColWidth="8.85546875" defaultRowHeight="12.75" x14ac:dyDescent="0.25"/>
  <cols>
    <col min="1" max="1" width="2.85546875" style="123" customWidth="1"/>
    <col min="2" max="2" width="26.140625" style="123" customWidth="1"/>
    <col min="3" max="3" width="10" style="122" bestFit="1" customWidth="1"/>
    <col min="4" max="4" width="60" style="117" customWidth="1"/>
    <col min="5" max="5" width="22.28515625" style="117" bestFit="1" customWidth="1"/>
    <col min="6" max="6" width="12.28515625" style="118" customWidth="1"/>
    <col min="7" max="7" width="12.42578125" style="119" customWidth="1"/>
    <col min="8" max="9" width="11.85546875" style="210" hidden="1" customWidth="1"/>
    <col min="10" max="10" width="13.85546875" style="211" bestFit="1" customWidth="1"/>
    <col min="11" max="12" width="10.28515625" style="210" hidden="1" customWidth="1"/>
    <col min="13" max="13" width="10.28515625" style="211" customWidth="1"/>
    <col min="14" max="15" width="10.28515625" style="210" hidden="1" customWidth="1"/>
    <col min="16" max="16" width="11.42578125" style="211" bestFit="1" customWidth="1"/>
    <col min="17" max="25" width="8.85546875" style="123" customWidth="1"/>
    <col min="26" max="16384" width="8.85546875" style="123"/>
  </cols>
  <sheetData>
    <row r="1" spans="1:22" x14ac:dyDescent="0.25">
      <c r="A1" s="115"/>
      <c r="B1" s="116"/>
      <c r="C1" s="268"/>
      <c r="H1" s="120"/>
      <c r="I1" s="121"/>
      <c r="J1" s="122"/>
      <c r="K1" s="120"/>
      <c r="L1" s="121"/>
      <c r="M1" s="122"/>
      <c r="N1" s="123"/>
      <c r="O1" s="123"/>
      <c r="P1" s="122"/>
      <c r="Q1" s="115"/>
      <c r="R1" s="115"/>
      <c r="S1" s="115"/>
      <c r="T1" s="115"/>
      <c r="U1" s="115"/>
      <c r="V1" s="115"/>
    </row>
    <row r="2" spans="1:22" x14ac:dyDescent="0.25">
      <c r="A2" s="115"/>
      <c r="B2" s="115"/>
      <c r="C2" s="268"/>
      <c r="H2" s="120"/>
      <c r="I2" s="121"/>
      <c r="J2" s="122"/>
      <c r="K2" s="120"/>
      <c r="L2" s="121"/>
      <c r="M2" s="122"/>
      <c r="N2" s="123"/>
      <c r="O2" s="123"/>
      <c r="P2" s="122"/>
      <c r="Q2" s="115"/>
      <c r="R2" s="115"/>
      <c r="S2" s="115"/>
      <c r="T2" s="115"/>
      <c r="U2" s="115"/>
      <c r="V2" s="115"/>
    </row>
    <row r="3" spans="1:22" x14ac:dyDescent="0.25">
      <c r="A3" s="115"/>
      <c r="B3" s="115"/>
      <c r="C3" s="268"/>
      <c r="H3" s="120"/>
      <c r="I3" s="121"/>
      <c r="J3" s="122"/>
      <c r="K3" s="120"/>
      <c r="L3" s="121"/>
      <c r="M3" s="122"/>
      <c r="N3" s="123"/>
      <c r="O3" s="123"/>
      <c r="P3" s="122"/>
      <c r="Q3" s="115"/>
      <c r="R3" s="115"/>
      <c r="S3" s="115"/>
      <c r="T3" s="115"/>
      <c r="U3" s="115"/>
      <c r="V3" s="115"/>
    </row>
    <row r="4" spans="1:22" x14ac:dyDescent="0.25">
      <c r="A4" s="115"/>
      <c r="B4" s="115"/>
      <c r="C4" s="268"/>
      <c r="H4" s="120"/>
      <c r="I4" s="121"/>
      <c r="J4" s="122"/>
      <c r="K4" s="120"/>
      <c r="L4" s="121"/>
      <c r="M4" s="122"/>
      <c r="N4" s="123"/>
      <c r="O4" s="123"/>
      <c r="P4" s="122"/>
      <c r="Q4" s="115"/>
      <c r="R4" s="115"/>
      <c r="S4" s="115"/>
      <c r="T4" s="115"/>
      <c r="U4" s="115"/>
      <c r="V4" s="115"/>
    </row>
    <row r="5" spans="1:22" x14ac:dyDescent="0.25">
      <c r="A5" s="115"/>
      <c r="B5" s="115"/>
      <c r="C5" s="268"/>
      <c r="H5" s="120"/>
      <c r="I5" s="121"/>
      <c r="J5" s="122"/>
      <c r="K5" s="120"/>
      <c r="L5" s="121"/>
      <c r="M5" s="122"/>
      <c r="N5" s="123"/>
      <c r="O5" s="123"/>
      <c r="P5" s="122"/>
      <c r="Q5" s="115"/>
      <c r="R5" s="115"/>
      <c r="S5" s="115"/>
      <c r="T5" s="115"/>
      <c r="U5" s="115"/>
      <c r="V5" s="115"/>
    </row>
    <row r="6" spans="1:22" ht="27" customHeight="1" x14ac:dyDescent="0.25">
      <c r="A6" s="115"/>
      <c r="B6" s="240">
        <v>1.10564</v>
      </c>
      <c r="C6" s="268"/>
      <c r="E6" s="124"/>
      <c r="F6" s="125"/>
      <c r="G6" s="126"/>
      <c r="H6" s="127"/>
      <c r="I6" s="128"/>
      <c r="J6" s="129"/>
      <c r="K6" s="120"/>
      <c r="L6" s="121"/>
      <c r="M6" s="122"/>
      <c r="N6" s="123"/>
      <c r="O6" s="123"/>
      <c r="P6" s="122"/>
      <c r="Q6" s="115"/>
      <c r="R6" s="115"/>
      <c r="S6" s="115"/>
      <c r="T6" s="115"/>
      <c r="U6" s="115"/>
      <c r="V6" s="115"/>
    </row>
    <row r="7" spans="1:22" ht="27" customHeight="1" x14ac:dyDescent="0.25">
      <c r="A7" s="115"/>
      <c r="B7" s="269" t="s">
        <v>501</v>
      </c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115"/>
      <c r="O7" s="115"/>
      <c r="P7" s="115"/>
      <c r="Q7" s="115"/>
      <c r="R7" s="115"/>
      <c r="S7" s="115"/>
      <c r="T7" s="115"/>
      <c r="U7" s="115"/>
      <c r="V7" s="115"/>
    </row>
    <row r="8" spans="1:22" ht="27" customHeight="1" x14ac:dyDescent="0.25">
      <c r="A8" s="115"/>
      <c r="B8" s="276" t="s">
        <v>767</v>
      </c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115"/>
      <c r="O8" s="115"/>
      <c r="P8" s="115"/>
      <c r="Q8" s="115"/>
      <c r="R8" s="115"/>
      <c r="S8" s="115"/>
      <c r="T8" s="115"/>
      <c r="U8" s="115"/>
      <c r="V8" s="115"/>
    </row>
    <row r="9" spans="1:22" hidden="1" x14ac:dyDescent="0.25">
      <c r="A9" s="115"/>
      <c r="B9" s="130" t="s">
        <v>509</v>
      </c>
      <c r="C9" s="131">
        <v>4.37</v>
      </c>
      <c r="F9" s="132"/>
      <c r="H9" s="133"/>
      <c r="I9" s="134"/>
      <c r="J9" s="117"/>
      <c r="K9" s="133"/>
      <c r="L9" s="134"/>
      <c r="M9" s="117"/>
      <c r="N9" s="142"/>
      <c r="O9" s="142"/>
      <c r="P9" s="117"/>
      <c r="Q9" s="115"/>
      <c r="R9" s="115"/>
      <c r="S9" s="115"/>
      <c r="T9" s="115"/>
      <c r="U9" s="115"/>
      <c r="V9" s="115"/>
    </row>
    <row r="10" spans="1:22" x14ac:dyDescent="0.25">
      <c r="A10" s="115"/>
      <c r="B10" s="135" t="s">
        <v>510</v>
      </c>
      <c r="C10" s="222">
        <v>45544</v>
      </c>
      <c r="D10" s="223"/>
      <c r="F10" s="132"/>
      <c r="H10" s="133"/>
      <c r="I10" s="134"/>
      <c r="J10" s="117"/>
      <c r="K10" s="133"/>
      <c r="L10" s="134"/>
      <c r="M10" s="117"/>
      <c r="N10" s="142"/>
      <c r="O10" s="142"/>
      <c r="P10" s="117"/>
      <c r="Q10" s="115"/>
      <c r="R10" s="115"/>
      <c r="S10" s="115"/>
      <c r="T10" s="115"/>
      <c r="U10" s="115"/>
      <c r="V10" s="115"/>
    </row>
    <row r="11" spans="1:22" x14ac:dyDescent="0.25">
      <c r="A11" s="115"/>
      <c r="B11" s="136"/>
      <c r="H11" s="120"/>
      <c r="I11" s="121"/>
      <c r="J11" s="122"/>
      <c r="K11" s="120"/>
      <c r="L11" s="121"/>
      <c r="M11" s="122"/>
      <c r="N11" s="123"/>
      <c r="O11" s="123"/>
      <c r="P11" s="122"/>
      <c r="Q11" s="115"/>
      <c r="R11" s="115"/>
      <c r="S11" s="115"/>
      <c r="T11" s="115"/>
      <c r="U11" s="115"/>
      <c r="V11" s="115"/>
    </row>
    <row r="12" spans="1:22" s="142" customFormat="1" x14ac:dyDescent="0.25">
      <c r="A12" s="137"/>
      <c r="B12" s="137"/>
      <c r="C12" s="117"/>
      <c r="D12" s="117"/>
      <c r="E12" s="117"/>
      <c r="F12" s="132"/>
      <c r="G12" s="119"/>
      <c r="H12" s="133"/>
      <c r="I12" s="134"/>
      <c r="J12" s="117"/>
      <c r="K12" s="133"/>
      <c r="L12" s="134"/>
      <c r="M12" s="117"/>
      <c r="P12" s="117"/>
      <c r="Q12" s="137"/>
      <c r="R12" s="137"/>
      <c r="S12" s="137"/>
      <c r="T12" s="137"/>
      <c r="U12" s="137"/>
      <c r="V12" s="137"/>
    </row>
    <row r="13" spans="1:22" s="142" customFormat="1" x14ac:dyDescent="0.25">
      <c r="A13" s="137"/>
      <c r="B13" s="137"/>
      <c r="C13" s="117"/>
      <c r="D13" s="117"/>
      <c r="E13" s="117"/>
      <c r="F13" s="132"/>
      <c r="G13" s="119"/>
      <c r="Q13" s="137"/>
      <c r="R13" s="137"/>
      <c r="S13" s="137"/>
      <c r="T13" s="137"/>
      <c r="U13" s="137"/>
      <c r="V13" s="137"/>
    </row>
    <row r="14" spans="1:22" s="142" customFormat="1" ht="42" customHeight="1" x14ac:dyDescent="0.25">
      <c r="A14" s="137"/>
      <c r="B14" s="257" t="s">
        <v>637</v>
      </c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137"/>
      <c r="R14" s="137"/>
      <c r="S14" s="137"/>
      <c r="T14" s="137"/>
      <c r="U14" s="137"/>
      <c r="V14" s="137"/>
    </row>
    <row r="15" spans="1:22" s="142" customFormat="1" ht="16.5" customHeight="1" x14ac:dyDescent="0.25">
      <c r="A15" s="137"/>
      <c r="B15" s="138" t="s">
        <v>507</v>
      </c>
      <c r="C15" s="139" t="s">
        <v>523</v>
      </c>
      <c r="D15" s="139" t="s">
        <v>508</v>
      </c>
      <c r="E15" s="139" t="s">
        <v>521</v>
      </c>
      <c r="F15" s="140" t="s">
        <v>764</v>
      </c>
      <c r="G15" s="141" t="s">
        <v>520</v>
      </c>
      <c r="H15" s="139" t="s">
        <v>495</v>
      </c>
      <c r="I15" s="139"/>
      <c r="J15" s="139" t="s">
        <v>522</v>
      </c>
      <c r="K15" s="139" t="s">
        <v>751</v>
      </c>
      <c r="L15" s="139"/>
      <c r="M15" s="139" t="s">
        <v>751</v>
      </c>
      <c r="N15" s="139" t="s">
        <v>742</v>
      </c>
      <c r="O15" s="139"/>
      <c r="P15" s="139" t="s">
        <v>742</v>
      </c>
      <c r="Q15" s="137"/>
      <c r="R15" s="137"/>
      <c r="S15" s="137"/>
      <c r="T15" s="137"/>
      <c r="U15" s="137"/>
      <c r="V15" s="137"/>
    </row>
    <row r="16" spans="1:22" s="149" customFormat="1" ht="84" customHeight="1" x14ac:dyDescent="0.25">
      <c r="A16" s="148"/>
      <c r="B16" s="214"/>
      <c r="C16" s="143" t="s">
        <v>524</v>
      </c>
      <c r="D16" s="163" t="s">
        <v>646</v>
      </c>
      <c r="E16" s="164" t="s">
        <v>723</v>
      </c>
      <c r="F16" s="155">
        <v>0.24540000000000001</v>
      </c>
      <c r="G16" s="144">
        <v>9.5</v>
      </c>
      <c r="H16" s="145">
        <v>1604</v>
      </c>
      <c r="I16" s="146">
        <f t="shared" ref="I16:I17" si="0">H16*$B$6</f>
        <v>1773.4465599999999</v>
      </c>
      <c r="J16" s="158">
        <f t="shared" ref="J16:J17" si="1">ROUNDUP((I16*$C$9),0)</f>
        <v>7750</v>
      </c>
      <c r="K16" s="271"/>
      <c r="L16" s="271"/>
      <c r="M16" s="271"/>
      <c r="N16" s="271"/>
      <c r="O16" s="271"/>
      <c r="P16" s="271"/>
    </row>
    <row r="17" spans="1:22" s="149" customFormat="1" ht="84" customHeight="1" x14ac:dyDescent="0.25">
      <c r="A17" s="148"/>
      <c r="B17" s="213"/>
      <c r="C17" s="143" t="s">
        <v>525</v>
      </c>
      <c r="D17" s="163" t="s">
        <v>594</v>
      </c>
      <c r="E17" s="164" t="s">
        <v>724</v>
      </c>
      <c r="F17" s="155">
        <v>0.55859999999999999</v>
      </c>
      <c r="G17" s="144">
        <v>18</v>
      </c>
      <c r="H17" s="145">
        <v>2776</v>
      </c>
      <c r="I17" s="146">
        <f t="shared" si="0"/>
        <v>3069.2566400000001</v>
      </c>
      <c r="J17" s="147">
        <f t="shared" si="1"/>
        <v>13413</v>
      </c>
      <c r="K17" s="145">
        <v>3155</v>
      </c>
      <c r="L17" s="146">
        <f t="shared" ref="L17" si="2">K17*$B$6</f>
        <v>3488.2941999999998</v>
      </c>
      <c r="M17" s="147">
        <f t="shared" ref="M17" si="3">ROUNDUP((L17*$C$9),0)</f>
        <v>15244</v>
      </c>
      <c r="N17" s="145">
        <v>4098</v>
      </c>
      <c r="O17" s="146">
        <f t="shared" ref="O17:O24" si="4">N17*$B$6</f>
        <v>4530.9127200000003</v>
      </c>
      <c r="P17" s="147">
        <f t="shared" ref="P17:P24" si="5">ROUNDUP((O17*$C$9),0)</f>
        <v>19801</v>
      </c>
    </row>
    <row r="18" spans="1:22" s="149" customFormat="1" ht="84" customHeight="1" x14ac:dyDescent="0.25">
      <c r="A18" s="148"/>
      <c r="B18" s="213"/>
      <c r="C18" s="143" t="s">
        <v>526</v>
      </c>
      <c r="D18" s="163" t="s">
        <v>595</v>
      </c>
      <c r="E18" s="164" t="s">
        <v>725</v>
      </c>
      <c r="F18" s="155">
        <v>0.57069999999999999</v>
      </c>
      <c r="G18" s="144">
        <v>20</v>
      </c>
      <c r="H18" s="145">
        <v>3094</v>
      </c>
      <c r="I18" s="146">
        <f t="shared" ref="I18:I24" si="6">H18*$B$6</f>
        <v>3420.85016</v>
      </c>
      <c r="J18" s="147">
        <f t="shared" ref="J18:J24" si="7">ROUNDUP((I18*$C$9),0)</f>
        <v>14950</v>
      </c>
      <c r="K18" s="145">
        <v>3549</v>
      </c>
      <c r="L18" s="146">
        <f t="shared" ref="L18:L24" si="8">K18*$B$6</f>
        <v>3923.9163599999997</v>
      </c>
      <c r="M18" s="147">
        <f t="shared" ref="M18:M24" si="9">ROUNDUP((L18*$C$9),0)</f>
        <v>17148</v>
      </c>
      <c r="N18" s="145">
        <v>4681</v>
      </c>
      <c r="O18" s="146">
        <f t="shared" si="4"/>
        <v>5175.5008399999997</v>
      </c>
      <c r="P18" s="147">
        <f t="shared" si="5"/>
        <v>22617</v>
      </c>
    </row>
    <row r="19" spans="1:22" s="149" customFormat="1" ht="84" customHeight="1" x14ac:dyDescent="0.25">
      <c r="A19" s="148"/>
      <c r="B19" s="243"/>
      <c r="C19" s="143" t="s">
        <v>527</v>
      </c>
      <c r="D19" s="273" t="s">
        <v>596</v>
      </c>
      <c r="E19" s="164" t="s">
        <v>726</v>
      </c>
      <c r="F19" s="155">
        <v>1.2566999999999999</v>
      </c>
      <c r="G19" s="165">
        <v>37.6</v>
      </c>
      <c r="H19" s="145">
        <v>5741</v>
      </c>
      <c r="I19" s="146">
        <f t="shared" si="6"/>
        <v>6347.4792399999997</v>
      </c>
      <c r="J19" s="147">
        <f t="shared" si="7"/>
        <v>27739</v>
      </c>
      <c r="K19" s="145">
        <v>6651</v>
      </c>
      <c r="L19" s="146">
        <f t="shared" si="8"/>
        <v>7353.6116400000001</v>
      </c>
      <c r="M19" s="147">
        <f t="shared" si="9"/>
        <v>32136</v>
      </c>
      <c r="N19" s="145">
        <v>8914</v>
      </c>
      <c r="O19" s="146">
        <f t="shared" si="4"/>
        <v>9855.6749600000003</v>
      </c>
      <c r="P19" s="147">
        <f t="shared" si="5"/>
        <v>43070</v>
      </c>
    </row>
    <row r="20" spans="1:22" s="149" customFormat="1" ht="84" customHeight="1" x14ac:dyDescent="0.25">
      <c r="A20" s="148"/>
      <c r="B20" s="272"/>
      <c r="C20" s="143" t="s">
        <v>528</v>
      </c>
      <c r="D20" s="274"/>
      <c r="E20" s="164" t="s">
        <v>727</v>
      </c>
      <c r="F20" s="155">
        <v>1.4206000000000001</v>
      </c>
      <c r="G20" s="144">
        <v>41.5</v>
      </c>
      <c r="H20" s="145">
        <v>6241</v>
      </c>
      <c r="I20" s="146">
        <f t="shared" ref="I20" si="10">H20*$B$6</f>
        <v>6900.2992399999994</v>
      </c>
      <c r="J20" s="147">
        <f t="shared" ref="J20" si="11">ROUNDUP((I20*$C$9),0)</f>
        <v>30155</v>
      </c>
      <c r="K20" s="145">
        <v>7227</v>
      </c>
      <c r="L20" s="146">
        <f t="shared" si="8"/>
        <v>7990.4602799999993</v>
      </c>
      <c r="M20" s="147">
        <f t="shared" si="9"/>
        <v>34919</v>
      </c>
      <c r="N20" s="145">
        <v>9678</v>
      </c>
      <c r="O20" s="146">
        <f t="shared" si="4"/>
        <v>10700.38392</v>
      </c>
      <c r="P20" s="147">
        <f t="shared" si="5"/>
        <v>46761</v>
      </c>
    </row>
    <row r="21" spans="1:22" s="149" customFormat="1" ht="84" customHeight="1" x14ac:dyDescent="0.25">
      <c r="A21" s="148"/>
      <c r="B21" s="244"/>
      <c r="C21" s="143" t="s">
        <v>529</v>
      </c>
      <c r="D21" s="275"/>
      <c r="E21" s="164" t="s">
        <v>728</v>
      </c>
      <c r="F21" s="155">
        <v>1.5451999999999999</v>
      </c>
      <c r="G21" s="144">
        <v>44.9</v>
      </c>
      <c r="H21" s="145">
        <v>6693</v>
      </c>
      <c r="I21" s="146">
        <f t="shared" si="6"/>
        <v>7400.0485199999994</v>
      </c>
      <c r="J21" s="147">
        <f t="shared" si="7"/>
        <v>32339</v>
      </c>
      <c r="K21" s="145">
        <v>7755</v>
      </c>
      <c r="L21" s="146">
        <f t="shared" si="8"/>
        <v>8574.2381999999998</v>
      </c>
      <c r="M21" s="147">
        <f t="shared" si="9"/>
        <v>37470</v>
      </c>
      <c r="N21" s="145">
        <v>10394</v>
      </c>
      <c r="O21" s="146">
        <f t="shared" si="4"/>
        <v>11492.02216</v>
      </c>
      <c r="P21" s="147">
        <f t="shared" si="5"/>
        <v>50221</v>
      </c>
    </row>
    <row r="22" spans="1:22" s="149" customFormat="1" ht="84" customHeight="1" x14ac:dyDescent="0.25">
      <c r="A22" s="148"/>
      <c r="B22" s="213"/>
      <c r="C22" s="143" t="s">
        <v>530</v>
      </c>
      <c r="D22" s="163" t="s">
        <v>597</v>
      </c>
      <c r="E22" s="164" t="s">
        <v>729</v>
      </c>
      <c r="F22" s="155">
        <v>1.1776</v>
      </c>
      <c r="G22" s="144">
        <v>36.5</v>
      </c>
      <c r="H22" s="145">
        <v>5071</v>
      </c>
      <c r="I22" s="146">
        <f t="shared" si="6"/>
        <v>5606.7004399999996</v>
      </c>
      <c r="J22" s="147">
        <f t="shared" si="7"/>
        <v>24502</v>
      </c>
      <c r="K22" s="145">
        <v>5829</v>
      </c>
      <c r="L22" s="146">
        <f t="shared" si="8"/>
        <v>6444.77556</v>
      </c>
      <c r="M22" s="147">
        <f t="shared" si="9"/>
        <v>28164</v>
      </c>
      <c r="N22" s="145">
        <v>7715</v>
      </c>
      <c r="O22" s="146">
        <f t="shared" si="4"/>
        <v>8530.0126</v>
      </c>
      <c r="P22" s="147">
        <f t="shared" si="5"/>
        <v>37277</v>
      </c>
    </row>
    <row r="23" spans="1:22" s="149" customFormat="1" ht="84" customHeight="1" x14ac:dyDescent="0.25">
      <c r="A23" s="148"/>
      <c r="B23" s="213"/>
      <c r="C23" s="143" t="s">
        <v>531</v>
      </c>
      <c r="D23" s="163" t="s">
        <v>598</v>
      </c>
      <c r="E23" s="164" t="s">
        <v>730</v>
      </c>
      <c r="F23" s="155">
        <v>1.2524</v>
      </c>
      <c r="G23" s="144">
        <v>36.5</v>
      </c>
      <c r="H23" s="145">
        <v>5071</v>
      </c>
      <c r="I23" s="146">
        <f t="shared" ref="I23" si="12">H23*$B$6</f>
        <v>5606.7004399999996</v>
      </c>
      <c r="J23" s="147">
        <f t="shared" ref="J23" si="13">ROUNDUP((I23*$C$9),0)</f>
        <v>24502</v>
      </c>
      <c r="K23" s="145">
        <v>5829</v>
      </c>
      <c r="L23" s="146">
        <f t="shared" ref="L23" si="14">K23*$B$6</f>
        <v>6444.77556</v>
      </c>
      <c r="M23" s="147">
        <f t="shared" ref="M23" si="15">ROUNDUP((L23*$C$9),0)</f>
        <v>28164</v>
      </c>
      <c r="N23" s="145">
        <v>7715</v>
      </c>
      <c r="O23" s="146">
        <f t="shared" ref="O23" si="16">N23*$B$6</f>
        <v>8530.0126</v>
      </c>
      <c r="P23" s="147">
        <f t="shared" ref="P23" si="17">ROUNDUP((O23*$C$9),0)</f>
        <v>37277</v>
      </c>
    </row>
    <row r="24" spans="1:22" s="149" customFormat="1" ht="84" customHeight="1" x14ac:dyDescent="0.25">
      <c r="A24" s="148"/>
      <c r="B24" s="213"/>
      <c r="C24" s="143" t="s">
        <v>532</v>
      </c>
      <c r="D24" s="163" t="s">
        <v>599</v>
      </c>
      <c r="E24" s="164" t="s">
        <v>731</v>
      </c>
      <c r="F24" s="155">
        <v>1.2024999999999999</v>
      </c>
      <c r="G24" s="144">
        <v>32</v>
      </c>
      <c r="H24" s="145">
        <v>4789</v>
      </c>
      <c r="I24" s="146">
        <f t="shared" si="6"/>
        <v>5294.90996</v>
      </c>
      <c r="J24" s="147">
        <f t="shared" si="7"/>
        <v>23139</v>
      </c>
      <c r="K24" s="145">
        <v>5471</v>
      </c>
      <c r="L24" s="146">
        <f t="shared" si="8"/>
        <v>6048.9564399999999</v>
      </c>
      <c r="M24" s="147">
        <f t="shared" si="9"/>
        <v>26434</v>
      </c>
      <c r="N24" s="145">
        <v>7169</v>
      </c>
      <c r="O24" s="146">
        <f t="shared" si="4"/>
        <v>7926.3331600000001</v>
      </c>
      <c r="P24" s="147">
        <f t="shared" si="5"/>
        <v>34639</v>
      </c>
    </row>
    <row r="25" spans="1:22" s="260" customFormat="1" ht="11.25" customHeight="1" x14ac:dyDescent="0.25"/>
    <row r="26" spans="1:22" s="260" customFormat="1" ht="11.25" customHeight="1" x14ac:dyDescent="0.25"/>
    <row r="27" spans="1:22" s="142" customFormat="1" x14ac:dyDescent="0.25">
      <c r="A27" s="137"/>
      <c r="B27" s="137"/>
      <c r="C27" s="117"/>
      <c r="D27" s="117"/>
      <c r="E27" s="117"/>
      <c r="F27" s="132"/>
      <c r="G27" s="119"/>
      <c r="H27" s="133"/>
      <c r="I27" s="134"/>
      <c r="J27" s="117"/>
      <c r="K27" s="133"/>
      <c r="L27" s="134"/>
      <c r="M27" s="117"/>
      <c r="N27" s="133"/>
      <c r="O27" s="134"/>
      <c r="P27" s="117"/>
      <c r="Q27" s="137"/>
      <c r="R27" s="137"/>
      <c r="S27" s="137"/>
      <c r="T27" s="137"/>
      <c r="U27" s="137"/>
      <c r="V27" s="137"/>
    </row>
    <row r="28" spans="1:22" s="142" customFormat="1" ht="42" customHeight="1" x14ac:dyDescent="0.25">
      <c r="A28" s="137"/>
      <c r="B28" s="257" t="s">
        <v>638</v>
      </c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137"/>
      <c r="R28" s="137"/>
      <c r="S28" s="137"/>
      <c r="T28" s="137"/>
      <c r="U28" s="137"/>
      <c r="V28" s="137"/>
    </row>
    <row r="29" spans="1:22" s="142" customFormat="1" ht="16.5" customHeight="1" x14ac:dyDescent="0.25">
      <c r="A29" s="137"/>
      <c r="B29" s="138" t="s">
        <v>507</v>
      </c>
      <c r="C29" s="139" t="s">
        <v>523</v>
      </c>
      <c r="D29" s="139" t="s">
        <v>508</v>
      </c>
      <c r="E29" s="139" t="s">
        <v>521</v>
      </c>
      <c r="F29" s="140" t="s">
        <v>764</v>
      </c>
      <c r="G29" s="141" t="s">
        <v>520</v>
      </c>
      <c r="H29" s="139" t="s">
        <v>495</v>
      </c>
      <c r="I29" s="139"/>
      <c r="J29" s="139" t="s">
        <v>522</v>
      </c>
      <c r="K29" s="139" t="s">
        <v>751</v>
      </c>
      <c r="L29" s="139"/>
      <c r="M29" s="139" t="s">
        <v>751</v>
      </c>
      <c r="N29" s="139" t="s">
        <v>742</v>
      </c>
      <c r="O29" s="139"/>
      <c r="P29" s="139" t="s">
        <v>742</v>
      </c>
      <c r="Q29" s="137"/>
      <c r="R29" s="137"/>
      <c r="S29" s="137"/>
      <c r="T29" s="137"/>
      <c r="U29" s="137"/>
      <c r="V29" s="137"/>
    </row>
    <row r="30" spans="1:22" s="149" customFormat="1" ht="84" customHeight="1" x14ac:dyDescent="0.25">
      <c r="A30" s="148"/>
      <c r="B30" s="213"/>
      <c r="C30" s="113" t="s">
        <v>533</v>
      </c>
      <c r="D30" s="169" t="s">
        <v>647</v>
      </c>
      <c r="E30" s="153" t="s">
        <v>686</v>
      </c>
      <c r="F30" s="155">
        <v>0.7208</v>
      </c>
      <c r="G30" s="151">
        <v>9.9</v>
      </c>
      <c r="H30" s="145">
        <v>1505</v>
      </c>
      <c r="I30" s="146">
        <f t="shared" ref="I30:I32" si="18">H30*$B$6</f>
        <v>1663.9882</v>
      </c>
      <c r="J30" s="158">
        <f t="shared" ref="J30:J32" si="19">ROUNDUP((I30*$C$9),0)</f>
        <v>7272</v>
      </c>
      <c r="K30" s="277"/>
      <c r="L30" s="277"/>
      <c r="M30" s="277"/>
      <c r="N30" s="277"/>
      <c r="O30" s="277"/>
      <c r="P30" s="278"/>
    </row>
    <row r="31" spans="1:22" s="149" customFormat="1" ht="84" customHeight="1" x14ac:dyDescent="0.25">
      <c r="A31" s="148"/>
      <c r="B31" s="243"/>
      <c r="C31" s="113" t="s">
        <v>74</v>
      </c>
      <c r="D31" s="168" t="s">
        <v>648</v>
      </c>
      <c r="E31" s="152" t="s">
        <v>75</v>
      </c>
      <c r="F31" s="155">
        <v>0.65720000000000001</v>
      </c>
      <c r="G31" s="151">
        <v>11.8</v>
      </c>
      <c r="H31" s="145">
        <v>1332</v>
      </c>
      <c r="I31" s="146">
        <f t="shared" si="18"/>
        <v>1472.7124799999999</v>
      </c>
      <c r="J31" s="158">
        <f t="shared" si="19"/>
        <v>6436</v>
      </c>
      <c r="K31" s="277"/>
      <c r="L31" s="277"/>
      <c r="M31" s="277"/>
      <c r="N31" s="277"/>
      <c r="O31" s="277"/>
      <c r="P31" s="278"/>
    </row>
    <row r="32" spans="1:22" s="149" customFormat="1" ht="84" customHeight="1" x14ac:dyDescent="0.25">
      <c r="A32" s="148"/>
      <c r="B32" s="244"/>
      <c r="C32" s="113" t="s">
        <v>534</v>
      </c>
      <c r="D32" s="168" t="s">
        <v>649</v>
      </c>
      <c r="E32" s="152" t="s">
        <v>687</v>
      </c>
      <c r="F32" s="155">
        <v>0.65720000000000001</v>
      </c>
      <c r="G32" s="151">
        <v>11.8</v>
      </c>
      <c r="H32" s="145">
        <v>1478</v>
      </c>
      <c r="I32" s="146">
        <f t="shared" si="18"/>
        <v>1634.1359199999999</v>
      </c>
      <c r="J32" s="158">
        <f t="shared" si="19"/>
        <v>7142</v>
      </c>
      <c r="K32" s="277"/>
      <c r="L32" s="277"/>
      <c r="M32" s="277"/>
      <c r="N32" s="277"/>
      <c r="O32" s="277"/>
      <c r="P32" s="278"/>
    </row>
    <row r="33" spans="1:22" s="142" customFormat="1" ht="15" customHeight="1" x14ac:dyDescent="0.25">
      <c r="A33" s="137"/>
      <c r="B33" s="137"/>
      <c r="C33" s="117"/>
      <c r="D33" s="117"/>
      <c r="E33" s="117"/>
      <c r="F33" s="132"/>
      <c r="G33" s="119"/>
      <c r="H33" s="133"/>
      <c r="I33" s="134"/>
      <c r="J33" s="117"/>
      <c r="K33" s="133"/>
      <c r="L33" s="134"/>
      <c r="M33" s="117"/>
      <c r="N33" s="133"/>
      <c r="O33" s="134"/>
      <c r="P33" s="117"/>
      <c r="Q33" s="137"/>
      <c r="R33" s="137"/>
      <c r="S33" s="137"/>
      <c r="T33" s="137"/>
      <c r="U33" s="137"/>
      <c r="V33" s="137"/>
    </row>
    <row r="34" spans="1:22" s="142" customFormat="1" x14ac:dyDescent="0.25">
      <c r="A34" s="137"/>
      <c r="B34" s="137"/>
      <c r="C34" s="117"/>
      <c r="D34" s="117"/>
      <c r="E34" s="117"/>
      <c r="F34" s="132"/>
      <c r="G34" s="119"/>
      <c r="Q34" s="137"/>
      <c r="R34" s="137"/>
      <c r="S34" s="137"/>
      <c r="T34" s="137"/>
      <c r="U34" s="137"/>
      <c r="V34" s="137"/>
    </row>
    <row r="35" spans="1:22" s="142" customFormat="1" ht="42" customHeight="1" x14ac:dyDescent="0.25">
      <c r="A35" s="137"/>
      <c r="B35" s="257" t="s">
        <v>639</v>
      </c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137"/>
      <c r="R35" s="137"/>
      <c r="S35" s="137"/>
      <c r="T35" s="137"/>
      <c r="U35" s="137"/>
      <c r="V35" s="137"/>
    </row>
    <row r="36" spans="1:22" s="142" customFormat="1" ht="16.5" customHeight="1" x14ac:dyDescent="0.25">
      <c r="A36" s="137"/>
      <c r="B36" s="138" t="s">
        <v>507</v>
      </c>
      <c r="C36" s="139" t="s">
        <v>523</v>
      </c>
      <c r="D36" s="139" t="s">
        <v>508</v>
      </c>
      <c r="E36" s="139" t="s">
        <v>521</v>
      </c>
      <c r="F36" s="140" t="s">
        <v>764</v>
      </c>
      <c r="G36" s="141" t="s">
        <v>520</v>
      </c>
      <c r="H36" s="139" t="s">
        <v>495</v>
      </c>
      <c r="I36" s="139"/>
      <c r="J36" s="139" t="s">
        <v>522</v>
      </c>
      <c r="K36" s="139" t="s">
        <v>751</v>
      </c>
      <c r="L36" s="139"/>
      <c r="M36" s="139" t="s">
        <v>751</v>
      </c>
      <c r="N36" s="139" t="s">
        <v>742</v>
      </c>
      <c r="O36" s="139"/>
      <c r="P36" s="139" t="s">
        <v>742</v>
      </c>
      <c r="Q36" s="137"/>
      <c r="R36" s="137"/>
      <c r="S36" s="137"/>
      <c r="T36" s="137"/>
      <c r="U36" s="137"/>
      <c r="V36" s="137"/>
    </row>
    <row r="37" spans="1:22" s="149" customFormat="1" ht="84" customHeight="1" x14ac:dyDescent="0.25">
      <c r="A37" s="148"/>
      <c r="B37" s="243"/>
      <c r="C37" s="143" t="s">
        <v>535</v>
      </c>
      <c r="D37" s="173" t="s">
        <v>650</v>
      </c>
      <c r="E37" s="164" t="s">
        <v>688</v>
      </c>
      <c r="F37" s="155">
        <v>0.39240000000000003</v>
      </c>
      <c r="G37" s="154">
        <v>12.4</v>
      </c>
      <c r="H37" s="145">
        <v>1053</v>
      </c>
      <c r="I37" s="146">
        <f t="shared" ref="I37" si="20">H37*$B$6</f>
        <v>1164.23892</v>
      </c>
      <c r="J37" s="158">
        <f t="shared" ref="J37" si="21">ROUNDUP((I37*$C$9),0)</f>
        <v>5088</v>
      </c>
      <c r="K37" s="245"/>
      <c r="L37" s="245"/>
      <c r="M37" s="245"/>
      <c r="N37" s="245"/>
      <c r="O37" s="245"/>
      <c r="P37" s="246"/>
    </row>
    <row r="38" spans="1:22" s="149" customFormat="1" ht="84" customHeight="1" x14ac:dyDescent="0.25">
      <c r="A38" s="148"/>
      <c r="B38" s="244"/>
      <c r="C38" s="143" t="s">
        <v>97</v>
      </c>
      <c r="D38" s="163" t="s">
        <v>651</v>
      </c>
      <c r="E38" s="164" t="s">
        <v>688</v>
      </c>
      <c r="F38" s="155">
        <v>0.39240000000000003</v>
      </c>
      <c r="G38" s="154">
        <v>12.1</v>
      </c>
      <c r="H38" s="145">
        <v>932</v>
      </c>
      <c r="I38" s="146">
        <f t="shared" ref="I38:I44" si="22">H38*$B$6</f>
        <v>1030.4564800000001</v>
      </c>
      <c r="J38" s="158">
        <f t="shared" ref="J38:J44" si="23">ROUNDUP((I38*$C$9),0)</f>
        <v>4504</v>
      </c>
      <c r="K38" s="247"/>
      <c r="L38" s="247"/>
      <c r="M38" s="247"/>
      <c r="N38" s="247"/>
      <c r="O38" s="247"/>
      <c r="P38" s="248"/>
    </row>
    <row r="39" spans="1:22" s="149" customFormat="1" ht="84" customHeight="1" x14ac:dyDescent="0.25">
      <c r="A39" s="148"/>
      <c r="B39" s="243"/>
      <c r="C39" s="143" t="s">
        <v>536</v>
      </c>
      <c r="D39" s="173" t="s">
        <v>652</v>
      </c>
      <c r="E39" s="164" t="s">
        <v>689</v>
      </c>
      <c r="F39" s="155">
        <v>0.30599999999999999</v>
      </c>
      <c r="G39" s="154">
        <v>9</v>
      </c>
      <c r="H39" s="145">
        <v>980</v>
      </c>
      <c r="I39" s="146">
        <f t="shared" si="22"/>
        <v>1083.5272</v>
      </c>
      <c r="J39" s="158">
        <f t="shared" si="23"/>
        <v>4736</v>
      </c>
      <c r="K39" s="247"/>
      <c r="L39" s="247"/>
      <c r="M39" s="247"/>
      <c r="N39" s="247"/>
      <c r="O39" s="247"/>
      <c r="P39" s="248"/>
    </row>
    <row r="40" spans="1:22" s="149" customFormat="1" ht="84" customHeight="1" x14ac:dyDescent="0.25">
      <c r="A40" s="148"/>
      <c r="B40" s="244"/>
      <c r="C40" s="143" t="s">
        <v>95</v>
      </c>
      <c r="D40" s="163" t="s">
        <v>653</v>
      </c>
      <c r="E40" s="164" t="s">
        <v>689</v>
      </c>
      <c r="F40" s="155">
        <v>0.30599999999999999</v>
      </c>
      <c r="G40" s="154">
        <v>8.9</v>
      </c>
      <c r="H40" s="145">
        <v>857</v>
      </c>
      <c r="I40" s="146">
        <f t="shared" si="22"/>
        <v>947.53347999999994</v>
      </c>
      <c r="J40" s="158">
        <f t="shared" si="23"/>
        <v>4141</v>
      </c>
      <c r="K40" s="247"/>
      <c r="L40" s="247"/>
      <c r="M40" s="247"/>
      <c r="N40" s="247"/>
      <c r="O40" s="247"/>
      <c r="P40" s="248"/>
    </row>
    <row r="41" spans="1:22" s="149" customFormat="1" ht="84" customHeight="1" x14ac:dyDescent="0.25">
      <c r="A41" s="148"/>
      <c r="B41" s="243"/>
      <c r="C41" s="143" t="s">
        <v>537</v>
      </c>
      <c r="D41" s="173" t="s">
        <v>655</v>
      </c>
      <c r="E41" s="164" t="s">
        <v>732</v>
      </c>
      <c r="F41" s="155">
        <v>0.8236</v>
      </c>
      <c r="G41" s="154">
        <v>26.1</v>
      </c>
      <c r="H41" s="145">
        <v>2373</v>
      </c>
      <c r="I41" s="146">
        <f t="shared" si="22"/>
        <v>2623.68372</v>
      </c>
      <c r="J41" s="158">
        <f t="shared" si="23"/>
        <v>11466</v>
      </c>
      <c r="K41" s="247"/>
      <c r="L41" s="247"/>
      <c r="M41" s="247"/>
      <c r="N41" s="247"/>
      <c r="O41" s="247"/>
      <c r="P41" s="248"/>
    </row>
    <row r="42" spans="1:22" s="149" customFormat="1" ht="84" customHeight="1" x14ac:dyDescent="0.25">
      <c r="A42" s="148"/>
      <c r="B42" s="244"/>
      <c r="C42" s="143" t="s">
        <v>326</v>
      </c>
      <c r="D42" s="163" t="s">
        <v>654</v>
      </c>
      <c r="E42" s="164" t="s">
        <v>732</v>
      </c>
      <c r="F42" s="155">
        <v>0.8236</v>
      </c>
      <c r="G42" s="154">
        <v>24.8</v>
      </c>
      <c r="H42" s="145">
        <v>2071</v>
      </c>
      <c r="I42" s="146">
        <f t="shared" si="22"/>
        <v>2289.78044</v>
      </c>
      <c r="J42" s="158">
        <f t="shared" si="23"/>
        <v>10007</v>
      </c>
      <c r="K42" s="247"/>
      <c r="L42" s="247"/>
      <c r="M42" s="247"/>
      <c r="N42" s="247"/>
      <c r="O42" s="247"/>
      <c r="P42" s="248"/>
    </row>
    <row r="43" spans="1:22" s="149" customFormat="1" ht="84" customHeight="1" x14ac:dyDescent="0.25">
      <c r="A43" s="148"/>
      <c r="B43" s="243"/>
      <c r="C43" s="143" t="s">
        <v>538</v>
      </c>
      <c r="D43" s="174" t="s">
        <v>656</v>
      </c>
      <c r="E43" s="164" t="s">
        <v>690</v>
      </c>
      <c r="F43" s="155">
        <v>0.4476</v>
      </c>
      <c r="G43" s="154">
        <v>11.6</v>
      </c>
      <c r="H43" s="145">
        <v>1298</v>
      </c>
      <c r="I43" s="146">
        <f t="shared" si="22"/>
        <v>1435.1207199999999</v>
      </c>
      <c r="J43" s="158">
        <f t="shared" si="23"/>
        <v>6272</v>
      </c>
      <c r="K43" s="247"/>
      <c r="L43" s="247"/>
      <c r="M43" s="247"/>
      <c r="N43" s="247"/>
      <c r="O43" s="247"/>
      <c r="P43" s="248"/>
    </row>
    <row r="44" spans="1:22" s="149" customFormat="1" ht="84" customHeight="1" x14ac:dyDescent="0.25">
      <c r="A44" s="148"/>
      <c r="B44" s="244"/>
      <c r="C44" s="143" t="s">
        <v>539</v>
      </c>
      <c r="D44" s="166" t="s">
        <v>657</v>
      </c>
      <c r="E44" s="164" t="s">
        <v>690</v>
      </c>
      <c r="F44" s="155">
        <v>0.4476</v>
      </c>
      <c r="G44" s="154">
        <v>11.2</v>
      </c>
      <c r="H44" s="145">
        <v>1170</v>
      </c>
      <c r="I44" s="146">
        <f t="shared" si="22"/>
        <v>1293.5988</v>
      </c>
      <c r="J44" s="158">
        <f t="shared" si="23"/>
        <v>5654</v>
      </c>
      <c r="K44" s="249"/>
      <c r="L44" s="249"/>
      <c r="M44" s="249"/>
      <c r="N44" s="249"/>
      <c r="O44" s="249"/>
      <c r="P44" s="250"/>
    </row>
    <row r="45" spans="1:22" s="142" customFormat="1" x14ac:dyDescent="0.25">
      <c r="A45" s="137"/>
      <c r="B45" s="137"/>
      <c r="C45" s="117"/>
      <c r="D45" s="117"/>
      <c r="E45" s="117"/>
      <c r="F45" s="132"/>
      <c r="G45" s="119"/>
      <c r="H45" s="133"/>
      <c r="I45" s="159"/>
      <c r="J45" s="117"/>
      <c r="K45" s="133"/>
      <c r="L45" s="134"/>
      <c r="M45" s="117"/>
      <c r="N45" s="133"/>
      <c r="O45" s="134"/>
      <c r="P45" s="117"/>
      <c r="Q45" s="137"/>
      <c r="R45" s="137"/>
      <c r="S45" s="137"/>
      <c r="T45" s="137"/>
      <c r="U45" s="137"/>
      <c r="V45" s="137"/>
    </row>
    <row r="46" spans="1:22" s="142" customFormat="1" x14ac:dyDescent="0.25">
      <c r="A46" s="137"/>
      <c r="B46" s="137"/>
      <c r="C46" s="117"/>
      <c r="D46" s="117"/>
      <c r="E46" s="117"/>
      <c r="F46" s="132"/>
      <c r="G46" s="119"/>
      <c r="H46" s="133"/>
      <c r="I46" s="159"/>
      <c r="J46" s="117"/>
      <c r="K46" s="133"/>
      <c r="L46" s="134"/>
      <c r="M46" s="117"/>
      <c r="N46" s="133"/>
      <c r="O46" s="134"/>
      <c r="P46" s="117"/>
      <c r="Q46" s="137"/>
      <c r="R46" s="137"/>
      <c r="S46" s="137"/>
      <c r="T46" s="137"/>
      <c r="U46" s="137"/>
      <c r="V46" s="137"/>
    </row>
    <row r="47" spans="1:22" s="142" customFormat="1" ht="42" customHeight="1" x14ac:dyDescent="0.25">
      <c r="A47" s="137"/>
      <c r="B47" s="257" t="s">
        <v>640</v>
      </c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137"/>
      <c r="R47" s="137"/>
      <c r="S47" s="137"/>
      <c r="T47" s="137"/>
      <c r="U47" s="137"/>
      <c r="V47" s="137"/>
    </row>
    <row r="48" spans="1:22" s="142" customFormat="1" ht="16.5" customHeight="1" x14ac:dyDescent="0.25">
      <c r="A48" s="137"/>
      <c r="B48" s="138" t="s">
        <v>507</v>
      </c>
      <c r="C48" s="139" t="s">
        <v>523</v>
      </c>
      <c r="D48" s="139" t="s">
        <v>508</v>
      </c>
      <c r="E48" s="139" t="s">
        <v>521</v>
      </c>
      <c r="F48" s="140" t="s">
        <v>764</v>
      </c>
      <c r="G48" s="141" t="s">
        <v>520</v>
      </c>
      <c r="H48" s="139" t="s">
        <v>495</v>
      </c>
      <c r="I48" s="139"/>
      <c r="J48" s="139" t="s">
        <v>522</v>
      </c>
      <c r="K48" s="139" t="s">
        <v>751</v>
      </c>
      <c r="L48" s="139"/>
      <c r="M48" s="139" t="s">
        <v>751</v>
      </c>
      <c r="N48" s="139" t="s">
        <v>742</v>
      </c>
      <c r="O48" s="139"/>
      <c r="P48" s="139" t="s">
        <v>742</v>
      </c>
      <c r="Q48" s="137"/>
      <c r="R48" s="137"/>
      <c r="S48" s="137"/>
      <c r="T48" s="137"/>
      <c r="U48" s="137"/>
      <c r="V48" s="137"/>
    </row>
    <row r="49" spans="1:22" s="149" customFormat="1" ht="84" customHeight="1" x14ac:dyDescent="0.25">
      <c r="A49" s="148"/>
      <c r="B49" s="243"/>
      <c r="C49" s="143" t="s">
        <v>541</v>
      </c>
      <c r="D49" s="173" t="s">
        <v>658</v>
      </c>
      <c r="E49" s="164" t="s">
        <v>691</v>
      </c>
      <c r="F49" s="155">
        <v>0.625</v>
      </c>
      <c r="G49" s="154">
        <v>37</v>
      </c>
      <c r="H49" s="145">
        <v>2509</v>
      </c>
      <c r="I49" s="146">
        <f t="shared" ref="I49:I54" si="24">H49*$B$6</f>
        <v>2774.0507600000001</v>
      </c>
      <c r="J49" s="158">
        <f t="shared" ref="J49:J54" si="25">ROUNDUP((I49*$C$9),0)</f>
        <v>12123</v>
      </c>
      <c r="K49" s="251"/>
      <c r="L49" s="251"/>
      <c r="M49" s="251"/>
      <c r="N49" s="251"/>
      <c r="O49" s="251"/>
      <c r="P49" s="252"/>
    </row>
    <row r="50" spans="1:22" s="149" customFormat="1" ht="84" customHeight="1" x14ac:dyDescent="0.25">
      <c r="A50" s="148"/>
      <c r="B50" s="244"/>
      <c r="C50" s="143" t="s">
        <v>542</v>
      </c>
      <c r="D50" s="163" t="s">
        <v>659</v>
      </c>
      <c r="E50" s="164" t="s">
        <v>691</v>
      </c>
      <c r="F50" s="155">
        <v>0.625</v>
      </c>
      <c r="G50" s="154">
        <v>37</v>
      </c>
      <c r="H50" s="145">
        <v>2636</v>
      </c>
      <c r="I50" s="146">
        <f t="shared" si="24"/>
        <v>2914.46704</v>
      </c>
      <c r="J50" s="158">
        <f t="shared" si="25"/>
        <v>12737</v>
      </c>
      <c r="K50" s="253"/>
      <c r="L50" s="253"/>
      <c r="M50" s="253"/>
      <c r="N50" s="253"/>
      <c r="O50" s="253"/>
      <c r="P50" s="254"/>
    </row>
    <row r="51" spans="1:22" s="149" customFormat="1" ht="84" customHeight="1" x14ac:dyDescent="0.25">
      <c r="A51" s="148"/>
      <c r="B51" s="213"/>
      <c r="C51" s="143" t="s">
        <v>543</v>
      </c>
      <c r="D51" s="163" t="s">
        <v>736</v>
      </c>
      <c r="E51" s="164" t="s">
        <v>692</v>
      </c>
      <c r="F51" s="155">
        <v>0.3095</v>
      </c>
      <c r="G51" s="154">
        <v>19</v>
      </c>
      <c r="H51" s="145">
        <v>1283</v>
      </c>
      <c r="I51" s="146">
        <f t="shared" si="24"/>
        <v>1418.53612</v>
      </c>
      <c r="J51" s="158">
        <f t="shared" si="25"/>
        <v>6200</v>
      </c>
      <c r="K51" s="253"/>
      <c r="L51" s="253"/>
      <c r="M51" s="253"/>
      <c r="N51" s="253"/>
      <c r="O51" s="253"/>
      <c r="P51" s="254"/>
    </row>
    <row r="52" spans="1:22" s="149" customFormat="1" ht="84" customHeight="1" x14ac:dyDescent="0.25">
      <c r="A52" s="148"/>
      <c r="B52" s="212"/>
      <c r="C52" s="143" t="s">
        <v>544</v>
      </c>
      <c r="D52" s="173" t="s">
        <v>737</v>
      </c>
      <c r="E52" s="164" t="s">
        <v>693</v>
      </c>
      <c r="F52" s="155">
        <v>0.39960000000000001</v>
      </c>
      <c r="G52" s="165">
        <v>19</v>
      </c>
      <c r="H52" s="145">
        <v>1884</v>
      </c>
      <c r="I52" s="146">
        <f t="shared" si="24"/>
        <v>2083.02576</v>
      </c>
      <c r="J52" s="158">
        <f t="shared" si="25"/>
        <v>9103</v>
      </c>
      <c r="K52" s="253"/>
      <c r="L52" s="253"/>
      <c r="M52" s="253"/>
      <c r="N52" s="253"/>
      <c r="O52" s="253"/>
      <c r="P52" s="254"/>
    </row>
    <row r="53" spans="1:22" s="149" customFormat="1" ht="84" customHeight="1" x14ac:dyDescent="0.25">
      <c r="A53" s="148"/>
      <c r="B53" s="243"/>
      <c r="C53" s="143" t="s">
        <v>120</v>
      </c>
      <c r="D53" s="163" t="s">
        <v>738</v>
      </c>
      <c r="E53" s="164" t="s">
        <v>693</v>
      </c>
      <c r="F53" s="155">
        <v>0.39960000000000001</v>
      </c>
      <c r="G53" s="165">
        <v>16.5</v>
      </c>
      <c r="H53" s="145">
        <v>1578</v>
      </c>
      <c r="I53" s="146">
        <f>H53*$B$6</f>
        <v>1744.69992</v>
      </c>
      <c r="J53" s="158">
        <f>ROUNDUP((I53*$C$9),0)</f>
        <v>7625</v>
      </c>
      <c r="K53" s="253"/>
      <c r="L53" s="253"/>
      <c r="M53" s="253"/>
      <c r="N53" s="253"/>
      <c r="O53" s="253"/>
      <c r="P53" s="254"/>
    </row>
    <row r="54" spans="1:22" s="149" customFormat="1" ht="84" customHeight="1" x14ac:dyDescent="0.25">
      <c r="A54" s="148"/>
      <c r="B54" s="244"/>
      <c r="C54" s="143" t="s">
        <v>545</v>
      </c>
      <c r="D54" s="163" t="s">
        <v>660</v>
      </c>
      <c r="E54" s="164" t="s">
        <v>693</v>
      </c>
      <c r="F54" s="155">
        <v>0.39960000000000001</v>
      </c>
      <c r="G54" s="165">
        <v>16.5</v>
      </c>
      <c r="H54" s="145">
        <v>1848</v>
      </c>
      <c r="I54" s="146">
        <f t="shared" si="24"/>
        <v>2043.22272</v>
      </c>
      <c r="J54" s="158">
        <f t="shared" si="25"/>
        <v>8929</v>
      </c>
      <c r="K54" s="255"/>
      <c r="L54" s="255"/>
      <c r="M54" s="255"/>
      <c r="N54" s="255"/>
      <c r="O54" s="255"/>
      <c r="P54" s="256"/>
    </row>
    <row r="55" spans="1:22" s="142" customFormat="1" x14ac:dyDescent="0.25">
      <c r="A55" s="137"/>
      <c r="B55" s="137"/>
      <c r="C55" s="117"/>
      <c r="D55" s="117"/>
      <c r="E55" s="117"/>
      <c r="F55" s="132"/>
      <c r="G55" s="119"/>
      <c r="H55" s="133"/>
      <c r="I55" s="159"/>
      <c r="J55" s="117"/>
      <c r="K55" s="133"/>
      <c r="L55" s="134"/>
      <c r="M55" s="117"/>
      <c r="N55" s="133"/>
      <c r="O55" s="134"/>
      <c r="P55" s="117"/>
      <c r="Q55" s="137"/>
      <c r="R55" s="137"/>
      <c r="S55" s="137"/>
      <c r="T55" s="137"/>
      <c r="U55" s="137"/>
      <c r="V55" s="137"/>
    </row>
    <row r="56" spans="1:22" s="142" customFormat="1" x14ac:dyDescent="0.25">
      <c r="A56" s="137"/>
      <c r="B56" s="137"/>
      <c r="C56" s="117"/>
      <c r="D56" s="117"/>
      <c r="E56" s="117"/>
      <c r="F56" s="132"/>
      <c r="G56" s="119"/>
      <c r="H56" s="133"/>
      <c r="I56" s="159"/>
      <c r="J56" s="117"/>
      <c r="K56" s="133"/>
      <c r="L56" s="134"/>
      <c r="M56" s="117"/>
      <c r="N56" s="133"/>
      <c r="O56" s="134"/>
      <c r="P56" s="117"/>
      <c r="Q56" s="137"/>
      <c r="R56" s="137"/>
      <c r="S56" s="137"/>
      <c r="T56" s="137"/>
      <c r="U56" s="137"/>
      <c r="V56" s="137"/>
    </row>
    <row r="57" spans="1:22" s="142" customFormat="1" ht="42" customHeight="1" x14ac:dyDescent="0.25">
      <c r="A57" s="137"/>
      <c r="B57" s="257" t="s">
        <v>641</v>
      </c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137"/>
      <c r="R57" s="137"/>
      <c r="S57" s="137"/>
      <c r="T57" s="137"/>
      <c r="U57" s="137"/>
      <c r="V57" s="137"/>
    </row>
    <row r="58" spans="1:22" s="142" customFormat="1" ht="16.5" customHeight="1" x14ac:dyDescent="0.25">
      <c r="A58" s="137"/>
      <c r="B58" s="138" t="s">
        <v>507</v>
      </c>
      <c r="C58" s="139" t="s">
        <v>523</v>
      </c>
      <c r="D58" s="139" t="s">
        <v>508</v>
      </c>
      <c r="E58" s="139" t="s">
        <v>521</v>
      </c>
      <c r="F58" s="140" t="s">
        <v>764</v>
      </c>
      <c r="G58" s="141" t="s">
        <v>520</v>
      </c>
      <c r="H58" s="139" t="s">
        <v>495</v>
      </c>
      <c r="I58" s="139"/>
      <c r="J58" s="139" t="s">
        <v>522</v>
      </c>
      <c r="K58" s="139" t="s">
        <v>751</v>
      </c>
      <c r="L58" s="139"/>
      <c r="M58" s="139" t="s">
        <v>751</v>
      </c>
      <c r="N58" s="139" t="s">
        <v>742</v>
      </c>
      <c r="O58" s="139"/>
      <c r="P58" s="139" t="s">
        <v>742</v>
      </c>
      <c r="Q58" s="137"/>
      <c r="R58" s="137"/>
      <c r="S58" s="137"/>
      <c r="T58" s="137"/>
      <c r="U58" s="137"/>
      <c r="V58" s="137"/>
    </row>
    <row r="59" spans="1:22" s="149" customFormat="1" ht="84" customHeight="1" x14ac:dyDescent="0.25">
      <c r="A59" s="148"/>
      <c r="B59" s="243"/>
      <c r="C59" s="143" t="s">
        <v>547</v>
      </c>
      <c r="D59" s="175" t="s">
        <v>739</v>
      </c>
      <c r="E59" s="176" t="s">
        <v>694</v>
      </c>
      <c r="F59" s="160">
        <v>0.46010000000000001</v>
      </c>
      <c r="G59" s="151">
        <v>21.7</v>
      </c>
      <c r="H59" s="145">
        <v>1914</v>
      </c>
      <c r="I59" s="146">
        <f t="shared" ref="I59:I69" si="26">H59*$B$6</f>
        <v>2116.1949599999998</v>
      </c>
      <c r="J59" s="158">
        <f t="shared" ref="J59:J69" si="27">ROUNDUP((I59*$C$9),0)</f>
        <v>9248</v>
      </c>
      <c r="K59" s="291"/>
      <c r="L59" s="291"/>
      <c r="M59" s="291"/>
      <c r="N59" s="291"/>
      <c r="O59" s="291"/>
      <c r="P59" s="291"/>
    </row>
    <row r="60" spans="1:22" s="149" customFormat="1" ht="84" customHeight="1" x14ac:dyDescent="0.25">
      <c r="A60" s="148"/>
      <c r="B60" s="244"/>
      <c r="C60" s="143" t="s">
        <v>548</v>
      </c>
      <c r="D60" s="175" t="s">
        <v>661</v>
      </c>
      <c r="E60" s="176" t="s">
        <v>694</v>
      </c>
      <c r="F60" s="160">
        <v>0.46010000000000001</v>
      </c>
      <c r="G60" s="151">
        <v>21.7</v>
      </c>
      <c r="H60" s="145">
        <v>2038</v>
      </c>
      <c r="I60" s="146">
        <f t="shared" si="26"/>
        <v>2253.29432</v>
      </c>
      <c r="J60" s="158">
        <f t="shared" si="27"/>
        <v>9847</v>
      </c>
      <c r="K60" s="291"/>
      <c r="L60" s="291"/>
      <c r="M60" s="291"/>
      <c r="N60" s="291"/>
      <c r="O60" s="291"/>
      <c r="P60" s="291"/>
    </row>
    <row r="61" spans="1:22" s="149" customFormat="1" ht="84" customHeight="1" x14ac:dyDescent="0.25">
      <c r="A61" s="148"/>
      <c r="B61" s="213"/>
      <c r="C61" s="143" t="s">
        <v>361</v>
      </c>
      <c r="D61" s="163" t="s">
        <v>602</v>
      </c>
      <c r="E61" s="164" t="s">
        <v>724</v>
      </c>
      <c r="F61" s="160">
        <v>0.57940000000000003</v>
      </c>
      <c r="G61" s="165">
        <v>34.5</v>
      </c>
      <c r="H61" s="145">
        <v>2783</v>
      </c>
      <c r="I61" s="146">
        <f t="shared" ref="I61" si="28">H61*$B$6</f>
        <v>3076.9961199999998</v>
      </c>
      <c r="J61" s="147">
        <f t="shared" ref="J61" si="29">ROUNDUP((I61*$C$9),0)</f>
        <v>13447</v>
      </c>
      <c r="K61" s="145">
        <v>3162</v>
      </c>
      <c r="L61" s="146">
        <f t="shared" ref="L61" si="30">K61*$B$6</f>
        <v>3496.03368</v>
      </c>
      <c r="M61" s="147">
        <f t="shared" ref="M61" si="31">ROUNDUP((L61*$C$9),0)</f>
        <v>15278</v>
      </c>
      <c r="N61" s="145">
        <v>4105</v>
      </c>
      <c r="O61" s="146">
        <f t="shared" ref="O61:O69" si="32">N61*$B$6</f>
        <v>4538.6521999999995</v>
      </c>
      <c r="P61" s="147">
        <f t="shared" ref="P61:P69" si="33">ROUNDUP((O61*$C$9),0)</f>
        <v>19834</v>
      </c>
    </row>
    <row r="62" spans="1:22" s="149" customFormat="1" ht="84" customHeight="1" x14ac:dyDescent="0.25">
      <c r="A62" s="148"/>
      <c r="B62" s="213"/>
      <c r="C62" s="143" t="s">
        <v>362</v>
      </c>
      <c r="D62" s="163" t="s">
        <v>600</v>
      </c>
      <c r="E62" s="164" t="s">
        <v>724</v>
      </c>
      <c r="F62" s="160">
        <v>0.62270000000000003</v>
      </c>
      <c r="G62" s="165">
        <v>37.5</v>
      </c>
      <c r="H62" s="145">
        <v>3085</v>
      </c>
      <c r="I62" s="146">
        <f t="shared" si="26"/>
        <v>3410.8993999999998</v>
      </c>
      <c r="J62" s="147">
        <f t="shared" si="27"/>
        <v>14906</v>
      </c>
      <c r="K62" s="145">
        <v>3540</v>
      </c>
      <c r="L62" s="146">
        <f t="shared" ref="L62:L69" si="34">K62*$B$6</f>
        <v>3913.9656</v>
      </c>
      <c r="M62" s="147">
        <f t="shared" ref="M62:M69" si="35">ROUNDUP((L62*$C$9),0)</f>
        <v>17105</v>
      </c>
      <c r="N62" s="145">
        <v>4671</v>
      </c>
      <c r="O62" s="146">
        <f t="shared" si="32"/>
        <v>5164.4444400000002</v>
      </c>
      <c r="P62" s="147">
        <f t="shared" si="33"/>
        <v>22569</v>
      </c>
    </row>
    <row r="63" spans="1:22" s="149" customFormat="1" ht="84" customHeight="1" x14ac:dyDescent="0.25">
      <c r="A63" s="148"/>
      <c r="B63" s="213"/>
      <c r="C63" s="143" t="s">
        <v>549</v>
      </c>
      <c r="D63" s="173" t="s">
        <v>601</v>
      </c>
      <c r="E63" s="164" t="s">
        <v>515</v>
      </c>
      <c r="F63" s="160">
        <v>0.37190000000000001</v>
      </c>
      <c r="G63" s="165">
        <v>18.75</v>
      </c>
      <c r="H63" s="145">
        <v>2006</v>
      </c>
      <c r="I63" s="146">
        <f t="shared" si="26"/>
        <v>2217.9138399999997</v>
      </c>
      <c r="J63" s="147">
        <f t="shared" si="27"/>
        <v>9693</v>
      </c>
      <c r="K63" s="145">
        <v>2157</v>
      </c>
      <c r="L63" s="146">
        <f t="shared" si="34"/>
        <v>2384.8654799999999</v>
      </c>
      <c r="M63" s="147">
        <f t="shared" si="35"/>
        <v>10422</v>
      </c>
      <c r="N63" s="145">
        <v>2534</v>
      </c>
      <c r="O63" s="146">
        <f t="shared" si="32"/>
        <v>2801.6917599999997</v>
      </c>
      <c r="P63" s="147">
        <f t="shared" si="33"/>
        <v>12244</v>
      </c>
    </row>
    <row r="64" spans="1:22" s="149" customFormat="1" ht="84" customHeight="1" x14ac:dyDescent="0.25">
      <c r="A64" s="148"/>
      <c r="B64" s="243"/>
      <c r="C64" s="143" t="s">
        <v>353</v>
      </c>
      <c r="D64" s="273" t="s">
        <v>603</v>
      </c>
      <c r="E64" s="164" t="s">
        <v>766</v>
      </c>
      <c r="F64" s="160">
        <v>1.2898000000000001</v>
      </c>
      <c r="G64" s="165">
        <v>84.9</v>
      </c>
      <c r="H64" s="145">
        <v>5269</v>
      </c>
      <c r="I64" s="146">
        <f t="shared" si="26"/>
        <v>5825.6171599999998</v>
      </c>
      <c r="J64" s="147">
        <f t="shared" si="27"/>
        <v>25458</v>
      </c>
      <c r="K64" s="145">
        <v>6180</v>
      </c>
      <c r="L64" s="146">
        <f t="shared" si="34"/>
        <v>6832.8552</v>
      </c>
      <c r="M64" s="147">
        <f t="shared" si="35"/>
        <v>29860</v>
      </c>
      <c r="N64" s="145">
        <v>8442</v>
      </c>
      <c r="O64" s="146">
        <f t="shared" si="32"/>
        <v>9333.8128799999995</v>
      </c>
      <c r="P64" s="147">
        <f t="shared" si="33"/>
        <v>40789</v>
      </c>
    </row>
    <row r="65" spans="1:22" s="149" customFormat="1" ht="84" customHeight="1" x14ac:dyDescent="0.25">
      <c r="A65" s="148"/>
      <c r="B65" s="272"/>
      <c r="C65" s="143" t="s">
        <v>550</v>
      </c>
      <c r="D65" s="274"/>
      <c r="E65" s="164" t="s">
        <v>733</v>
      </c>
      <c r="F65" s="160">
        <v>1.4144000000000001</v>
      </c>
      <c r="G65" s="165">
        <v>93.33</v>
      </c>
      <c r="H65" s="145">
        <v>5563</v>
      </c>
      <c r="I65" s="146">
        <f t="shared" ref="I65" si="36">H65*$B$6</f>
        <v>6150.6753199999994</v>
      </c>
      <c r="J65" s="147">
        <f t="shared" ref="J65" si="37">ROUNDUP((I65*$C$9),0)</f>
        <v>26879</v>
      </c>
      <c r="K65" s="145">
        <v>6355</v>
      </c>
      <c r="L65" s="146">
        <f t="shared" si="34"/>
        <v>7026.3422</v>
      </c>
      <c r="M65" s="147">
        <f t="shared" si="35"/>
        <v>30706</v>
      </c>
      <c r="N65" s="145">
        <v>8999</v>
      </c>
      <c r="O65" s="146">
        <f t="shared" si="32"/>
        <v>9949.6543600000005</v>
      </c>
      <c r="P65" s="147">
        <f t="shared" si="33"/>
        <v>43480</v>
      </c>
    </row>
    <row r="66" spans="1:22" s="149" customFormat="1" ht="84" customHeight="1" x14ac:dyDescent="0.25">
      <c r="A66" s="148"/>
      <c r="B66" s="244"/>
      <c r="C66" s="143" t="s">
        <v>551</v>
      </c>
      <c r="D66" s="275"/>
      <c r="E66" s="164" t="s">
        <v>728</v>
      </c>
      <c r="F66" s="160">
        <v>1.5389999999999999</v>
      </c>
      <c r="G66" s="165">
        <v>101</v>
      </c>
      <c r="H66" s="145">
        <v>5912</v>
      </c>
      <c r="I66" s="146">
        <f t="shared" si="26"/>
        <v>6536.5436799999998</v>
      </c>
      <c r="J66" s="147">
        <f t="shared" si="27"/>
        <v>28565</v>
      </c>
      <c r="K66" s="145">
        <v>6974</v>
      </c>
      <c r="L66" s="146">
        <f t="shared" si="34"/>
        <v>7710.7333599999993</v>
      </c>
      <c r="M66" s="147">
        <f t="shared" si="35"/>
        <v>33696</v>
      </c>
      <c r="N66" s="145">
        <v>9613</v>
      </c>
      <c r="O66" s="146">
        <f t="shared" si="32"/>
        <v>10628.517319999999</v>
      </c>
      <c r="P66" s="147">
        <f t="shared" si="33"/>
        <v>46447</v>
      </c>
    </row>
    <row r="67" spans="1:22" s="149" customFormat="1" ht="84" customHeight="1" x14ac:dyDescent="0.25">
      <c r="A67" s="148"/>
      <c r="B67" s="213"/>
      <c r="C67" s="143" t="s">
        <v>354</v>
      </c>
      <c r="D67" s="163" t="s">
        <v>605</v>
      </c>
      <c r="E67" s="164" t="s">
        <v>734</v>
      </c>
      <c r="F67" s="160">
        <v>1.2462</v>
      </c>
      <c r="G67" s="165">
        <v>59</v>
      </c>
      <c r="H67" s="145">
        <v>4474</v>
      </c>
      <c r="I67" s="146">
        <f t="shared" si="26"/>
        <v>4946.6333599999998</v>
      </c>
      <c r="J67" s="147">
        <f t="shared" si="27"/>
        <v>21617</v>
      </c>
      <c r="K67" s="145">
        <v>5233</v>
      </c>
      <c r="L67" s="146">
        <f t="shared" si="34"/>
        <v>5785.81412</v>
      </c>
      <c r="M67" s="147">
        <f t="shared" si="35"/>
        <v>25285</v>
      </c>
      <c r="N67" s="145">
        <v>7118</v>
      </c>
      <c r="O67" s="146">
        <f t="shared" si="32"/>
        <v>7869.9455199999993</v>
      </c>
      <c r="P67" s="147">
        <f t="shared" si="33"/>
        <v>34392</v>
      </c>
    </row>
    <row r="68" spans="1:22" s="149" customFormat="1" ht="84" customHeight="1" x14ac:dyDescent="0.25">
      <c r="A68" s="148"/>
      <c r="B68" s="213"/>
      <c r="C68" s="143" t="s">
        <v>355</v>
      </c>
      <c r="D68" s="163" t="s">
        <v>606</v>
      </c>
      <c r="E68" s="164" t="s">
        <v>734</v>
      </c>
      <c r="F68" s="160">
        <v>1.2462</v>
      </c>
      <c r="G68" s="165">
        <v>59</v>
      </c>
      <c r="H68" s="145">
        <v>4474</v>
      </c>
      <c r="I68" s="146">
        <f t="shared" ref="I68" si="38">H68*$B$6</f>
        <v>4946.6333599999998</v>
      </c>
      <c r="J68" s="147">
        <f t="shared" ref="J68" si="39">ROUNDUP((I68*$C$9),0)</f>
        <v>21617</v>
      </c>
      <c r="K68" s="145">
        <v>5233</v>
      </c>
      <c r="L68" s="146">
        <f t="shared" ref="L68" si="40">K68*$B$6</f>
        <v>5785.81412</v>
      </c>
      <c r="M68" s="147">
        <f t="shared" ref="M68" si="41">ROUNDUP((L68*$C$9),0)</f>
        <v>25285</v>
      </c>
      <c r="N68" s="145">
        <v>7118</v>
      </c>
      <c r="O68" s="146">
        <f t="shared" ref="O68" si="42">N68*$B$6</f>
        <v>7869.9455199999993</v>
      </c>
      <c r="P68" s="147">
        <f t="shared" ref="P68" si="43">ROUNDUP((O68*$C$9),0)</f>
        <v>34392</v>
      </c>
    </row>
    <row r="69" spans="1:22" s="149" customFormat="1" ht="84" customHeight="1" x14ac:dyDescent="0.25">
      <c r="A69" s="148"/>
      <c r="B69" s="213"/>
      <c r="C69" s="143" t="s">
        <v>488</v>
      </c>
      <c r="D69" s="163" t="s">
        <v>604</v>
      </c>
      <c r="E69" s="164" t="s">
        <v>731</v>
      </c>
      <c r="F69" s="160">
        <v>1.2024999999999999</v>
      </c>
      <c r="G69" s="165">
        <v>60</v>
      </c>
      <c r="H69" s="145">
        <v>4429</v>
      </c>
      <c r="I69" s="146">
        <f t="shared" si="26"/>
        <v>4896.8795599999994</v>
      </c>
      <c r="J69" s="147">
        <f t="shared" si="27"/>
        <v>21400</v>
      </c>
      <c r="K69" s="145">
        <v>5112</v>
      </c>
      <c r="L69" s="146">
        <f t="shared" si="34"/>
        <v>5652.0316800000001</v>
      </c>
      <c r="M69" s="147">
        <f t="shared" si="35"/>
        <v>24700</v>
      </c>
      <c r="N69" s="145">
        <v>6809</v>
      </c>
      <c r="O69" s="146">
        <f t="shared" si="32"/>
        <v>7528.3027599999996</v>
      </c>
      <c r="P69" s="147">
        <f t="shared" si="33"/>
        <v>32899</v>
      </c>
    </row>
    <row r="70" spans="1:22" s="142" customFormat="1" ht="11.25" customHeight="1" x14ac:dyDescent="0.25">
      <c r="A70" s="137"/>
      <c r="B70" s="137"/>
      <c r="C70" s="117"/>
      <c r="D70" s="117"/>
      <c r="E70" s="117"/>
      <c r="F70" s="132"/>
      <c r="G70" s="119"/>
      <c r="H70" s="133"/>
      <c r="I70" s="134"/>
      <c r="J70" s="117"/>
      <c r="K70" s="133"/>
      <c r="L70" s="134"/>
      <c r="M70" s="117"/>
      <c r="P70" s="117"/>
      <c r="Q70" s="137"/>
      <c r="R70" s="137"/>
      <c r="S70" s="137"/>
      <c r="T70" s="137"/>
      <c r="U70" s="137"/>
      <c r="V70" s="137"/>
    </row>
    <row r="71" spans="1:22" s="142" customFormat="1" ht="11.25" customHeight="1" x14ac:dyDescent="0.25">
      <c r="A71" s="137"/>
      <c r="B71" s="137"/>
      <c r="C71" s="117"/>
      <c r="D71" s="117"/>
      <c r="E71" s="117"/>
      <c r="F71" s="132"/>
      <c r="G71" s="119"/>
      <c r="H71" s="133"/>
      <c r="I71" s="134"/>
      <c r="J71" s="117"/>
      <c r="K71" s="133"/>
      <c r="L71" s="134"/>
      <c r="M71" s="117"/>
      <c r="P71" s="117"/>
      <c r="Q71" s="137"/>
      <c r="R71" s="137"/>
      <c r="S71" s="137"/>
      <c r="T71" s="137"/>
      <c r="U71" s="137"/>
      <c r="V71" s="137"/>
    </row>
    <row r="72" spans="1:22" s="142" customFormat="1" ht="42" customHeight="1" x14ac:dyDescent="0.25">
      <c r="A72" s="137"/>
      <c r="B72" s="257" t="s">
        <v>642</v>
      </c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137"/>
      <c r="R72" s="137"/>
      <c r="S72" s="137"/>
      <c r="T72" s="137"/>
      <c r="U72" s="137"/>
      <c r="V72" s="137"/>
    </row>
    <row r="73" spans="1:22" s="142" customFormat="1" ht="16.5" customHeight="1" x14ac:dyDescent="0.25">
      <c r="A73" s="137"/>
      <c r="B73" s="138" t="s">
        <v>507</v>
      </c>
      <c r="C73" s="139" t="s">
        <v>523</v>
      </c>
      <c r="D73" s="139" t="s">
        <v>508</v>
      </c>
      <c r="E73" s="139" t="s">
        <v>521</v>
      </c>
      <c r="F73" s="140" t="s">
        <v>764</v>
      </c>
      <c r="G73" s="141" t="s">
        <v>520</v>
      </c>
      <c r="H73" s="139" t="s">
        <v>495</v>
      </c>
      <c r="I73" s="139"/>
      <c r="J73" s="139" t="s">
        <v>522</v>
      </c>
      <c r="K73" s="139" t="s">
        <v>751</v>
      </c>
      <c r="L73" s="139"/>
      <c r="M73" s="139" t="s">
        <v>751</v>
      </c>
      <c r="N73" s="139" t="s">
        <v>742</v>
      </c>
      <c r="O73" s="139"/>
      <c r="P73" s="139" t="s">
        <v>742</v>
      </c>
      <c r="Q73" s="137"/>
      <c r="R73" s="137"/>
      <c r="S73" s="137"/>
      <c r="T73" s="137"/>
      <c r="U73" s="137"/>
      <c r="V73" s="137"/>
    </row>
    <row r="74" spans="1:22" s="149" customFormat="1" ht="84" customHeight="1" x14ac:dyDescent="0.25">
      <c r="A74" s="148"/>
      <c r="B74" s="243"/>
      <c r="C74" s="143" t="s">
        <v>368</v>
      </c>
      <c r="D74" s="150" t="s">
        <v>662</v>
      </c>
      <c r="E74" s="147" t="s">
        <v>735</v>
      </c>
      <c r="F74" s="155">
        <v>0.33860000000000001</v>
      </c>
      <c r="G74" s="177">
        <v>4.5999999999999996</v>
      </c>
      <c r="H74" s="157">
        <v>725</v>
      </c>
      <c r="I74" s="146">
        <f t="shared" ref="I74:I82" si="44">H74*$B$6</f>
        <v>801.58899999999994</v>
      </c>
      <c r="J74" s="158">
        <f t="shared" ref="J74:J81" si="45">ROUNDUP((I74*$C$9),0)</f>
        <v>3503</v>
      </c>
      <c r="K74" s="290"/>
      <c r="L74" s="290"/>
      <c r="M74" s="290"/>
      <c r="N74" s="290"/>
      <c r="O74" s="290"/>
      <c r="P74" s="290"/>
    </row>
    <row r="75" spans="1:22" s="149" customFormat="1" ht="84" customHeight="1" x14ac:dyDescent="0.25">
      <c r="A75" s="148"/>
      <c r="B75" s="244"/>
      <c r="C75" s="143" t="s">
        <v>552</v>
      </c>
      <c r="D75" s="150" t="s">
        <v>663</v>
      </c>
      <c r="E75" s="147" t="s">
        <v>735</v>
      </c>
      <c r="F75" s="155">
        <v>0.33860000000000001</v>
      </c>
      <c r="G75" s="177">
        <v>4.5999999999999996</v>
      </c>
      <c r="H75" s="157">
        <v>759</v>
      </c>
      <c r="I75" s="146">
        <f t="shared" si="44"/>
        <v>839.18075999999996</v>
      </c>
      <c r="J75" s="158">
        <f t="shared" si="45"/>
        <v>3668</v>
      </c>
      <c r="K75" s="290"/>
      <c r="L75" s="290"/>
      <c r="M75" s="290"/>
      <c r="N75" s="290"/>
      <c r="O75" s="290"/>
      <c r="P75" s="290"/>
    </row>
    <row r="76" spans="1:22" s="149" customFormat="1" ht="84" customHeight="1" x14ac:dyDescent="0.25">
      <c r="A76" s="148"/>
      <c r="B76" s="243"/>
      <c r="C76" s="143" t="s">
        <v>369</v>
      </c>
      <c r="D76" s="150" t="s">
        <v>664</v>
      </c>
      <c r="E76" s="147" t="s">
        <v>695</v>
      </c>
      <c r="F76" s="155">
        <v>0.32150000000000001</v>
      </c>
      <c r="G76" s="177">
        <v>4.4000000000000004</v>
      </c>
      <c r="H76" s="157">
        <v>686</v>
      </c>
      <c r="I76" s="146">
        <f t="shared" si="44"/>
        <v>758.46903999999995</v>
      </c>
      <c r="J76" s="158">
        <f t="shared" si="45"/>
        <v>3315</v>
      </c>
      <c r="K76" s="290"/>
      <c r="L76" s="290"/>
      <c r="M76" s="290"/>
      <c r="N76" s="290"/>
      <c r="O76" s="290"/>
      <c r="P76" s="290"/>
    </row>
    <row r="77" spans="1:22" s="149" customFormat="1" ht="84" customHeight="1" x14ac:dyDescent="0.25">
      <c r="A77" s="148"/>
      <c r="B77" s="244"/>
      <c r="C77" s="143" t="s">
        <v>553</v>
      </c>
      <c r="D77" s="150" t="s">
        <v>665</v>
      </c>
      <c r="E77" s="147" t="s">
        <v>695</v>
      </c>
      <c r="F77" s="155">
        <v>0.32150000000000001</v>
      </c>
      <c r="G77" s="177">
        <v>4.4000000000000004</v>
      </c>
      <c r="H77" s="157">
        <v>726</v>
      </c>
      <c r="I77" s="146">
        <f t="shared" si="44"/>
        <v>802.69463999999994</v>
      </c>
      <c r="J77" s="158">
        <f t="shared" si="45"/>
        <v>3508</v>
      </c>
      <c r="K77" s="290"/>
      <c r="L77" s="290"/>
      <c r="M77" s="290"/>
      <c r="N77" s="290"/>
      <c r="O77" s="290"/>
      <c r="P77" s="290"/>
    </row>
    <row r="78" spans="1:22" s="149" customFormat="1" ht="84" customHeight="1" x14ac:dyDescent="0.25">
      <c r="A78" s="148"/>
      <c r="B78" s="243"/>
      <c r="C78" s="143" t="s">
        <v>554</v>
      </c>
      <c r="D78" s="150" t="s">
        <v>645</v>
      </c>
      <c r="E78" s="147" t="s">
        <v>696</v>
      </c>
      <c r="F78" s="155">
        <v>0.43309999999999998</v>
      </c>
      <c r="G78" s="177">
        <v>10.1</v>
      </c>
      <c r="H78" s="157">
        <v>952</v>
      </c>
      <c r="I78" s="146">
        <f t="shared" si="44"/>
        <v>1052.5692799999999</v>
      </c>
      <c r="J78" s="158">
        <f t="shared" si="45"/>
        <v>4600</v>
      </c>
      <c r="K78" s="290"/>
      <c r="L78" s="290"/>
      <c r="M78" s="290"/>
      <c r="N78" s="290"/>
      <c r="O78" s="290"/>
      <c r="P78" s="290"/>
    </row>
    <row r="79" spans="1:22" s="149" customFormat="1" ht="84" customHeight="1" x14ac:dyDescent="0.25">
      <c r="A79" s="148"/>
      <c r="B79" s="244"/>
      <c r="C79" s="143" t="s">
        <v>555</v>
      </c>
      <c r="D79" s="150" t="s">
        <v>666</v>
      </c>
      <c r="E79" s="147" t="s">
        <v>696</v>
      </c>
      <c r="F79" s="155">
        <v>0.43309999999999998</v>
      </c>
      <c r="G79" s="177">
        <v>10.1</v>
      </c>
      <c r="H79" s="157">
        <v>1019</v>
      </c>
      <c r="I79" s="146">
        <f t="shared" si="44"/>
        <v>1126.64716</v>
      </c>
      <c r="J79" s="158">
        <f t="shared" si="45"/>
        <v>4924</v>
      </c>
      <c r="K79" s="290"/>
      <c r="L79" s="290"/>
      <c r="M79" s="290"/>
      <c r="N79" s="290"/>
      <c r="O79" s="290"/>
      <c r="P79" s="290"/>
    </row>
    <row r="80" spans="1:22" s="149" customFormat="1" ht="84" customHeight="1" x14ac:dyDescent="0.25">
      <c r="A80" s="148"/>
      <c r="B80" s="243"/>
      <c r="C80" s="143" t="s">
        <v>371</v>
      </c>
      <c r="D80" s="150" t="s">
        <v>667</v>
      </c>
      <c r="E80" s="147" t="s">
        <v>697</v>
      </c>
      <c r="F80" s="155">
        <v>0.4577</v>
      </c>
      <c r="G80" s="151">
        <v>10.4</v>
      </c>
      <c r="H80" s="157">
        <v>1696</v>
      </c>
      <c r="I80" s="146">
        <f t="shared" si="44"/>
        <v>1875.16544</v>
      </c>
      <c r="J80" s="158">
        <f>ROUNDUP((I80*$C$9),0)</f>
        <v>8195</v>
      </c>
      <c r="K80" s="290"/>
      <c r="L80" s="290"/>
      <c r="M80" s="290"/>
      <c r="N80" s="290"/>
      <c r="O80" s="290"/>
      <c r="P80" s="290"/>
    </row>
    <row r="81" spans="1:22" s="149" customFormat="1" ht="84" customHeight="1" x14ac:dyDescent="0.25">
      <c r="A81" s="148"/>
      <c r="B81" s="244"/>
      <c r="C81" s="143" t="s">
        <v>556</v>
      </c>
      <c r="D81" s="150" t="s">
        <v>668</v>
      </c>
      <c r="E81" s="147" t="s">
        <v>697</v>
      </c>
      <c r="F81" s="155">
        <v>0.4577</v>
      </c>
      <c r="G81" s="151">
        <v>10.4</v>
      </c>
      <c r="H81" s="157">
        <v>1879</v>
      </c>
      <c r="I81" s="146">
        <f t="shared" si="44"/>
        <v>2077.4975599999998</v>
      </c>
      <c r="J81" s="158">
        <f t="shared" si="45"/>
        <v>9079</v>
      </c>
      <c r="K81" s="290"/>
      <c r="L81" s="290"/>
      <c r="M81" s="290"/>
      <c r="N81" s="290"/>
      <c r="O81" s="290"/>
      <c r="P81" s="290"/>
    </row>
    <row r="82" spans="1:22" s="149" customFormat="1" ht="84" customHeight="1" x14ac:dyDescent="0.25">
      <c r="A82" s="148"/>
      <c r="B82" s="213"/>
      <c r="C82" s="143" t="s">
        <v>376</v>
      </c>
      <c r="D82" s="150" t="s">
        <v>607</v>
      </c>
      <c r="E82" s="147" t="s">
        <v>698</v>
      </c>
      <c r="F82" s="155">
        <v>0.4546</v>
      </c>
      <c r="G82" s="151">
        <v>13.5</v>
      </c>
      <c r="H82" s="145">
        <v>2589</v>
      </c>
      <c r="I82" s="146">
        <f t="shared" si="44"/>
        <v>2862.5019600000001</v>
      </c>
      <c r="J82" s="147">
        <f>ROUNDUP((I82*$C$9),0)</f>
        <v>12510</v>
      </c>
      <c r="K82" s="145">
        <v>2969</v>
      </c>
      <c r="L82" s="146">
        <f t="shared" ref="L82" si="46">K82*$B$6</f>
        <v>3282.64516</v>
      </c>
      <c r="M82" s="147">
        <f>ROUNDUP((L82*$C$9),0)</f>
        <v>14346</v>
      </c>
      <c r="N82" s="145">
        <v>3912</v>
      </c>
      <c r="O82" s="146">
        <f t="shared" ref="O82:O89" si="47">N82*$B$6</f>
        <v>4325.26368</v>
      </c>
      <c r="P82" s="147">
        <f>ROUNDUP((O82*$C$9),0)</f>
        <v>18902</v>
      </c>
    </row>
    <row r="83" spans="1:22" s="149" customFormat="1" ht="84" customHeight="1" x14ac:dyDescent="0.25">
      <c r="A83" s="148"/>
      <c r="B83" s="213"/>
      <c r="C83" s="143" t="s">
        <v>370</v>
      </c>
      <c r="D83" s="150" t="s">
        <v>608</v>
      </c>
      <c r="E83" s="147" t="s">
        <v>699</v>
      </c>
      <c r="F83" s="155">
        <v>0.50939999999999996</v>
      </c>
      <c r="G83" s="151">
        <v>14</v>
      </c>
      <c r="H83" s="145">
        <v>3017</v>
      </c>
      <c r="I83" s="146">
        <f t="shared" ref="I83:I89" si="48">H83*$B$6</f>
        <v>3335.7158799999997</v>
      </c>
      <c r="J83" s="147">
        <f t="shared" ref="J83:J89" si="49">ROUNDUP((I83*$C$9),0)</f>
        <v>14578</v>
      </c>
      <c r="K83" s="145">
        <v>3472</v>
      </c>
      <c r="L83" s="146">
        <f t="shared" ref="L83:L89" si="50">K83*$B$6</f>
        <v>3838.78208</v>
      </c>
      <c r="M83" s="147">
        <f t="shared" ref="M83:M89" si="51">ROUNDUP((L83*$C$9),0)</f>
        <v>16776</v>
      </c>
      <c r="N83" s="145">
        <v>4603</v>
      </c>
      <c r="O83" s="146">
        <f t="shared" si="47"/>
        <v>5089.2609199999997</v>
      </c>
      <c r="P83" s="147">
        <f t="shared" ref="P83:P89" si="52">ROUNDUP((O83*$C$9),0)</f>
        <v>22241</v>
      </c>
    </row>
    <row r="84" spans="1:22" s="149" customFormat="1" ht="84" customHeight="1" x14ac:dyDescent="0.25">
      <c r="A84" s="148"/>
      <c r="B84" s="243"/>
      <c r="C84" s="143" t="s">
        <v>379</v>
      </c>
      <c r="D84" s="286" t="s">
        <v>609</v>
      </c>
      <c r="E84" s="147" t="s">
        <v>700</v>
      </c>
      <c r="F84" s="155">
        <v>0.82709999999999995</v>
      </c>
      <c r="G84" s="151">
        <v>21.7</v>
      </c>
      <c r="H84" s="145">
        <v>4178</v>
      </c>
      <c r="I84" s="146">
        <f t="shared" si="48"/>
        <v>4619.3639199999998</v>
      </c>
      <c r="J84" s="147">
        <f t="shared" si="49"/>
        <v>20187</v>
      </c>
      <c r="K84" s="145">
        <v>4785</v>
      </c>
      <c r="L84" s="146">
        <f t="shared" si="50"/>
        <v>5290.4874</v>
      </c>
      <c r="M84" s="147">
        <f t="shared" si="51"/>
        <v>23120</v>
      </c>
      <c r="N84" s="145">
        <v>6293</v>
      </c>
      <c r="O84" s="146">
        <f t="shared" si="47"/>
        <v>6957.79252</v>
      </c>
      <c r="P84" s="147">
        <f t="shared" si="52"/>
        <v>30406</v>
      </c>
    </row>
    <row r="85" spans="1:22" s="149" customFormat="1" ht="84" customHeight="1" x14ac:dyDescent="0.25">
      <c r="A85" s="148"/>
      <c r="B85" s="272"/>
      <c r="C85" s="143" t="s">
        <v>557</v>
      </c>
      <c r="D85" s="287"/>
      <c r="E85" s="147" t="s">
        <v>701</v>
      </c>
      <c r="F85" s="155">
        <v>1</v>
      </c>
      <c r="G85" s="151">
        <v>26.4</v>
      </c>
      <c r="H85" s="145">
        <v>4353</v>
      </c>
      <c r="I85" s="146">
        <f t="shared" si="48"/>
        <v>4812.8509199999999</v>
      </c>
      <c r="J85" s="147">
        <f t="shared" si="49"/>
        <v>21033</v>
      </c>
      <c r="K85" s="145">
        <v>5036</v>
      </c>
      <c r="L85" s="146">
        <f t="shared" si="50"/>
        <v>5568.0030399999996</v>
      </c>
      <c r="M85" s="147">
        <f t="shared" si="51"/>
        <v>24333</v>
      </c>
      <c r="N85" s="145">
        <v>6733</v>
      </c>
      <c r="O85" s="146">
        <f t="shared" si="47"/>
        <v>7444.27412</v>
      </c>
      <c r="P85" s="147">
        <f t="shared" si="52"/>
        <v>32532</v>
      </c>
    </row>
    <row r="86" spans="1:22" s="149" customFormat="1" ht="84" customHeight="1" x14ac:dyDescent="0.25">
      <c r="A86" s="148"/>
      <c r="B86" s="244"/>
      <c r="C86" s="143" t="s">
        <v>365</v>
      </c>
      <c r="D86" s="288"/>
      <c r="E86" s="147" t="s">
        <v>702</v>
      </c>
      <c r="F86" s="155">
        <v>1.1499999999999999</v>
      </c>
      <c r="G86" s="151">
        <v>30.35</v>
      </c>
      <c r="H86" s="145">
        <v>5278</v>
      </c>
      <c r="I86" s="146">
        <f t="shared" si="48"/>
        <v>5835.5679199999995</v>
      </c>
      <c r="J86" s="147">
        <f t="shared" si="49"/>
        <v>25502</v>
      </c>
      <c r="K86" s="145">
        <v>5961</v>
      </c>
      <c r="L86" s="146">
        <f t="shared" si="50"/>
        <v>6590.7200400000002</v>
      </c>
      <c r="M86" s="147">
        <f t="shared" si="51"/>
        <v>28802</v>
      </c>
      <c r="N86" s="145">
        <v>7657</v>
      </c>
      <c r="O86" s="146">
        <f t="shared" si="47"/>
        <v>8465.885479999999</v>
      </c>
      <c r="P86" s="147">
        <f t="shared" si="52"/>
        <v>36996</v>
      </c>
    </row>
    <row r="87" spans="1:22" s="149" customFormat="1" ht="84" customHeight="1" x14ac:dyDescent="0.25">
      <c r="A87" s="148"/>
      <c r="B87" s="215"/>
      <c r="C87" s="143" t="s">
        <v>364</v>
      </c>
      <c r="D87" s="150" t="s">
        <v>610</v>
      </c>
      <c r="E87" s="147" t="s">
        <v>703</v>
      </c>
      <c r="F87" s="155">
        <v>0.75039999999999996</v>
      </c>
      <c r="G87" s="151">
        <v>18.8</v>
      </c>
      <c r="H87" s="145">
        <v>3746</v>
      </c>
      <c r="I87" s="146">
        <f t="shared" si="48"/>
        <v>4141.7274399999997</v>
      </c>
      <c r="J87" s="147">
        <f t="shared" si="49"/>
        <v>18100</v>
      </c>
      <c r="K87" s="145">
        <v>4352</v>
      </c>
      <c r="L87" s="146">
        <f t="shared" si="50"/>
        <v>4811.7452800000001</v>
      </c>
      <c r="M87" s="147">
        <f t="shared" si="51"/>
        <v>21028</v>
      </c>
      <c r="N87" s="145">
        <v>5861</v>
      </c>
      <c r="O87" s="146">
        <f t="shared" si="47"/>
        <v>6480.1560399999998</v>
      </c>
      <c r="P87" s="147">
        <f t="shared" si="52"/>
        <v>28319</v>
      </c>
    </row>
    <row r="88" spans="1:22" s="149" customFormat="1" ht="84" customHeight="1" x14ac:dyDescent="0.25">
      <c r="A88" s="148"/>
      <c r="B88" s="213"/>
      <c r="C88" s="143" t="s">
        <v>363</v>
      </c>
      <c r="D88" s="150" t="s">
        <v>611</v>
      </c>
      <c r="E88" s="147" t="s">
        <v>703</v>
      </c>
      <c r="F88" s="155">
        <v>0.75039999999999996</v>
      </c>
      <c r="G88" s="151">
        <v>18.8</v>
      </c>
      <c r="H88" s="145">
        <v>3746</v>
      </c>
      <c r="I88" s="146">
        <f t="shared" ref="I88" si="53">H88*$B$6</f>
        <v>4141.7274399999997</v>
      </c>
      <c r="J88" s="147">
        <f t="shared" ref="J88" si="54">ROUNDUP((I88*$C$9),0)</f>
        <v>18100</v>
      </c>
      <c r="K88" s="145">
        <v>4352</v>
      </c>
      <c r="L88" s="146">
        <f t="shared" ref="L88" si="55">K88*$B$6</f>
        <v>4811.7452800000001</v>
      </c>
      <c r="M88" s="147">
        <f t="shared" ref="M88" si="56">ROUNDUP((L88*$C$9),0)</f>
        <v>21028</v>
      </c>
      <c r="N88" s="145">
        <v>5861</v>
      </c>
      <c r="O88" s="146">
        <f t="shared" ref="O88" si="57">N88*$B$6</f>
        <v>6480.1560399999998</v>
      </c>
      <c r="P88" s="147">
        <f t="shared" ref="P88" si="58">ROUNDUP((O88*$C$9),0)</f>
        <v>28319</v>
      </c>
    </row>
    <row r="89" spans="1:22" s="149" customFormat="1" ht="84" customHeight="1" x14ac:dyDescent="0.25">
      <c r="A89" s="148"/>
      <c r="B89" s="213"/>
      <c r="C89" s="143" t="s">
        <v>367</v>
      </c>
      <c r="D89" s="150" t="s">
        <v>740</v>
      </c>
      <c r="E89" s="147" t="s">
        <v>704</v>
      </c>
      <c r="F89" s="155">
        <v>0.7833</v>
      </c>
      <c r="G89" s="151">
        <v>21</v>
      </c>
      <c r="H89" s="145">
        <v>3301</v>
      </c>
      <c r="I89" s="146">
        <f t="shared" si="48"/>
        <v>3649.7176399999998</v>
      </c>
      <c r="J89" s="147">
        <f t="shared" si="49"/>
        <v>15950</v>
      </c>
      <c r="K89" s="145">
        <v>3832</v>
      </c>
      <c r="L89" s="146">
        <f t="shared" si="50"/>
        <v>4236.8124799999996</v>
      </c>
      <c r="M89" s="147">
        <f t="shared" si="51"/>
        <v>18515</v>
      </c>
      <c r="N89" s="145">
        <v>5152</v>
      </c>
      <c r="O89" s="146">
        <f t="shared" si="47"/>
        <v>5696.2572799999998</v>
      </c>
      <c r="P89" s="147">
        <f t="shared" si="52"/>
        <v>24893</v>
      </c>
    </row>
    <row r="92" spans="1:22" s="142" customFormat="1" ht="42" customHeight="1" x14ac:dyDescent="0.25">
      <c r="A92" s="137"/>
      <c r="B92" s="257" t="s">
        <v>643</v>
      </c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137"/>
      <c r="R92" s="137"/>
      <c r="S92" s="137"/>
      <c r="T92" s="137"/>
      <c r="U92" s="137"/>
      <c r="V92" s="137"/>
    </row>
    <row r="93" spans="1:22" s="142" customFormat="1" ht="16.5" customHeight="1" x14ac:dyDescent="0.25">
      <c r="A93" s="137"/>
      <c r="B93" s="138" t="s">
        <v>507</v>
      </c>
      <c r="C93" s="139" t="s">
        <v>523</v>
      </c>
      <c r="D93" s="139" t="s">
        <v>508</v>
      </c>
      <c r="E93" s="139" t="s">
        <v>521</v>
      </c>
      <c r="F93" s="140" t="s">
        <v>764</v>
      </c>
      <c r="G93" s="141" t="s">
        <v>520</v>
      </c>
      <c r="H93" s="139" t="s">
        <v>495</v>
      </c>
      <c r="I93" s="139"/>
      <c r="J93" s="139" t="s">
        <v>522</v>
      </c>
      <c r="K93" s="139" t="s">
        <v>751</v>
      </c>
      <c r="L93" s="139"/>
      <c r="M93" s="139" t="s">
        <v>751</v>
      </c>
      <c r="N93" s="139" t="s">
        <v>742</v>
      </c>
      <c r="O93" s="139"/>
      <c r="P93" s="139" t="s">
        <v>742</v>
      </c>
      <c r="Q93" s="137"/>
      <c r="R93" s="137"/>
      <c r="S93" s="137"/>
      <c r="T93" s="137"/>
      <c r="U93" s="137"/>
      <c r="V93" s="137"/>
    </row>
    <row r="94" spans="1:22" s="149" customFormat="1" ht="63" customHeight="1" x14ac:dyDescent="0.25">
      <c r="A94" s="148"/>
      <c r="B94" s="243"/>
      <c r="C94" s="113" t="s">
        <v>560</v>
      </c>
      <c r="D94" s="279" t="s">
        <v>612</v>
      </c>
      <c r="E94" s="164" t="s">
        <v>707</v>
      </c>
      <c r="F94" s="155">
        <v>0.41099999999999998</v>
      </c>
      <c r="G94" s="187">
        <v>15</v>
      </c>
      <c r="H94" s="145">
        <v>1863</v>
      </c>
      <c r="I94" s="146">
        <f t="shared" ref="I94:I96" si="59">H94*$B$6</f>
        <v>2059.8073199999999</v>
      </c>
      <c r="J94" s="158">
        <f t="shared" ref="J94:J96" si="60">ROUNDUP((I94*$C$9),0)</f>
        <v>9002</v>
      </c>
      <c r="K94" s="281"/>
      <c r="L94" s="281"/>
      <c r="M94" s="281"/>
      <c r="N94" s="281"/>
      <c r="O94" s="281"/>
      <c r="P94" s="281"/>
    </row>
    <row r="95" spans="1:22" s="149" customFormat="1" ht="63" customHeight="1" x14ac:dyDescent="0.25">
      <c r="A95" s="148"/>
      <c r="B95" s="272"/>
      <c r="C95" s="113" t="s">
        <v>559</v>
      </c>
      <c r="D95" s="280"/>
      <c r="E95" s="164" t="s">
        <v>706</v>
      </c>
      <c r="F95" s="155">
        <v>0.46500000000000002</v>
      </c>
      <c r="G95" s="187">
        <v>16</v>
      </c>
      <c r="H95" s="145">
        <v>2013</v>
      </c>
      <c r="I95" s="146">
        <f t="shared" si="59"/>
        <v>2225.6533199999999</v>
      </c>
      <c r="J95" s="158">
        <f t="shared" si="60"/>
        <v>9727</v>
      </c>
      <c r="K95" s="281"/>
      <c r="L95" s="281"/>
      <c r="M95" s="281"/>
      <c r="N95" s="281"/>
      <c r="O95" s="281"/>
      <c r="P95" s="281"/>
    </row>
    <row r="96" spans="1:22" s="149" customFormat="1" ht="63" customHeight="1" x14ac:dyDescent="0.25">
      <c r="A96" s="148"/>
      <c r="B96" s="272"/>
      <c r="C96" s="113" t="s">
        <v>558</v>
      </c>
      <c r="D96" s="280"/>
      <c r="E96" s="164" t="s">
        <v>705</v>
      </c>
      <c r="F96" s="155">
        <v>0.54559999999999997</v>
      </c>
      <c r="G96" s="187">
        <v>18</v>
      </c>
      <c r="H96" s="145">
        <v>2191</v>
      </c>
      <c r="I96" s="146">
        <f t="shared" si="59"/>
        <v>2422.4572399999997</v>
      </c>
      <c r="J96" s="158">
        <f t="shared" si="60"/>
        <v>10587</v>
      </c>
      <c r="K96" s="281"/>
      <c r="L96" s="281"/>
      <c r="M96" s="281"/>
      <c r="N96" s="281"/>
      <c r="O96" s="281"/>
      <c r="P96" s="281"/>
    </row>
    <row r="97" spans="1:16" s="149" customFormat="1" ht="63" customHeight="1" x14ac:dyDescent="0.25">
      <c r="A97" s="148"/>
      <c r="B97" s="243"/>
      <c r="C97" s="113" t="s">
        <v>561</v>
      </c>
      <c r="D97" s="279" t="s">
        <v>613</v>
      </c>
      <c r="E97" s="164" t="s">
        <v>708</v>
      </c>
      <c r="F97" s="155">
        <v>0.39500000000000002</v>
      </c>
      <c r="G97" s="187">
        <v>15</v>
      </c>
      <c r="H97" s="145">
        <v>1687</v>
      </c>
      <c r="I97" s="146">
        <f t="shared" ref="I97:I114" si="61">H97*$B$6</f>
        <v>1865.2146799999998</v>
      </c>
      <c r="J97" s="158">
        <f t="shared" ref="J97:J114" si="62">ROUNDUP((I97*$C$9),0)</f>
        <v>8151</v>
      </c>
      <c r="K97" s="281"/>
      <c r="L97" s="281"/>
      <c r="M97" s="281"/>
      <c r="N97" s="281"/>
      <c r="O97" s="281"/>
      <c r="P97" s="281"/>
    </row>
    <row r="98" spans="1:16" s="149" customFormat="1" ht="63" customHeight="1" x14ac:dyDescent="0.25">
      <c r="A98" s="148"/>
      <c r="B98" s="244"/>
      <c r="C98" s="113" t="s">
        <v>562</v>
      </c>
      <c r="D98" s="282"/>
      <c r="E98" s="164" t="s">
        <v>709</v>
      </c>
      <c r="F98" s="155">
        <v>0.41930000000000001</v>
      </c>
      <c r="G98" s="187">
        <v>15.8</v>
      </c>
      <c r="H98" s="145">
        <v>1785</v>
      </c>
      <c r="I98" s="146">
        <f t="shared" si="61"/>
        <v>1973.5673999999999</v>
      </c>
      <c r="J98" s="158">
        <f t="shared" si="62"/>
        <v>8625</v>
      </c>
      <c r="K98" s="281"/>
      <c r="L98" s="281"/>
      <c r="M98" s="281"/>
      <c r="N98" s="281"/>
      <c r="O98" s="281"/>
      <c r="P98" s="281"/>
    </row>
    <row r="99" spans="1:16" s="149" customFormat="1" ht="63" customHeight="1" x14ac:dyDescent="0.25">
      <c r="A99" s="148"/>
      <c r="B99" s="214"/>
      <c r="C99" s="113" t="s">
        <v>563</v>
      </c>
      <c r="D99" s="150" t="s">
        <v>614</v>
      </c>
      <c r="E99" s="164" t="s">
        <v>710</v>
      </c>
      <c r="F99" s="155">
        <v>0.2681</v>
      </c>
      <c r="G99" s="187">
        <v>14.1</v>
      </c>
      <c r="H99" s="161">
        <v>1445</v>
      </c>
      <c r="I99" s="162">
        <f t="shared" si="61"/>
        <v>1597.6497999999999</v>
      </c>
      <c r="J99" s="167">
        <f t="shared" si="62"/>
        <v>6982</v>
      </c>
      <c r="K99" s="281"/>
      <c r="L99" s="281"/>
      <c r="M99" s="281"/>
      <c r="N99" s="281"/>
      <c r="O99" s="281"/>
      <c r="P99" s="281"/>
    </row>
    <row r="100" spans="1:16" s="149" customFormat="1" ht="63" customHeight="1" x14ac:dyDescent="0.25">
      <c r="A100" s="148"/>
      <c r="B100" s="213"/>
      <c r="C100" s="113" t="s">
        <v>564</v>
      </c>
      <c r="D100" s="150" t="s">
        <v>602</v>
      </c>
      <c r="E100" s="147" t="s">
        <v>711</v>
      </c>
      <c r="F100" s="155">
        <v>0.7611</v>
      </c>
      <c r="G100" s="151">
        <v>18</v>
      </c>
      <c r="H100" s="145">
        <v>3586</v>
      </c>
      <c r="I100" s="146">
        <f t="shared" si="61"/>
        <v>3964.8250399999997</v>
      </c>
      <c r="J100" s="147">
        <f t="shared" si="62"/>
        <v>17327</v>
      </c>
      <c r="K100" s="145">
        <v>4192</v>
      </c>
      <c r="L100" s="146">
        <f t="shared" ref="L100:L114" si="63">K100*$B$6</f>
        <v>4634.8428800000002</v>
      </c>
      <c r="M100" s="147">
        <f t="shared" ref="M100:M114" si="64">ROUNDUP((L100*$C$9),0)</f>
        <v>20255</v>
      </c>
      <c r="N100" s="145">
        <v>5701</v>
      </c>
      <c r="O100" s="146">
        <f t="shared" ref="O100:O114" si="65">N100*$B$6</f>
        <v>6303.2536399999999</v>
      </c>
      <c r="P100" s="147">
        <f t="shared" ref="P100:P114" si="66">ROUNDUP((O100*$C$9),0)</f>
        <v>27546</v>
      </c>
    </row>
    <row r="101" spans="1:16" s="149" customFormat="1" ht="63" customHeight="1" x14ac:dyDescent="0.25">
      <c r="A101" s="148"/>
      <c r="B101" s="213"/>
      <c r="C101" s="113" t="s">
        <v>565</v>
      </c>
      <c r="D101" s="150" t="s">
        <v>615</v>
      </c>
      <c r="E101" s="147" t="s">
        <v>711</v>
      </c>
      <c r="F101" s="155">
        <v>0.7611</v>
      </c>
      <c r="G101" s="151">
        <v>18.5</v>
      </c>
      <c r="H101" s="145">
        <v>3120</v>
      </c>
      <c r="I101" s="146">
        <f t="shared" si="61"/>
        <v>3449.5967999999998</v>
      </c>
      <c r="J101" s="158">
        <f t="shared" si="62"/>
        <v>15075</v>
      </c>
      <c r="K101" s="145">
        <v>3499</v>
      </c>
      <c r="L101" s="146">
        <f t="shared" si="63"/>
        <v>3868.63436</v>
      </c>
      <c r="M101" s="158">
        <f t="shared" si="64"/>
        <v>16906</v>
      </c>
      <c r="N101" s="145">
        <v>4441</v>
      </c>
      <c r="O101" s="146">
        <f t="shared" si="65"/>
        <v>4910.1472400000002</v>
      </c>
      <c r="P101" s="158">
        <f t="shared" si="66"/>
        <v>21458</v>
      </c>
    </row>
    <row r="102" spans="1:16" s="149" customFormat="1" ht="63" customHeight="1" x14ac:dyDescent="0.25">
      <c r="A102" s="148"/>
      <c r="B102" s="213"/>
      <c r="C102" s="113" t="s">
        <v>566</v>
      </c>
      <c r="D102" s="150" t="s">
        <v>616</v>
      </c>
      <c r="E102" s="147" t="s">
        <v>711</v>
      </c>
      <c r="F102" s="155">
        <v>0.7611</v>
      </c>
      <c r="G102" s="151">
        <v>17.5</v>
      </c>
      <c r="H102" s="145">
        <v>2876</v>
      </c>
      <c r="I102" s="146">
        <f t="shared" si="61"/>
        <v>3179.8206399999999</v>
      </c>
      <c r="J102" s="158">
        <f t="shared" si="62"/>
        <v>13896</v>
      </c>
      <c r="K102" s="145">
        <v>3256</v>
      </c>
      <c r="L102" s="146">
        <f t="shared" si="63"/>
        <v>3599.9638399999999</v>
      </c>
      <c r="M102" s="158">
        <f t="shared" si="64"/>
        <v>15732</v>
      </c>
      <c r="N102" s="145">
        <v>4199</v>
      </c>
      <c r="O102" s="146">
        <f t="shared" si="65"/>
        <v>4642.5823599999994</v>
      </c>
      <c r="P102" s="158">
        <f t="shared" si="66"/>
        <v>20289</v>
      </c>
    </row>
    <row r="103" spans="1:16" s="149" customFormat="1" ht="63" customHeight="1" x14ac:dyDescent="0.25">
      <c r="A103" s="148"/>
      <c r="B103" s="283"/>
      <c r="C103" s="113" t="s">
        <v>567</v>
      </c>
      <c r="D103" s="286" t="s">
        <v>603</v>
      </c>
      <c r="E103" s="147" t="s">
        <v>712</v>
      </c>
      <c r="F103" s="155">
        <v>1.6613</v>
      </c>
      <c r="G103" s="151">
        <v>34.5</v>
      </c>
      <c r="H103" s="145">
        <v>5700</v>
      </c>
      <c r="I103" s="146">
        <f t="shared" si="61"/>
        <v>6302.1480000000001</v>
      </c>
      <c r="J103" s="158">
        <f t="shared" si="62"/>
        <v>27541</v>
      </c>
      <c r="K103" s="145">
        <v>6450</v>
      </c>
      <c r="L103" s="146">
        <f t="shared" si="63"/>
        <v>7131.3779999999997</v>
      </c>
      <c r="M103" s="158">
        <f t="shared" si="64"/>
        <v>31165</v>
      </c>
      <c r="N103" s="145">
        <v>8345</v>
      </c>
      <c r="O103" s="146">
        <f t="shared" si="65"/>
        <v>9226.5658000000003</v>
      </c>
      <c r="P103" s="158">
        <f t="shared" si="66"/>
        <v>40321</v>
      </c>
    </row>
    <row r="104" spans="1:16" s="149" customFormat="1" ht="63" customHeight="1" x14ac:dyDescent="0.25">
      <c r="A104" s="148"/>
      <c r="B104" s="284"/>
      <c r="C104" s="113" t="s">
        <v>568</v>
      </c>
      <c r="D104" s="287"/>
      <c r="E104" s="147" t="s">
        <v>713</v>
      </c>
      <c r="F104" s="155">
        <v>1.9529000000000001</v>
      </c>
      <c r="G104" s="151">
        <v>43.5</v>
      </c>
      <c r="H104" s="145">
        <v>6964</v>
      </c>
      <c r="I104" s="146">
        <f t="shared" si="61"/>
        <v>7699.6769599999998</v>
      </c>
      <c r="J104" s="158">
        <f t="shared" si="62"/>
        <v>33648</v>
      </c>
      <c r="K104" s="145">
        <v>7874</v>
      </c>
      <c r="L104" s="146">
        <f t="shared" si="63"/>
        <v>8705.8093599999993</v>
      </c>
      <c r="M104" s="158">
        <f t="shared" si="64"/>
        <v>38045</v>
      </c>
      <c r="N104" s="145">
        <v>10137</v>
      </c>
      <c r="O104" s="146">
        <f t="shared" si="65"/>
        <v>11207.87268</v>
      </c>
      <c r="P104" s="158">
        <f t="shared" si="66"/>
        <v>48979</v>
      </c>
    </row>
    <row r="105" spans="1:16" s="149" customFormat="1" ht="63" customHeight="1" x14ac:dyDescent="0.25">
      <c r="A105" s="148"/>
      <c r="B105" s="285"/>
      <c r="C105" s="113" t="s">
        <v>569</v>
      </c>
      <c r="D105" s="288"/>
      <c r="E105" s="147" t="s">
        <v>714</v>
      </c>
      <c r="F105" s="155">
        <v>2.4700000000000002</v>
      </c>
      <c r="G105" s="151">
        <v>53</v>
      </c>
      <c r="H105" s="145">
        <v>8307</v>
      </c>
      <c r="I105" s="146">
        <f t="shared" si="61"/>
        <v>9184.5514800000001</v>
      </c>
      <c r="J105" s="158">
        <f t="shared" si="62"/>
        <v>40137</v>
      </c>
      <c r="K105" s="145">
        <v>9368</v>
      </c>
      <c r="L105" s="146">
        <f t="shared" si="63"/>
        <v>10357.63552</v>
      </c>
      <c r="M105" s="158">
        <f t="shared" si="64"/>
        <v>45263</v>
      </c>
      <c r="N105" s="145">
        <v>12008</v>
      </c>
      <c r="O105" s="146">
        <f t="shared" si="65"/>
        <v>13276.52512</v>
      </c>
      <c r="P105" s="158">
        <f t="shared" si="66"/>
        <v>58019</v>
      </c>
    </row>
    <row r="106" spans="1:16" s="149" customFormat="1" ht="63" customHeight="1" x14ac:dyDescent="0.25">
      <c r="A106" s="148"/>
      <c r="B106" s="243"/>
      <c r="C106" s="113" t="s">
        <v>570</v>
      </c>
      <c r="D106" s="286" t="s">
        <v>617</v>
      </c>
      <c r="E106" s="147" t="s">
        <v>712</v>
      </c>
      <c r="F106" s="155">
        <v>1.6613</v>
      </c>
      <c r="G106" s="151">
        <v>34.5</v>
      </c>
      <c r="H106" s="145">
        <v>55565</v>
      </c>
      <c r="I106" s="146">
        <f t="shared" si="61"/>
        <v>61434.886599999998</v>
      </c>
      <c r="J106" s="158">
        <f t="shared" si="62"/>
        <v>268471</v>
      </c>
      <c r="K106" s="145">
        <v>6324</v>
      </c>
      <c r="L106" s="146">
        <f t="shared" si="63"/>
        <v>6992.06736</v>
      </c>
      <c r="M106" s="158">
        <f t="shared" si="64"/>
        <v>30556</v>
      </c>
      <c r="N106" s="145">
        <v>8209</v>
      </c>
      <c r="O106" s="146">
        <f t="shared" si="65"/>
        <v>9076.1987599999993</v>
      </c>
      <c r="P106" s="158">
        <f t="shared" si="66"/>
        <v>39663</v>
      </c>
    </row>
    <row r="107" spans="1:16" s="149" customFormat="1" ht="63" customHeight="1" x14ac:dyDescent="0.25">
      <c r="A107" s="148"/>
      <c r="B107" s="272"/>
      <c r="C107" s="113" t="s">
        <v>571</v>
      </c>
      <c r="D107" s="287"/>
      <c r="E107" s="147" t="s">
        <v>715</v>
      </c>
      <c r="F107" s="155">
        <v>1.9529000000000001</v>
      </c>
      <c r="G107" s="151">
        <v>43.5</v>
      </c>
      <c r="H107" s="145">
        <v>6853</v>
      </c>
      <c r="I107" s="146">
        <f t="shared" si="61"/>
        <v>7576.9509199999993</v>
      </c>
      <c r="J107" s="158">
        <f t="shared" si="62"/>
        <v>33112</v>
      </c>
      <c r="K107" s="145">
        <v>7763</v>
      </c>
      <c r="L107" s="146">
        <f t="shared" si="63"/>
        <v>8583.0833199999997</v>
      </c>
      <c r="M107" s="158">
        <f t="shared" si="64"/>
        <v>37509</v>
      </c>
      <c r="N107" s="145">
        <v>10025</v>
      </c>
      <c r="O107" s="146">
        <f t="shared" si="65"/>
        <v>11084.040999999999</v>
      </c>
      <c r="P107" s="158">
        <f t="shared" si="66"/>
        <v>48438</v>
      </c>
    </row>
    <row r="108" spans="1:16" s="149" customFormat="1" ht="63" customHeight="1" x14ac:dyDescent="0.25">
      <c r="A108" s="148"/>
      <c r="B108" s="244"/>
      <c r="C108" s="113" t="s">
        <v>572</v>
      </c>
      <c r="D108" s="288"/>
      <c r="E108" s="147" t="s">
        <v>714</v>
      </c>
      <c r="F108" s="155">
        <v>2.4700000000000002</v>
      </c>
      <c r="G108" s="151">
        <v>53</v>
      </c>
      <c r="H108" s="145">
        <v>8079</v>
      </c>
      <c r="I108" s="146">
        <f t="shared" si="61"/>
        <v>8932.4655600000006</v>
      </c>
      <c r="J108" s="158">
        <f t="shared" si="62"/>
        <v>39035</v>
      </c>
      <c r="K108" s="145">
        <v>9368</v>
      </c>
      <c r="L108" s="146">
        <f t="shared" si="63"/>
        <v>10357.63552</v>
      </c>
      <c r="M108" s="158">
        <f t="shared" si="64"/>
        <v>45263</v>
      </c>
      <c r="N108" s="145">
        <v>12008</v>
      </c>
      <c r="O108" s="146">
        <f t="shared" si="65"/>
        <v>13276.52512</v>
      </c>
      <c r="P108" s="158">
        <f t="shared" si="66"/>
        <v>58019</v>
      </c>
    </row>
    <row r="109" spans="1:16" s="149" customFormat="1" ht="63" customHeight="1" x14ac:dyDescent="0.25">
      <c r="A109" s="148"/>
      <c r="B109" s="243"/>
      <c r="C109" s="113" t="s">
        <v>573</v>
      </c>
      <c r="D109" s="286" t="s">
        <v>618</v>
      </c>
      <c r="E109" s="147" t="s">
        <v>716</v>
      </c>
      <c r="F109" s="155">
        <v>1.6613</v>
      </c>
      <c r="G109" s="151">
        <v>34.5</v>
      </c>
      <c r="H109" s="145">
        <v>55565</v>
      </c>
      <c r="I109" s="146">
        <f t="shared" ref="I109:I111" si="67">H109*$B$6</f>
        <v>61434.886599999998</v>
      </c>
      <c r="J109" s="158">
        <f t="shared" ref="J109:J111" si="68">ROUNDUP((I109*$C$9),0)</f>
        <v>268471</v>
      </c>
      <c r="K109" s="145">
        <v>6324</v>
      </c>
      <c r="L109" s="146">
        <f t="shared" ref="L109:L111" si="69">K109*$B$6</f>
        <v>6992.06736</v>
      </c>
      <c r="M109" s="158">
        <f t="shared" ref="M109:M111" si="70">ROUNDUP((L109*$C$9),0)</f>
        <v>30556</v>
      </c>
      <c r="N109" s="145">
        <v>8209</v>
      </c>
      <c r="O109" s="146">
        <f t="shared" ref="O109:O111" si="71">N109*$B$6</f>
        <v>9076.1987599999993</v>
      </c>
      <c r="P109" s="158">
        <f t="shared" ref="P109:P111" si="72">ROUNDUP((O109*$C$9),0)</f>
        <v>39663</v>
      </c>
    </row>
    <row r="110" spans="1:16" s="149" customFormat="1" ht="63" customHeight="1" x14ac:dyDescent="0.25">
      <c r="A110" s="148"/>
      <c r="B110" s="272"/>
      <c r="C110" s="113" t="s">
        <v>574</v>
      </c>
      <c r="D110" s="287"/>
      <c r="E110" s="147" t="s">
        <v>715</v>
      </c>
      <c r="F110" s="155">
        <v>1.9529000000000001</v>
      </c>
      <c r="G110" s="151">
        <v>43.5</v>
      </c>
      <c r="H110" s="145">
        <v>6853</v>
      </c>
      <c r="I110" s="146">
        <f t="shared" si="67"/>
        <v>7576.9509199999993</v>
      </c>
      <c r="J110" s="158">
        <f t="shared" si="68"/>
        <v>33112</v>
      </c>
      <c r="K110" s="145">
        <v>7763</v>
      </c>
      <c r="L110" s="146">
        <f t="shared" si="69"/>
        <v>8583.0833199999997</v>
      </c>
      <c r="M110" s="158">
        <f t="shared" si="70"/>
        <v>37509</v>
      </c>
      <c r="N110" s="145">
        <v>10025</v>
      </c>
      <c r="O110" s="146">
        <f t="shared" si="71"/>
        <v>11084.040999999999</v>
      </c>
      <c r="P110" s="158">
        <f t="shared" si="72"/>
        <v>48438</v>
      </c>
    </row>
    <row r="111" spans="1:16" s="149" customFormat="1" ht="63" customHeight="1" x14ac:dyDescent="0.25">
      <c r="A111" s="148"/>
      <c r="B111" s="244"/>
      <c r="C111" s="113" t="s">
        <v>575</v>
      </c>
      <c r="D111" s="288"/>
      <c r="E111" s="147" t="s">
        <v>714</v>
      </c>
      <c r="F111" s="155">
        <v>2.4700000000000002</v>
      </c>
      <c r="G111" s="151">
        <v>53</v>
      </c>
      <c r="H111" s="145">
        <v>8079</v>
      </c>
      <c r="I111" s="146">
        <f t="shared" si="67"/>
        <v>8932.4655600000006</v>
      </c>
      <c r="J111" s="158">
        <f t="shared" si="68"/>
        <v>39035</v>
      </c>
      <c r="K111" s="145">
        <v>9368</v>
      </c>
      <c r="L111" s="146">
        <f t="shared" si="69"/>
        <v>10357.63552</v>
      </c>
      <c r="M111" s="158">
        <f t="shared" si="70"/>
        <v>45263</v>
      </c>
      <c r="N111" s="145">
        <v>12008</v>
      </c>
      <c r="O111" s="146">
        <f t="shared" si="71"/>
        <v>13276.52512</v>
      </c>
      <c r="P111" s="158">
        <f t="shared" si="72"/>
        <v>58019</v>
      </c>
    </row>
    <row r="112" spans="1:16" s="149" customFormat="1" ht="63" customHeight="1" x14ac:dyDescent="0.25">
      <c r="A112" s="148"/>
      <c r="B112" s="243"/>
      <c r="C112" s="113" t="s">
        <v>576</v>
      </c>
      <c r="D112" s="286" t="s">
        <v>619</v>
      </c>
      <c r="E112" s="147" t="s">
        <v>712</v>
      </c>
      <c r="F112" s="155">
        <v>1.6613</v>
      </c>
      <c r="G112" s="151">
        <v>34</v>
      </c>
      <c r="H112" s="145">
        <v>5398</v>
      </c>
      <c r="I112" s="146">
        <f t="shared" si="61"/>
        <v>5968.2447199999997</v>
      </c>
      <c r="J112" s="158">
        <f t="shared" si="62"/>
        <v>26082</v>
      </c>
      <c r="K112" s="145">
        <v>6156</v>
      </c>
      <c r="L112" s="146">
        <f t="shared" si="63"/>
        <v>6806.3198400000001</v>
      </c>
      <c r="M112" s="158">
        <f t="shared" si="64"/>
        <v>29744</v>
      </c>
      <c r="N112" s="145">
        <v>8041</v>
      </c>
      <c r="O112" s="146">
        <f t="shared" si="65"/>
        <v>8890.4512400000003</v>
      </c>
      <c r="P112" s="158">
        <f t="shared" si="66"/>
        <v>38852</v>
      </c>
    </row>
    <row r="113" spans="1:24" s="149" customFormat="1" ht="63" customHeight="1" x14ac:dyDescent="0.25">
      <c r="A113" s="148"/>
      <c r="B113" s="272"/>
      <c r="C113" s="113" t="s">
        <v>577</v>
      </c>
      <c r="D113" s="287"/>
      <c r="E113" s="147" t="s">
        <v>715</v>
      </c>
      <c r="F113" s="155">
        <v>1.9529000000000001</v>
      </c>
      <c r="G113" s="151">
        <v>43</v>
      </c>
      <c r="H113" s="145">
        <v>6669</v>
      </c>
      <c r="I113" s="146">
        <f t="shared" si="61"/>
        <v>7373.5131599999995</v>
      </c>
      <c r="J113" s="158">
        <f t="shared" si="62"/>
        <v>32223</v>
      </c>
      <c r="K113" s="145">
        <v>7580</v>
      </c>
      <c r="L113" s="146">
        <f t="shared" si="63"/>
        <v>8380.7511999999988</v>
      </c>
      <c r="M113" s="158">
        <f t="shared" si="64"/>
        <v>36624</v>
      </c>
      <c r="N113" s="145">
        <v>9843</v>
      </c>
      <c r="O113" s="146">
        <f t="shared" si="65"/>
        <v>10882.81452</v>
      </c>
      <c r="P113" s="158">
        <f t="shared" si="66"/>
        <v>47558</v>
      </c>
    </row>
    <row r="114" spans="1:24" s="149" customFormat="1" ht="63" customHeight="1" x14ac:dyDescent="0.25">
      <c r="A114" s="148"/>
      <c r="B114" s="244"/>
      <c r="C114" s="113" t="s">
        <v>578</v>
      </c>
      <c r="D114" s="288"/>
      <c r="E114" s="147" t="s">
        <v>714</v>
      </c>
      <c r="F114" s="155">
        <v>2.4700000000000002</v>
      </c>
      <c r="G114" s="151">
        <v>52.5</v>
      </c>
      <c r="H114" s="145">
        <v>7937</v>
      </c>
      <c r="I114" s="146">
        <f t="shared" si="61"/>
        <v>8775.4646799999991</v>
      </c>
      <c r="J114" s="158">
        <f t="shared" si="62"/>
        <v>38349</v>
      </c>
      <c r="K114" s="145">
        <v>8999</v>
      </c>
      <c r="L114" s="146">
        <f t="shared" si="63"/>
        <v>9949.6543600000005</v>
      </c>
      <c r="M114" s="158">
        <f t="shared" si="64"/>
        <v>43480</v>
      </c>
      <c r="N114" s="145">
        <v>11639</v>
      </c>
      <c r="O114" s="146">
        <f t="shared" si="65"/>
        <v>12868.543959999999</v>
      </c>
      <c r="P114" s="158">
        <f t="shared" si="66"/>
        <v>56236</v>
      </c>
    </row>
    <row r="115" spans="1:24" s="142" customFormat="1" ht="11.25" customHeight="1" x14ac:dyDescent="0.25">
      <c r="C115" s="178"/>
      <c r="D115" s="178"/>
      <c r="E115" s="178"/>
      <c r="F115" s="182"/>
      <c r="G115" s="183"/>
      <c r="H115" s="156"/>
      <c r="I115" s="156"/>
      <c r="J115" s="156"/>
      <c r="K115" s="156"/>
      <c r="L115" s="156"/>
      <c r="M115" s="156"/>
      <c r="N115" s="156"/>
      <c r="O115" s="156"/>
      <c r="P115" s="156"/>
    </row>
    <row r="116" spans="1:24" s="142" customFormat="1" ht="11.25" customHeight="1" x14ac:dyDescent="0.25">
      <c r="C116" s="178"/>
      <c r="D116" s="178"/>
      <c r="E116" s="178"/>
      <c r="F116" s="182"/>
      <c r="G116" s="183"/>
      <c r="H116" s="156"/>
      <c r="I116" s="156"/>
      <c r="J116" s="156"/>
      <c r="K116" s="156"/>
      <c r="L116" s="156"/>
      <c r="M116" s="156"/>
      <c r="N116" s="156"/>
      <c r="O116" s="156"/>
      <c r="P116" s="156"/>
    </row>
    <row r="117" spans="1:24" s="142" customFormat="1" ht="42" customHeight="1" x14ac:dyDescent="0.25">
      <c r="A117" s="137"/>
      <c r="B117" s="257" t="s">
        <v>644</v>
      </c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137"/>
      <c r="R117" s="137"/>
      <c r="S117" s="137"/>
      <c r="T117" s="137"/>
      <c r="U117" s="137"/>
      <c r="V117" s="137"/>
    </row>
    <row r="118" spans="1:24" s="142" customFormat="1" ht="16.5" customHeight="1" x14ac:dyDescent="0.25">
      <c r="A118" s="137"/>
      <c r="B118" s="138" t="s">
        <v>507</v>
      </c>
      <c r="C118" s="139" t="s">
        <v>523</v>
      </c>
      <c r="D118" s="139" t="s">
        <v>508</v>
      </c>
      <c r="E118" s="139" t="s">
        <v>521</v>
      </c>
      <c r="F118" s="140" t="s">
        <v>764</v>
      </c>
      <c r="G118" s="141" t="s">
        <v>520</v>
      </c>
      <c r="H118" s="139" t="s">
        <v>495</v>
      </c>
      <c r="I118" s="139"/>
      <c r="J118" s="139" t="s">
        <v>522</v>
      </c>
      <c r="K118" s="139" t="s">
        <v>751</v>
      </c>
      <c r="L118" s="139"/>
      <c r="M118" s="139" t="s">
        <v>751</v>
      </c>
      <c r="N118" s="139" t="s">
        <v>742</v>
      </c>
      <c r="O118" s="139"/>
      <c r="P118" s="139" t="s">
        <v>742</v>
      </c>
      <c r="Q118" s="137"/>
      <c r="R118" s="137"/>
      <c r="S118" s="137"/>
      <c r="T118" s="137"/>
      <c r="U118" s="137"/>
      <c r="V118" s="137"/>
    </row>
    <row r="119" spans="1:24" s="149" customFormat="1" ht="84" customHeight="1" x14ac:dyDescent="0.25">
      <c r="A119" s="148"/>
      <c r="B119" s="239"/>
      <c r="C119" s="113" t="s">
        <v>580</v>
      </c>
      <c r="D119" s="114" t="s">
        <v>671</v>
      </c>
      <c r="E119" s="113" t="s">
        <v>717</v>
      </c>
      <c r="F119" s="155">
        <v>0.39579999999999999</v>
      </c>
      <c r="G119" s="151">
        <v>14.6</v>
      </c>
      <c r="H119" s="145">
        <v>1412</v>
      </c>
      <c r="I119" s="146">
        <f t="shared" ref="I119:I125" si="73">H119*$B$6</f>
        <v>1561.1636799999999</v>
      </c>
      <c r="J119" s="158">
        <f>ROUNDUP((I119*$C$9),0)</f>
        <v>6823</v>
      </c>
      <c r="K119" s="289"/>
      <c r="L119" s="289"/>
      <c r="M119" s="289"/>
      <c r="N119" s="289"/>
      <c r="O119" s="289"/>
      <c r="P119" s="289"/>
    </row>
    <row r="120" spans="1:24" s="149" customFormat="1" ht="84" customHeight="1" x14ac:dyDescent="0.25">
      <c r="A120" s="148"/>
      <c r="B120" s="243"/>
      <c r="C120" s="113" t="s">
        <v>581</v>
      </c>
      <c r="D120" s="150" t="s">
        <v>672</v>
      </c>
      <c r="E120" s="113" t="s">
        <v>717</v>
      </c>
      <c r="F120" s="155">
        <v>0.39579999999999999</v>
      </c>
      <c r="G120" s="151">
        <v>8.6999999999999993</v>
      </c>
      <c r="H120" s="145">
        <v>1024</v>
      </c>
      <c r="I120" s="146">
        <f t="shared" si="73"/>
        <v>1132.17536</v>
      </c>
      <c r="J120" s="158">
        <f t="shared" ref="J120:J125" si="74">ROUNDUP((I120*$C$9),0)</f>
        <v>4948</v>
      </c>
      <c r="K120" s="289"/>
      <c r="L120" s="289"/>
      <c r="M120" s="289"/>
      <c r="N120" s="289"/>
      <c r="O120" s="289"/>
      <c r="P120" s="289"/>
    </row>
    <row r="121" spans="1:24" s="149" customFormat="1" ht="84" customHeight="1" x14ac:dyDescent="0.25">
      <c r="A121" s="148"/>
      <c r="B121" s="244"/>
      <c r="C121" s="113" t="s">
        <v>582</v>
      </c>
      <c r="D121" s="150" t="s">
        <v>673</v>
      </c>
      <c r="E121" s="113" t="s">
        <v>717</v>
      </c>
      <c r="F121" s="155">
        <v>0.39579999999999999</v>
      </c>
      <c r="G121" s="151">
        <v>8.6999999999999993</v>
      </c>
      <c r="H121" s="145">
        <v>1071</v>
      </c>
      <c r="I121" s="146">
        <f t="shared" si="73"/>
        <v>1184.1404399999999</v>
      </c>
      <c r="J121" s="158">
        <f t="shared" si="74"/>
        <v>5175</v>
      </c>
      <c r="K121" s="289"/>
      <c r="L121" s="289"/>
      <c r="M121" s="289"/>
      <c r="N121" s="289"/>
      <c r="O121" s="289"/>
      <c r="P121" s="289"/>
    </row>
    <row r="122" spans="1:24" s="149" customFormat="1" ht="84" customHeight="1" x14ac:dyDescent="0.25">
      <c r="A122" s="148"/>
      <c r="B122" s="239"/>
      <c r="C122" s="113" t="s">
        <v>583</v>
      </c>
      <c r="D122" s="114" t="s">
        <v>674</v>
      </c>
      <c r="E122" s="113" t="s">
        <v>718</v>
      </c>
      <c r="F122" s="155">
        <v>0.28399999999999997</v>
      </c>
      <c r="G122" s="151">
        <v>20.7</v>
      </c>
      <c r="H122" s="145">
        <v>1343</v>
      </c>
      <c r="I122" s="146">
        <f t="shared" si="73"/>
        <v>1484.8745199999998</v>
      </c>
      <c r="J122" s="158">
        <f t="shared" si="74"/>
        <v>6489</v>
      </c>
      <c r="K122" s="289"/>
      <c r="L122" s="289"/>
      <c r="M122" s="289"/>
      <c r="N122" s="289"/>
      <c r="O122" s="289"/>
      <c r="P122" s="289"/>
    </row>
    <row r="123" spans="1:24" s="149" customFormat="1" ht="84" customHeight="1" x14ac:dyDescent="0.25">
      <c r="A123" s="148"/>
      <c r="B123" s="243"/>
      <c r="C123" s="113" t="s">
        <v>585</v>
      </c>
      <c r="D123" s="150" t="s">
        <v>669</v>
      </c>
      <c r="E123" s="113" t="s">
        <v>719</v>
      </c>
      <c r="F123" s="155">
        <v>0.28399999999999997</v>
      </c>
      <c r="G123" s="151">
        <v>20.5</v>
      </c>
      <c r="H123" s="145">
        <v>863</v>
      </c>
      <c r="I123" s="146">
        <f t="shared" si="73"/>
        <v>954.16732000000002</v>
      </c>
      <c r="J123" s="158">
        <f t="shared" si="74"/>
        <v>4170</v>
      </c>
      <c r="K123" s="289"/>
      <c r="L123" s="289"/>
      <c r="M123" s="289"/>
      <c r="N123" s="289"/>
      <c r="O123" s="289"/>
      <c r="P123" s="289"/>
    </row>
    <row r="124" spans="1:24" s="149" customFormat="1" ht="84" customHeight="1" x14ac:dyDescent="0.25">
      <c r="A124" s="148"/>
      <c r="B124" s="244"/>
      <c r="C124" s="113" t="s">
        <v>586</v>
      </c>
      <c r="D124" s="150" t="s">
        <v>676</v>
      </c>
      <c r="E124" s="113" t="s">
        <v>718</v>
      </c>
      <c r="F124" s="155">
        <v>0.28399999999999997</v>
      </c>
      <c r="G124" s="151">
        <v>20.5</v>
      </c>
      <c r="H124" s="145">
        <v>924</v>
      </c>
      <c r="I124" s="146">
        <f t="shared" si="73"/>
        <v>1021.61136</v>
      </c>
      <c r="J124" s="158">
        <f t="shared" si="74"/>
        <v>4465</v>
      </c>
      <c r="K124" s="289"/>
      <c r="L124" s="289"/>
      <c r="M124" s="289"/>
      <c r="N124" s="289"/>
      <c r="O124" s="289"/>
      <c r="P124" s="289"/>
    </row>
    <row r="125" spans="1:24" s="149" customFormat="1" ht="84" customHeight="1" x14ac:dyDescent="0.25">
      <c r="A125" s="148"/>
      <c r="B125" s="238"/>
      <c r="C125" s="113" t="s">
        <v>592</v>
      </c>
      <c r="D125" s="114" t="s">
        <v>741</v>
      </c>
      <c r="E125" s="113" t="s">
        <v>722</v>
      </c>
      <c r="F125" s="155">
        <v>0.59209999999999996</v>
      </c>
      <c r="G125" s="151">
        <v>43.5</v>
      </c>
      <c r="H125" s="145">
        <v>2671</v>
      </c>
      <c r="I125" s="146">
        <f t="shared" si="73"/>
        <v>2953.16444</v>
      </c>
      <c r="J125" s="158">
        <f t="shared" si="74"/>
        <v>12906</v>
      </c>
      <c r="K125" s="289"/>
      <c r="L125" s="289"/>
      <c r="M125" s="289"/>
      <c r="N125" s="289"/>
      <c r="O125" s="289"/>
      <c r="P125" s="289"/>
    </row>
    <row r="126" spans="1:24" s="142" customFormat="1" ht="11.25" customHeight="1" x14ac:dyDescent="0.25">
      <c r="A126" s="137"/>
      <c r="B126" s="171"/>
      <c r="C126" s="184"/>
      <c r="D126" s="172"/>
      <c r="E126" s="184"/>
      <c r="F126" s="185"/>
      <c r="G126" s="186"/>
      <c r="H126" s="170"/>
      <c r="I126" s="170"/>
      <c r="J126" s="179"/>
      <c r="K126" s="156"/>
      <c r="L126" s="156"/>
      <c r="M126" s="156"/>
      <c r="N126" s="156"/>
      <c r="O126" s="156"/>
      <c r="P126" s="156"/>
      <c r="Q126" s="137"/>
      <c r="R126" s="137"/>
      <c r="S126" s="137"/>
      <c r="T126" s="137"/>
      <c r="U126" s="137"/>
      <c r="V126" s="137"/>
    </row>
    <row r="127" spans="1:24" s="137" customFormat="1" x14ac:dyDescent="0.25">
      <c r="F127" s="188"/>
      <c r="G127" s="189"/>
    </row>
    <row r="128" spans="1:24" s="142" customFormat="1" ht="15" customHeight="1" x14ac:dyDescent="0.25">
      <c r="A128" s="137"/>
      <c r="B128" s="197"/>
      <c r="C128" s="196"/>
      <c r="D128" s="197"/>
      <c r="E128" s="198"/>
      <c r="F128" s="199"/>
      <c r="G128" s="200"/>
      <c r="H128" s="190"/>
      <c r="I128" s="191"/>
      <c r="J128" s="184"/>
      <c r="K128" s="192"/>
      <c r="L128" s="193"/>
      <c r="M128" s="179"/>
      <c r="N128" s="192"/>
      <c r="O128" s="193"/>
      <c r="P128" s="179"/>
      <c r="Q128" s="137"/>
      <c r="R128" s="137"/>
      <c r="S128" s="137"/>
      <c r="T128" s="137"/>
      <c r="U128" s="137"/>
      <c r="V128" s="137"/>
      <c r="W128" s="137"/>
      <c r="X128" s="137"/>
    </row>
    <row r="129" spans="1:24" s="142" customFormat="1" ht="15" customHeight="1" x14ac:dyDescent="0.25">
      <c r="A129" s="137"/>
      <c r="B129" s="218"/>
      <c r="C129" s="195"/>
      <c r="D129" s="218"/>
      <c r="E129" s="219"/>
      <c r="F129" s="220"/>
      <c r="G129" s="221"/>
      <c r="H129" s="178"/>
      <c r="I129" s="178"/>
      <c r="J129" s="178"/>
      <c r="K129" s="156"/>
      <c r="L129" s="156"/>
      <c r="M129" s="156"/>
      <c r="N129" s="156"/>
      <c r="O129" s="156"/>
      <c r="P129" s="179"/>
      <c r="Q129" s="137"/>
      <c r="R129" s="137"/>
      <c r="S129" s="137"/>
      <c r="T129" s="137"/>
      <c r="U129" s="137"/>
      <c r="V129" s="137"/>
      <c r="W129" s="137"/>
      <c r="X129" s="137"/>
    </row>
    <row r="130" spans="1:24" s="142" customFormat="1" ht="15" customHeight="1" x14ac:dyDescent="0.25">
      <c r="A130" s="137"/>
      <c r="B130" s="218"/>
      <c r="C130" s="195"/>
      <c r="D130" s="218"/>
      <c r="E130" s="219"/>
      <c r="F130" s="220"/>
      <c r="G130" s="221"/>
      <c r="H130" s="178"/>
      <c r="I130" s="178"/>
      <c r="J130" s="178"/>
      <c r="K130" s="156"/>
      <c r="L130" s="156"/>
      <c r="M130" s="156"/>
      <c r="N130" s="156"/>
      <c r="O130" s="156"/>
      <c r="P130" s="179"/>
      <c r="Q130" s="137"/>
      <c r="R130" s="137"/>
      <c r="S130" s="137"/>
      <c r="T130" s="137"/>
      <c r="U130" s="137"/>
      <c r="V130" s="137"/>
      <c r="W130" s="137"/>
      <c r="X130" s="137"/>
    </row>
    <row r="131" spans="1:24" s="142" customFormat="1" ht="15" customHeight="1" x14ac:dyDescent="0.25">
      <c r="A131" s="137"/>
      <c r="B131" s="218"/>
      <c r="C131" s="195"/>
      <c r="D131" s="218"/>
      <c r="E131" s="219"/>
      <c r="F131" s="220"/>
      <c r="G131" s="221"/>
      <c r="H131" s="178"/>
      <c r="I131" s="178"/>
      <c r="J131" s="178"/>
      <c r="K131" s="156"/>
      <c r="L131" s="156"/>
      <c r="M131" s="156"/>
      <c r="N131" s="156"/>
      <c r="O131" s="156"/>
      <c r="P131" s="179"/>
      <c r="Q131" s="137"/>
      <c r="R131" s="137"/>
      <c r="S131" s="137"/>
      <c r="T131" s="137"/>
      <c r="U131" s="137"/>
      <c r="V131" s="137"/>
      <c r="W131" s="137"/>
      <c r="X131" s="137"/>
    </row>
    <row r="132" spans="1:24" s="142" customFormat="1" ht="15" customHeight="1" x14ac:dyDescent="0.25">
      <c r="A132" s="137"/>
      <c r="B132" s="218"/>
      <c r="C132" s="195"/>
      <c r="D132" s="218"/>
      <c r="E132" s="219"/>
      <c r="F132" s="220"/>
      <c r="G132" s="221"/>
      <c r="H132" s="178"/>
      <c r="I132" s="178"/>
      <c r="J132" s="178"/>
      <c r="K132" s="156"/>
      <c r="L132" s="156"/>
      <c r="M132" s="156"/>
      <c r="N132" s="156"/>
      <c r="O132" s="156"/>
      <c r="P132" s="179"/>
      <c r="Q132" s="137"/>
      <c r="R132" s="137"/>
      <c r="S132" s="137"/>
      <c r="T132" s="137"/>
      <c r="U132" s="137"/>
      <c r="V132" s="137"/>
      <c r="W132" s="137"/>
      <c r="X132" s="137"/>
    </row>
    <row r="133" spans="1:24" s="142" customFormat="1" ht="15" customHeight="1" x14ac:dyDescent="0.25">
      <c r="A133" s="137"/>
      <c r="B133" s="218"/>
      <c r="C133" s="195"/>
      <c r="D133" s="218"/>
      <c r="E133" s="219"/>
      <c r="F133" s="220"/>
      <c r="G133" s="221"/>
      <c r="H133" s="178"/>
      <c r="I133" s="178"/>
      <c r="J133" s="178"/>
      <c r="K133" s="156"/>
      <c r="L133" s="156"/>
      <c r="M133" s="156"/>
      <c r="N133" s="156"/>
      <c r="O133" s="156"/>
      <c r="P133" s="179"/>
      <c r="Q133" s="137"/>
      <c r="R133" s="137"/>
      <c r="S133" s="137"/>
      <c r="T133" s="137"/>
      <c r="U133" s="137"/>
      <c r="V133" s="137"/>
      <c r="W133" s="137"/>
      <c r="X133" s="137"/>
    </row>
    <row r="134" spans="1:24" s="142" customFormat="1" ht="15" customHeight="1" x14ac:dyDescent="0.25">
      <c r="A134" s="137"/>
      <c r="B134" s="218"/>
      <c r="C134" s="195"/>
      <c r="D134" s="218"/>
      <c r="E134" s="219"/>
      <c r="F134" s="220"/>
      <c r="G134" s="221"/>
      <c r="H134" s="178"/>
      <c r="I134" s="178"/>
      <c r="J134" s="178"/>
      <c r="K134" s="156"/>
      <c r="L134" s="156"/>
      <c r="M134" s="156"/>
      <c r="N134" s="156"/>
      <c r="O134" s="156"/>
      <c r="P134" s="179"/>
      <c r="Q134" s="137"/>
      <c r="R134" s="137"/>
      <c r="S134" s="137"/>
      <c r="T134" s="137"/>
      <c r="U134" s="137"/>
      <c r="V134" s="137"/>
      <c r="W134" s="137"/>
      <c r="X134" s="137"/>
    </row>
    <row r="135" spans="1:24" s="142" customFormat="1" ht="15" customHeight="1" x14ac:dyDescent="0.25">
      <c r="A135" s="137"/>
      <c r="B135" s="218"/>
      <c r="C135" s="195"/>
      <c r="D135" s="218"/>
      <c r="E135" s="219"/>
      <c r="F135" s="220"/>
      <c r="G135" s="221"/>
      <c r="H135" s="178"/>
      <c r="I135" s="178"/>
      <c r="J135" s="178"/>
      <c r="K135" s="156"/>
      <c r="L135" s="156"/>
      <c r="M135" s="156"/>
      <c r="N135" s="156"/>
      <c r="O135" s="156"/>
      <c r="P135" s="179"/>
      <c r="Q135" s="137"/>
      <c r="R135" s="137"/>
      <c r="S135" s="137"/>
      <c r="T135" s="137"/>
      <c r="U135" s="137"/>
      <c r="V135" s="137"/>
      <c r="W135" s="137"/>
      <c r="X135" s="137"/>
    </row>
    <row r="136" spans="1:24" s="142" customFormat="1" ht="15" customHeight="1" x14ac:dyDescent="0.25">
      <c r="A136" s="137"/>
      <c r="B136" s="218"/>
      <c r="C136" s="195"/>
      <c r="D136" s="218"/>
      <c r="E136" s="219"/>
      <c r="F136" s="220"/>
      <c r="G136" s="221"/>
      <c r="H136" s="178"/>
      <c r="I136" s="178"/>
      <c r="J136" s="178"/>
      <c r="K136" s="156"/>
      <c r="L136" s="156"/>
      <c r="M136" s="156"/>
      <c r="N136" s="156"/>
      <c r="O136" s="156"/>
      <c r="P136" s="179"/>
      <c r="Q136" s="137"/>
      <c r="R136" s="137"/>
      <c r="S136" s="137"/>
      <c r="T136" s="137"/>
      <c r="U136" s="137"/>
      <c r="V136" s="137"/>
      <c r="W136" s="137"/>
      <c r="X136" s="137"/>
    </row>
    <row r="137" spans="1:24" s="142" customFormat="1" ht="15" customHeight="1" x14ac:dyDescent="0.25">
      <c r="A137" s="137"/>
      <c r="B137" s="218"/>
      <c r="C137" s="195"/>
      <c r="D137" s="218"/>
      <c r="E137" s="219"/>
      <c r="F137" s="220"/>
      <c r="G137" s="221"/>
      <c r="H137" s="178"/>
      <c r="I137" s="178"/>
      <c r="J137" s="178"/>
      <c r="K137" s="156"/>
      <c r="L137" s="156"/>
      <c r="M137" s="156"/>
      <c r="N137" s="156"/>
      <c r="O137" s="156"/>
      <c r="P137" s="179"/>
      <c r="Q137" s="137"/>
      <c r="R137" s="137"/>
      <c r="S137" s="137"/>
      <c r="T137" s="137"/>
      <c r="U137" s="137"/>
      <c r="V137" s="137"/>
      <c r="W137" s="137"/>
      <c r="X137" s="137"/>
    </row>
    <row r="138" spans="1:24" s="142" customFormat="1" ht="15" customHeight="1" x14ac:dyDescent="0.25">
      <c r="A138" s="137"/>
      <c r="B138" s="218"/>
      <c r="C138" s="195"/>
      <c r="D138" s="218"/>
      <c r="E138" s="219"/>
      <c r="F138" s="220"/>
      <c r="G138" s="221"/>
      <c r="H138" s="178"/>
      <c r="I138" s="178"/>
      <c r="J138" s="178"/>
      <c r="K138" s="156"/>
      <c r="L138" s="156"/>
      <c r="M138" s="156"/>
      <c r="N138" s="156"/>
      <c r="O138" s="156"/>
      <c r="P138" s="179"/>
      <c r="Q138" s="137"/>
      <c r="R138" s="137"/>
      <c r="S138" s="137"/>
      <c r="T138" s="137"/>
      <c r="U138" s="137"/>
      <c r="V138" s="137"/>
      <c r="W138" s="137"/>
      <c r="X138" s="137"/>
    </row>
    <row r="139" spans="1:24" s="142" customFormat="1" ht="15" customHeight="1" x14ac:dyDescent="0.25">
      <c r="A139" s="137"/>
      <c r="B139" s="218"/>
      <c r="C139" s="195"/>
      <c r="D139" s="218"/>
      <c r="E139" s="219"/>
      <c r="F139" s="220"/>
      <c r="G139" s="221"/>
      <c r="H139" s="178"/>
      <c r="I139" s="178"/>
      <c r="J139" s="178"/>
      <c r="K139" s="156"/>
      <c r="L139" s="156"/>
      <c r="M139" s="156"/>
      <c r="N139" s="156"/>
      <c r="O139" s="156"/>
      <c r="P139" s="179"/>
      <c r="Q139" s="137"/>
      <c r="R139" s="137"/>
      <c r="S139" s="137"/>
      <c r="T139" s="137"/>
      <c r="U139" s="137"/>
      <c r="V139" s="137"/>
      <c r="W139" s="137"/>
      <c r="X139" s="137"/>
    </row>
    <row r="140" spans="1:24" s="142" customFormat="1" ht="15" customHeight="1" x14ac:dyDescent="0.25">
      <c r="A140" s="137"/>
      <c r="B140" s="218"/>
      <c r="C140" s="195"/>
      <c r="D140" s="218"/>
      <c r="E140" s="219"/>
      <c r="F140" s="220"/>
      <c r="G140" s="221"/>
      <c r="H140" s="178"/>
      <c r="I140" s="178"/>
      <c r="J140" s="178"/>
      <c r="K140" s="156"/>
      <c r="L140" s="156"/>
      <c r="M140" s="156"/>
      <c r="N140" s="156"/>
      <c r="O140" s="156"/>
      <c r="P140" s="179"/>
      <c r="Q140" s="137"/>
      <c r="R140" s="137"/>
      <c r="S140" s="137"/>
      <c r="T140" s="137"/>
      <c r="U140" s="137"/>
      <c r="V140" s="137"/>
      <c r="W140" s="137"/>
      <c r="X140" s="137"/>
    </row>
    <row r="141" spans="1:24" s="142" customFormat="1" ht="15" customHeight="1" x14ac:dyDescent="0.25">
      <c r="A141" s="137"/>
      <c r="B141" s="218"/>
      <c r="C141" s="195"/>
      <c r="D141" s="218"/>
      <c r="E141" s="219"/>
      <c r="F141" s="220"/>
      <c r="G141" s="221"/>
      <c r="H141" s="178"/>
      <c r="I141" s="178"/>
      <c r="J141" s="178"/>
      <c r="K141" s="156"/>
      <c r="L141" s="156"/>
      <c r="M141" s="156"/>
      <c r="N141" s="156"/>
      <c r="O141" s="156"/>
      <c r="P141" s="179"/>
      <c r="Q141" s="137"/>
      <c r="R141" s="137"/>
      <c r="S141" s="137"/>
      <c r="T141" s="137"/>
      <c r="U141" s="137"/>
      <c r="V141" s="137"/>
      <c r="W141" s="137"/>
      <c r="X141" s="137"/>
    </row>
    <row r="142" spans="1:24" s="142" customFormat="1" ht="15" customHeight="1" x14ac:dyDescent="0.25">
      <c r="A142" s="137"/>
      <c r="B142" s="218"/>
      <c r="C142" s="195"/>
      <c r="D142" s="218"/>
      <c r="E142" s="219"/>
      <c r="F142" s="220"/>
      <c r="G142" s="221"/>
      <c r="H142" s="178"/>
      <c r="I142" s="178"/>
      <c r="J142" s="178"/>
      <c r="K142" s="156"/>
      <c r="L142" s="156"/>
      <c r="M142" s="156"/>
      <c r="N142" s="156"/>
      <c r="O142" s="156"/>
      <c r="P142" s="179"/>
      <c r="Q142" s="137"/>
      <c r="R142" s="137"/>
      <c r="S142" s="137"/>
      <c r="T142" s="137"/>
      <c r="U142" s="137"/>
      <c r="V142" s="137"/>
      <c r="W142" s="137"/>
      <c r="X142" s="137"/>
    </row>
    <row r="143" spans="1:24" s="142" customFormat="1" ht="15" customHeight="1" x14ac:dyDescent="0.25">
      <c r="A143" s="137"/>
      <c r="B143" s="218"/>
      <c r="C143" s="195"/>
      <c r="D143" s="218"/>
      <c r="E143" s="219"/>
      <c r="F143" s="220"/>
      <c r="G143" s="221"/>
      <c r="H143" s="178"/>
      <c r="I143" s="178"/>
      <c r="J143" s="178"/>
      <c r="K143" s="156"/>
      <c r="L143" s="156"/>
      <c r="M143" s="156"/>
      <c r="N143" s="156"/>
      <c r="O143" s="156"/>
      <c r="P143" s="179"/>
      <c r="Q143" s="137"/>
      <c r="R143" s="137"/>
      <c r="S143" s="137"/>
      <c r="T143" s="137"/>
      <c r="U143" s="137"/>
      <c r="V143" s="137"/>
      <c r="W143" s="137"/>
      <c r="X143" s="137"/>
    </row>
    <row r="144" spans="1:24" s="142" customFormat="1" ht="15" customHeight="1" x14ac:dyDescent="0.25">
      <c r="A144" s="137"/>
      <c r="B144" s="218"/>
      <c r="C144" s="195"/>
      <c r="D144" s="218"/>
      <c r="E144" s="219"/>
      <c r="F144" s="220"/>
      <c r="G144" s="221"/>
      <c r="H144" s="178"/>
      <c r="I144" s="178"/>
      <c r="J144" s="178"/>
      <c r="K144" s="156"/>
      <c r="L144" s="156"/>
      <c r="M144" s="156"/>
      <c r="N144" s="156"/>
      <c r="O144" s="156"/>
      <c r="P144" s="179"/>
      <c r="Q144" s="137"/>
      <c r="R144" s="137"/>
      <c r="S144" s="137"/>
      <c r="T144" s="137"/>
      <c r="U144" s="137"/>
      <c r="V144" s="137"/>
      <c r="W144" s="137"/>
      <c r="X144" s="137"/>
    </row>
    <row r="145" spans="1:24" s="142" customFormat="1" ht="15" customHeight="1" x14ac:dyDescent="0.25">
      <c r="A145" s="137"/>
      <c r="B145" s="218"/>
      <c r="C145" s="195"/>
      <c r="D145" s="218"/>
      <c r="E145" s="219"/>
      <c r="F145" s="220"/>
      <c r="G145" s="221"/>
      <c r="H145" s="178"/>
      <c r="I145" s="178"/>
      <c r="J145" s="178"/>
      <c r="K145" s="156"/>
      <c r="L145" s="156"/>
      <c r="M145" s="156"/>
      <c r="N145" s="156"/>
      <c r="O145" s="156"/>
      <c r="P145" s="179"/>
      <c r="Q145" s="137"/>
      <c r="R145" s="137"/>
      <c r="S145" s="137"/>
      <c r="T145" s="137"/>
      <c r="U145" s="137"/>
      <c r="V145" s="137"/>
      <c r="W145" s="137"/>
      <c r="X145" s="137"/>
    </row>
    <row r="146" spans="1:24" s="142" customFormat="1" ht="15" customHeight="1" x14ac:dyDescent="0.25">
      <c r="A146" s="137"/>
      <c r="B146" s="218"/>
      <c r="C146" s="195"/>
      <c r="D146" s="218"/>
      <c r="E146" s="219"/>
      <c r="F146" s="220"/>
      <c r="G146" s="221"/>
      <c r="H146" s="178"/>
      <c r="I146" s="178"/>
      <c r="J146" s="178"/>
      <c r="K146" s="156"/>
      <c r="L146" s="156"/>
      <c r="M146" s="156"/>
      <c r="N146" s="156"/>
      <c r="O146" s="156"/>
      <c r="P146" s="179"/>
      <c r="Q146" s="137"/>
      <c r="R146" s="137"/>
      <c r="S146" s="137"/>
      <c r="T146" s="137"/>
      <c r="U146" s="137"/>
      <c r="V146" s="137"/>
      <c r="W146" s="137"/>
      <c r="X146" s="137"/>
    </row>
    <row r="147" spans="1:24" s="142" customFormat="1" ht="15" customHeight="1" x14ac:dyDescent="0.25">
      <c r="A147" s="137"/>
      <c r="B147" s="218"/>
      <c r="C147" s="195"/>
      <c r="D147" s="218"/>
      <c r="E147" s="219"/>
      <c r="F147" s="220"/>
      <c r="G147" s="221"/>
      <c r="H147" s="178"/>
      <c r="I147" s="178"/>
      <c r="J147" s="178"/>
      <c r="K147" s="156"/>
      <c r="L147" s="156"/>
      <c r="M147" s="156"/>
      <c r="N147" s="156"/>
      <c r="O147" s="156"/>
      <c r="P147" s="179"/>
      <c r="Q147" s="137"/>
      <c r="R147" s="137"/>
      <c r="S147" s="137"/>
      <c r="T147" s="137"/>
      <c r="U147" s="137"/>
      <c r="V147" s="137"/>
      <c r="W147" s="137"/>
      <c r="X147" s="137"/>
    </row>
    <row r="148" spans="1:24" s="137" customFormat="1" ht="15" customHeight="1" x14ac:dyDescent="0.25"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142"/>
      <c r="O148" s="142"/>
    </row>
    <row r="149" spans="1:24" s="137" customFormat="1" ht="15" customHeight="1" x14ac:dyDescent="0.25"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142"/>
      <c r="O149" s="142"/>
    </row>
    <row r="150" spans="1:24" s="201" customFormat="1" ht="17.100000000000001" customHeight="1" x14ac:dyDescent="0.2"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17"/>
      <c r="O150" s="217"/>
    </row>
    <row r="151" spans="1:24" s="201" customFormat="1" ht="17.100000000000001" customHeight="1" x14ac:dyDescent="0.2"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17"/>
      <c r="O151" s="217"/>
    </row>
    <row r="152" spans="1:24" s="201" customFormat="1" ht="17.100000000000001" customHeight="1" x14ac:dyDescent="0.2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17"/>
      <c r="O152" s="217"/>
    </row>
    <row r="153" spans="1:24" s="201" customFormat="1" ht="17.100000000000001" customHeight="1" x14ac:dyDescent="0.2">
      <c r="B153" s="259"/>
      <c r="C153" s="259"/>
      <c r="D153" s="263"/>
      <c r="E153" s="261"/>
      <c r="F153" s="261"/>
      <c r="G153" s="261"/>
      <c r="H153" s="261"/>
      <c r="I153" s="261"/>
      <c r="J153" s="261"/>
      <c r="K153" s="261"/>
      <c r="L153" s="261"/>
      <c r="M153" s="261"/>
    </row>
    <row r="154" spans="1:24" s="201" customFormat="1" ht="17.100000000000001" customHeight="1" x14ac:dyDescent="0.2">
      <c r="B154" s="259"/>
      <c r="C154" s="259"/>
      <c r="D154" s="263"/>
      <c r="E154" s="261"/>
      <c r="F154" s="261"/>
      <c r="G154" s="261"/>
      <c r="H154" s="261"/>
      <c r="I154" s="261"/>
      <c r="J154" s="261"/>
      <c r="K154" s="261"/>
      <c r="L154" s="261"/>
      <c r="M154" s="261"/>
    </row>
    <row r="155" spans="1:24" s="201" customFormat="1" ht="17.100000000000001" customHeight="1" x14ac:dyDescent="0.2">
      <c r="B155" s="259"/>
      <c r="C155" s="259"/>
      <c r="D155" s="263"/>
      <c r="E155" s="261"/>
      <c r="F155" s="261"/>
      <c r="G155" s="261"/>
      <c r="H155" s="261"/>
      <c r="I155" s="261"/>
      <c r="J155" s="261"/>
      <c r="K155" s="261"/>
      <c r="L155" s="261"/>
      <c r="M155" s="261"/>
    </row>
    <row r="156" spans="1:24" s="201" customFormat="1" ht="17.100000000000001" customHeight="1" x14ac:dyDescent="0.2">
      <c r="B156" s="259"/>
      <c r="C156" s="259"/>
      <c r="D156" s="263"/>
      <c r="E156" s="261"/>
      <c r="F156" s="261"/>
      <c r="G156" s="261"/>
      <c r="H156" s="261"/>
      <c r="I156" s="261"/>
      <c r="J156" s="261"/>
      <c r="K156" s="261"/>
      <c r="L156" s="261"/>
      <c r="M156" s="261"/>
    </row>
    <row r="157" spans="1:24" s="201" customFormat="1" ht="17.100000000000001" customHeight="1" x14ac:dyDescent="0.2">
      <c r="B157" s="259"/>
      <c r="C157" s="259"/>
      <c r="D157" s="263"/>
      <c r="E157" s="261"/>
      <c r="F157" s="261"/>
      <c r="G157" s="261"/>
      <c r="H157" s="261"/>
      <c r="I157" s="261"/>
      <c r="J157" s="261"/>
      <c r="K157" s="261"/>
      <c r="L157" s="261"/>
      <c r="M157" s="261"/>
    </row>
    <row r="158" spans="1:24" s="201" customFormat="1" ht="17.100000000000001" customHeight="1" x14ac:dyDescent="0.2">
      <c r="B158" s="259"/>
      <c r="C158" s="259"/>
      <c r="D158" s="263"/>
      <c r="E158" s="261"/>
      <c r="F158" s="261"/>
      <c r="G158" s="261"/>
      <c r="H158" s="261"/>
      <c r="I158" s="261"/>
      <c r="J158" s="261"/>
      <c r="K158" s="261"/>
      <c r="L158" s="261"/>
      <c r="M158" s="261"/>
    </row>
    <row r="159" spans="1:24" s="201" customFormat="1" ht="17.100000000000001" customHeight="1" x14ac:dyDescent="0.2">
      <c r="B159" s="259"/>
      <c r="C159" s="259"/>
      <c r="D159" s="263"/>
      <c r="E159" s="261"/>
      <c r="F159" s="261"/>
      <c r="G159" s="261"/>
      <c r="H159" s="261"/>
      <c r="I159" s="261"/>
      <c r="J159" s="261"/>
      <c r="K159" s="261"/>
      <c r="L159" s="261"/>
      <c r="M159" s="261"/>
    </row>
    <row r="160" spans="1:24" s="201" customFormat="1" ht="17.100000000000001" customHeight="1" x14ac:dyDescent="0.2">
      <c r="B160" s="259"/>
      <c r="C160" s="259"/>
      <c r="D160" s="263"/>
      <c r="E160" s="261"/>
      <c r="F160" s="261"/>
      <c r="G160" s="261"/>
      <c r="H160" s="261"/>
      <c r="I160" s="261"/>
      <c r="J160" s="261"/>
      <c r="K160" s="261"/>
      <c r="L160" s="261"/>
      <c r="M160" s="261"/>
    </row>
    <row r="161" spans="2:13" s="201" customFormat="1" ht="17.100000000000001" customHeight="1" x14ac:dyDescent="0.2">
      <c r="B161" s="259"/>
      <c r="C161" s="259"/>
      <c r="D161" s="263"/>
      <c r="E161" s="261"/>
      <c r="F161" s="261"/>
      <c r="G161" s="261"/>
      <c r="H161" s="261"/>
      <c r="I161" s="261"/>
      <c r="J161" s="261"/>
      <c r="K161" s="261"/>
      <c r="L161" s="261"/>
      <c r="M161" s="261"/>
    </row>
    <row r="162" spans="2:13" s="202" customFormat="1" ht="17.100000000000001" customHeight="1" x14ac:dyDescent="0.25"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</row>
    <row r="163" spans="2:13" s="202" customFormat="1" ht="17.100000000000001" customHeight="1" x14ac:dyDescent="0.25"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</row>
    <row r="164" spans="2:13" s="202" customFormat="1" ht="17.100000000000001" customHeight="1" x14ac:dyDescent="0.25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</row>
    <row r="165" spans="2:13" s="137" customFormat="1" ht="16.5" customHeight="1" x14ac:dyDescent="0.25">
      <c r="B165" s="264"/>
      <c r="C165" s="264"/>
      <c r="D165" s="264"/>
      <c r="E165" s="261"/>
      <c r="F165" s="261"/>
      <c r="G165" s="261"/>
      <c r="H165" s="261"/>
      <c r="I165" s="261"/>
      <c r="J165" s="261"/>
      <c r="K165" s="261"/>
      <c r="L165" s="261"/>
      <c r="M165" s="261"/>
    </row>
    <row r="166" spans="2:13" s="137" customFormat="1" ht="17.100000000000001" customHeight="1" x14ac:dyDescent="0.25">
      <c r="B166" s="264"/>
      <c r="C166" s="264"/>
      <c r="D166" s="264"/>
      <c r="E166" s="261"/>
      <c r="F166" s="261"/>
      <c r="G166" s="261"/>
      <c r="H166" s="261"/>
      <c r="I166" s="261"/>
      <c r="J166" s="261"/>
      <c r="K166" s="261"/>
      <c r="L166" s="261"/>
      <c r="M166" s="261"/>
    </row>
    <row r="167" spans="2:13" s="137" customFormat="1" ht="17.100000000000001" customHeight="1" x14ac:dyDescent="0.25">
      <c r="B167" s="264"/>
      <c r="C167" s="264"/>
      <c r="D167" s="264"/>
      <c r="E167" s="261"/>
      <c r="F167" s="261"/>
      <c r="G167" s="261"/>
      <c r="H167" s="261"/>
      <c r="I167" s="261"/>
      <c r="J167" s="261"/>
      <c r="K167" s="261"/>
      <c r="L167" s="261"/>
      <c r="M167" s="261"/>
    </row>
    <row r="168" spans="2:13" s="137" customFormat="1" ht="17.100000000000001" customHeight="1" x14ac:dyDescent="0.25">
      <c r="B168" s="264"/>
      <c r="C168" s="264"/>
      <c r="D168" s="264"/>
      <c r="E168" s="261"/>
      <c r="F168" s="261"/>
      <c r="G168" s="261"/>
      <c r="H168" s="261"/>
      <c r="I168" s="261"/>
      <c r="J168" s="261"/>
      <c r="K168" s="261"/>
      <c r="L168" s="261"/>
      <c r="M168" s="261"/>
    </row>
    <row r="169" spans="2:13" s="137" customFormat="1" ht="16.5" customHeight="1" x14ac:dyDescent="0.25">
      <c r="B169" s="264"/>
      <c r="C169" s="264"/>
      <c r="D169" s="264"/>
      <c r="E169" s="261"/>
      <c r="F169" s="261"/>
      <c r="G169" s="261"/>
      <c r="H169" s="261"/>
      <c r="I169" s="261"/>
      <c r="J169" s="261"/>
      <c r="K169" s="261"/>
      <c r="L169" s="261"/>
      <c r="M169" s="261"/>
    </row>
    <row r="170" spans="2:13" s="137" customFormat="1" ht="16.5" customHeight="1" x14ac:dyDescent="0.25"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</row>
    <row r="171" spans="2:13" s="137" customFormat="1" ht="16.5" customHeight="1" x14ac:dyDescent="0.25"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</row>
    <row r="172" spans="2:13" s="137" customFormat="1" ht="16.5" customHeight="1" x14ac:dyDescent="0.25"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</row>
    <row r="173" spans="2:13" s="137" customFormat="1" ht="17.100000000000001" customHeight="1" x14ac:dyDescent="0.25"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</row>
    <row r="174" spans="2:13" s="137" customFormat="1" ht="17.100000000000001" customHeight="1" x14ac:dyDescent="0.25"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</row>
    <row r="175" spans="2:13" s="137" customFormat="1" ht="17.100000000000001" customHeight="1" x14ac:dyDescent="0.25"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</row>
    <row r="176" spans="2:13" s="137" customFormat="1" ht="16.5" customHeight="1" x14ac:dyDescent="0.25"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</row>
    <row r="177" spans="1:24" s="137" customFormat="1" ht="17.100000000000001" customHeight="1" x14ac:dyDescent="0.25"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</row>
    <row r="178" spans="1:24" s="137" customFormat="1" ht="17.100000000000001" customHeight="1" x14ac:dyDescent="0.25"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</row>
    <row r="179" spans="1:24" s="142" customFormat="1" ht="17.100000000000001" customHeight="1" x14ac:dyDescent="0.2">
      <c r="A179" s="137"/>
      <c r="B179" s="201"/>
      <c r="C179" s="203"/>
      <c r="D179" s="204"/>
      <c r="F179" s="180"/>
      <c r="G179" s="181"/>
      <c r="H179" s="194"/>
      <c r="I179" s="194"/>
      <c r="J179" s="194"/>
      <c r="K179" s="194"/>
      <c r="L179" s="194"/>
      <c r="M179" s="194"/>
      <c r="N179" s="194"/>
      <c r="O179" s="194"/>
      <c r="P179" s="194"/>
      <c r="S179" s="137"/>
      <c r="T179" s="137"/>
      <c r="U179" s="137"/>
      <c r="V179" s="137"/>
      <c r="W179" s="137"/>
      <c r="X179" s="137"/>
    </row>
    <row r="180" spans="1:24" s="142" customFormat="1" ht="17.100000000000001" customHeight="1" x14ac:dyDescent="0.2">
      <c r="A180" s="137"/>
      <c r="B180" s="201"/>
      <c r="C180" s="203"/>
      <c r="D180" s="204"/>
      <c r="F180" s="180"/>
      <c r="G180" s="181"/>
      <c r="H180" s="194"/>
      <c r="I180" s="194"/>
      <c r="J180" s="194"/>
      <c r="K180" s="194"/>
      <c r="L180" s="194"/>
      <c r="M180" s="194"/>
      <c r="N180" s="194"/>
      <c r="O180" s="194"/>
      <c r="P180" s="194"/>
      <c r="S180" s="137"/>
      <c r="T180" s="137"/>
      <c r="U180" s="137"/>
      <c r="V180" s="137"/>
      <c r="W180" s="137"/>
      <c r="X180" s="137"/>
    </row>
    <row r="181" spans="1:24" s="142" customFormat="1" ht="17.100000000000001" customHeight="1" x14ac:dyDescent="0.2">
      <c r="A181" s="137"/>
      <c r="B181" s="201"/>
      <c r="C181" s="203"/>
      <c r="D181" s="204"/>
      <c r="F181" s="180"/>
      <c r="G181" s="181"/>
      <c r="H181" s="194"/>
      <c r="I181" s="194"/>
      <c r="J181" s="194"/>
      <c r="K181" s="194"/>
      <c r="L181" s="194"/>
      <c r="M181" s="194"/>
      <c r="N181" s="194"/>
      <c r="O181" s="194"/>
      <c r="P181" s="194"/>
      <c r="S181" s="137"/>
      <c r="T181" s="137"/>
      <c r="U181" s="137"/>
      <c r="V181" s="137"/>
      <c r="W181" s="137"/>
      <c r="X181" s="137"/>
    </row>
    <row r="182" spans="1:24" s="142" customFormat="1" ht="17.100000000000001" customHeight="1" x14ac:dyDescent="0.2">
      <c r="A182" s="137"/>
      <c r="B182" s="201"/>
      <c r="C182" s="203"/>
      <c r="D182" s="204"/>
      <c r="F182" s="180"/>
      <c r="G182" s="181"/>
      <c r="H182" s="194"/>
      <c r="I182" s="194"/>
      <c r="J182" s="194"/>
      <c r="K182" s="194"/>
      <c r="L182" s="194"/>
      <c r="M182" s="194"/>
      <c r="N182" s="194"/>
      <c r="O182" s="194"/>
      <c r="P182" s="194"/>
      <c r="S182" s="137"/>
      <c r="T182" s="137"/>
      <c r="U182" s="137"/>
      <c r="V182" s="137"/>
      <c r="W182" s="137"/>
      <c r="X182" s="137"/>
    </row>
    <row r="183" spans="1:24" s="142" customFormat="1" ht="17.100000000000001" customHeight="1" x14ac:dyDescent="0.2">
      <c r="A183" s="137"/>
      <c r="B183" s="201"/>
      <c r="C183" s="203"/>
      <c r="D183" s="204"/>
      <c r="F183" s="180"/>
      <c r="G183" s="181"/>
      <c r="H183" s="194"/>
      <c r="I183" s="194"/>
      <c r="J183" s="194"/>
      <c r="K183" s="194"/>
      <c r="L183" s="194"/>
      <c r="M183" s="194"/>
      <c r="N183" s="194"/>
      <c r="O183" s="194"/>
      <c r="P183" s="194"/>
      <c r="S183" s="137"/>
      <c r="T183" s="137"/>
      <c r="U183" s="137"/>
      <c r="V183" s="137"/>
      <c r="W183" s="137"/>
      <c r="X183" s="137"/>
    </row>
    <row r="184" spans="1:24" s="142" customFormat="1" ht="17.100000000000001" customHeight="1" x14ac:dyDescent="0.2">
      <c r="A184" s="137"/>
      <c r="B184" s="201"/>
      <c r="C184" s="203"/>
      <c r="D184" s="204"/>
      <c r="F184" s="180"/>
      <c r="G184" s="181"/>
      <c r="H184" s="194"/>
      <c r="I184" s="194"/>
      <c r="J184" s="194"/>
      <c r="K184" s="194"/>
      <c r="L184" s="194"/>
      <c r="M184" s="194"/>
      <c r="N184" s="194"/>
      <c r="O184" s="194"/>
      <c r="P184" s="194"/>
      <c r="S184" s="137"/>
      <c r="T184" s="137"/>
      <c r="U184" s="137"/>
      <c r="V184" s="137"/>
      <c r="W184" s="137"/>
      <c r="X184" s="137"/>
    </row>
    <row r="185" spans="1:24" s="142" customFormat="1" ht="23.1" customHeight="1" x14ac:dyDescent="0.25">
      <c r="A185" s="137"/>
      <c r="B185" s="205"/>
      <c r="C185" s="206"/>
      <c r="D185" s="205"/>
      <c r="F185" s="180"/>
      <c r="G185" s="181"/>
      <c r="H185" s="194"/>
      <c r="I185" s="194"/>
      <c r="J185" s="194"/>
      <c r="K185" s="194"/>
      <c r="L185" s="194"/>
      <c r="M185" s="194"/>
      <c r="N185" s="194"/>
      <c r="O185" s="194"/>
      <c r="P185" s="194"/>
      <c r="S185" s="137"/>
      <c r="T185" s="137"/>
      <c r="U185" s="137"/>
      <c r="V185" s="137"/>
      <c r="W185" s="137"/>
      <c r="X185" s="137"/>
    </row>
    <row r="186" spans="1:24" s="142" customFormat="1" ht="15" customHeight="1" x14ac:dyDescent="0.25">
      <c r="A186" s="137"/>
      <c r="B186" s="265"/>
      <c r="C186" s="265"/>
      <c r="D186" s="265"/>
      <c r="F186" s="180"/>
      <c r="G186" s="181"/>
      <c r="H186" s="194"/>
      <c r="I186" s="194"/>
      <c r="J186" s="194"/>
      <c r="K186" s="194"/>
      <c r="L186" s="194"/>
      <c r="M186" s="194"/>
      <c r="N186" s="194"/>
      <c r="O186" s="194"/>
      <c r="P186" s="194"/>
      <c r="S186" s="137"/>
      <c r="T186" s="137"/>
      <c r="U186" s="137"/>
      <c r="V186" s="137"/>
      <c r="W186" s="137"/>
      <c r="X186" s="137"/>
    </row>
    <row r="187" spans="1:24" s="142" customFormat="1" x14ac:dyDescent="0.25">
      <c r="A187" s="137"/>
      <c r="F187" s="180"/>
      <c r="G187" s="181"/>
      <c r="H187" s="194"/>
      <c r="I187" s="194"/>
      <c r="J187" s="194"/>
      <c r="K187" s="194"/>
      <c r="L187" s="194"/>
      <c r="M187" s="194"/>
      <c r="N187" s="194"/>
      <c r="O187" s="194"/>
      <c r="P187" s="194"/>
      <c r="S187" s="137"/>
      <c r="T187" s="137"/>
      <c r="U187" s="137"/>
      <c r="V187" s="137"/>
      <c r="W187" s="137"/>
      <c r="X187" s="137"/>
    </row>
    <row r="188" spans="1:24" s="142" customFormat="1" x14ac:dyDescent="0.25">
      <c r="A188" s="137"/>
      <c r="F188" s="180"/>
      <c r="G188" s="181"/>
      <c r="H188" s="194"/>
      <c r="I188" s="194"/>
      <c r="J188" s="194"/>
      <c r="K188" s="194"/>
      <c r="L188" s="194"/>
      <c r="M188" s="194"/>
      <c r="N188" s="194"/>
      <c r="O188" s="194"/>
      <c r="P188" s="194"/>
      <c r="S188" s="137"/>
      <c r="T188" s="137"/>
      <c r="U188" s="137"/>
      <c r="V188" s="137"/>
      <c r="W188" s="137"/>
      <c r="X188" s="137"/>
    </row>
    <row r="189" spans="1:24" s="142" customFormat="1" x14ac:dyDescent="0.25">
      <c r="A189" s="137"/>
      <c r="B189" s="266"/>
      <c r="C189" s="266"/>
      <c r="D189" s="266"/>
      <c r="F189" s="180"/>
      <c r="G189" s="181"/>
      <c r="H189" s="194"/>
      <c r="I189" s="194"/>
      <c r="J189" s="194"/>
      <c r="K189" s="194"/>
      <c r="L189" s="194"/>
      <c r="M189" s="194"/>
      <c r="N189" s="194"/>
      <c r="O189" s="194"/>
      <c r="P189" s="194"/>
      <c r="S189" s="137"/>
      <c r="T189" s="137"/>
      <c r="U189" s="137"/>
      <c r="V189" s="137"/>
      <c r="W189" s="137"/>
      <c r="X189" s="137"/>
    </row>
    <row r="190" spans="1:24" s="142" customFormat="1" x14ac:dyDescent="0.25">
      <c r="A190" s="137"/>
      <c r="B190" s="265"/>
      <c r="C190" s="265"/>
      <c r="D190" s="205"/>
      <c r="F190" s="180"/>
      <c r="G190" s="181"/>
      <c r="H190" s="194"/>
      <c r="I190" s="194"/>
      <c r="J190" s="194"/>
      <c r="K190" s="194"/>
      <c r="L190" s="194"/>
      <c r="M190" s="194"/>
      <c r="N190" s="194"/>
      <c r="O190" s="194"/>
      <c r="P190" s="194"/>
      <c r="S190" s="137"/>
      <c r="T190" s="137"/>
      <c r="U190" s="137"/>
      <c r="V190" s="137"/>
      <c r="W190" s="137"/>
      <c r="X190" s="137"/>
    </row>
    <row r="191" spans="1:24" s="142" customFormat="1" x14ac:dyDescent="0.25">
      <c r="A191" s="137"/>
      <c r="B191" s="207"/>
      <c r="C191" s="195"/>
      <c r="D191" s="205"/>
      <c r="F191" s="180"/>
      <c r="G191" s="181"/>
      <c r="H191" s="194"/>
      <c r="I191" s="194"/>
      <c r="J191" s="194"/>
      <c r="K191" s="194"/>
      <c r="L191" s="194"/>
      <c r="M191" s="194"/>
      <c r="N191" s="194"/>
      <c r="O191" s="194"/>
      <c r="P191" s="194"/>
      <c r="S191" s="137"/>
      <c r="T191" s="137"/>
      <c r="U191" s="137"/>
      <c r="V191" s="137"/>
      <c r="W191" s="137"/>
      <c r="X191" s="137"/>
    </row>
    <row r="192" spans="1:24" s="142" customFormat="1" x14ac:dyDescent="0.25">
      <c r="A192" s="137"/>
      <c r="B192" s="265"/>
      <c r="C192" s="265"/>
      <c r="D192" s="205"/>
      <c r="F192" s="180"/>
      <c r="G192" s="181"/>
      <c r="H192" s="194"/>
      <c r="I192" s="194"/>
      <c r="J192" s="194"/>
      <c r="K192" s="194"/>
      <c r="L192" s="194"/>
      <c r="M192" s="194"/>
      <c r="N192" s="194"/>
      <c r="O192" s="194"/>
      <c r="P192" s="194"/>
      <c r="S192" s="137"/>
      <c r="T192" s="137"/>
      <c r="U192" s="137"/>
      <c r="V192" s="137"/>
      <c r="W192" s="137"/>
      <c r="X192" s="137"/>
    </row>
    <row r="193" spans="1:24" s="142" customFormat="1" x14ac:dyDescent="0.25">
      <c r="A193" s="137"/>
      <c r="B193" s="207"/>
      <c r="C193" s="195"/>
      <c r="D193" s="205"/>
      <c r="F193" s="180"/>
      <c r="G193" s="181"/>
      <c r="H193" s="194"/>
      <c r="I193" s="194"/>
      <c r="J193" s="194"/>
      <c r="K193" s="194"/>
      <c r="L193" s="194"/>
      <c r="M193" s="194"/>
      <c r="N193" s="194"/>
      <c r="O193" s="194"/>
      <c r="P193" s="194"/>
      <c r="S193" s="137"/>
      <c r="T193" s="137"/>
      <c r="U193" s="137"/>
      <c r="V193" s="137"/>
      <c r="W193" s="137"/>
      <c r="X193" s="137"/>
    </row>
    <row r="194" spans="1:24" s="142" customFormat="1" x14ac:dyDescent="0.25">
      <c r="A194" s="137"/>
      <c r="B194" s="265"/>
      <c r="C194" s="265"/>
      <c r="F194" s="180"/>
      <c r="G194" s="181"/>
      <c r="H194" s="194"/>
      <c r="I194" s="194"/>
      <c r="J194" s="194"/>
      <c r="K194" s="194"/>
      <c r="L194" s="194"/>
      <c r="M194" s="194"/>
      <c r="N194" s="194"/>
      <c r="O194" s="194"/>
      <c r="P194" s="194"/>
      <c r="S194" s="137"/>
      <c r="T194" s="137"/>
      <c r="U194" s="137"/>
      <c r="V194" s="137"/>
      <c r="W194" s="137"/>
      <c r="X194" s="137"/>
    </row>
    <row r="195" spans="1:24" s="142" customFormat="1" x14ac:dyDescent="0.25">
      <c r="A195" s="137"/>
      <c r="F195" s="180"/>
      <c r="G195" s="181"/>
      <c r="H195" s="194"/>
      <c r="I195" s="194"/>
      <c r="J195" s="194"/>
      <c r="K195" s="194"/>
      <c r="L195" s="194"/>
      <c r="M195" s="194"/>
      <c r="N195" s="194"/>
      <c r="O195" s="194"/>
      <c r="P195" s="194"/>
      <c r="S195" s="137"/>
      <c r="T195" s="137"/>
      <c r="U195" s="137"/>
      <c r="V195" s="137"/>
      <c r="W195" s="137"/>
      <c r="X195" s="137"/>
    </row>
    <row r="196" spans="1:24" s="142" customFormat="1" x14ac:dyDescent="0.25">
      <c r="A196" s="137"/>
      <c r="F196" s="180"/>
      <c r="G196" s="181"/>
      <c r="H196" s="194"/>
      <c r="I196" s="194"/>
      <c r="J196" s="194"/>
      <c r="K196" s="194"/>
      <c r="L196" s="194"/>
      <c r="M196" s="194"/>
      <c r="N196" s="194"/>
      <c r="O196" s="194"/>
      <c r="P196" s="194"/>
      <c r="S196" s="137"/>
      <c r="T196" s="137"/>
      <c r="U196" s="137"/>
      <c r="V196" s="137"/>
      <c r="W196" s="137"/>
      <c r="X196" s="137"/>
    </row>
    <row r="197" spans="1:24" s="142" customFormat="1" x14ac:dyDescent="0.25">
      <c r="A197" s="137"/>
      <c r="F197" s="180"/>
      <c r="G197" s="181"/>
      <c r="H197" s="194"/>
      <c r="I197" s="194"/>
      <c r="J197" s="194"/>
      <c r="K197" s="194"/>
      <c r="L197" s="194"/>
      <c r="M197" s="194"/>
      <c r="N197" s="194"/>
      <c r="O197" s="194"/>
      <c r="P197" s="194"/>
      <c r="S197" s="137"/>
      <c r="T197" s="137"/>
      <c r="U197" s="137"/>
      <c r="V197" s="137"/>
      <c r="W197" s="137"/>
      <c r="X197" s="137"/>
    </row>
    <row r="198" spans="1:24" s="142" customFormat="1" x14ac:dyDescent="0.25">
      <c r="A198" s="137"/>
      <c r="F198" s="180"/>
      <c r="G198" s="181"/>
      <c r="H198" s="194"/>
      <c r="I198" s="194"/>
      <c r="J198" s="194"/>
      <c r="K198" s="194"/>
      <c r="L198" s="194"/>
      <c r="M198" s="194"/>
      <c r="N198" s="194"/>
      <c r="O198" s="194"/>
      <c r="P198" s="194"/>
      <c r="S198" s="137"/>
      <c r="T198" s="137"/>
      <c r="U198" s="137"/>
      <c r="V198" s="137"/>
      <c r="W198" s="137"/>
      <c r="X198" s="137"/>
    </row>
    <row r="199" spans="1:24" s="142" customFormat="1" x14ac:dyDescent="0.25">
      <c r="A199" s="137"/>
      <c r="F199" s="180"/>
      <c r="G199" s="181"/>
      <c r="H199" s="194"/>
      <c r="I199" s="194"/>
      <c r="J199" s="194"/>
      <c r="K199" s="194"/>
      <c r="L199" s="194"/>
      <c r="M199" s="194"/>
      <c r="N199" s="194"/>
      <c r="O199" s="194"/>
      <c r="P199" s="194"/>
      <c r="S199" s="137"/>
      <c r="T199" s="137"/>
      <c r="U199" s="137"/>
      <c r="V199" s="137"/>
      <c r="W199" s="137"/>
      <c r="X199" s="137"/>
    </row>
    <row r="200" spans="1:24" s="142" customFormat="1" x14ac:dyDescent="0.25">
      <c r="A200" s="137"/>
      <c r="F200" s="180"/>
      <c r="G200" s="181"/>
      <c r="H200" s="194"/>
      <c r="I200" s="194"/>
      <c r="J200" s="194"/>
      <c r="K200" s="194"/>
      <c r="L200" s="194"/>
      <c r="M200" s="194"/>
      <c r="N200" s="194"/>
      <c r="O200" s="194"/>
      <c r="P200" s="194"/>
      <c r="S200" s="137"/>
      <c r="T200" s="137"/>
      <c r="U200" s="137"/>
      <c r="V200" s="137"/>
      <c r="W200" s="137"/>
      <c r="X200" s="137"/>
    </row>
    <row r="201" spans="1:24" s="142" customFormat="1" x14ac:dyDescent="0.25">
      <c r="A201" s="137"/>
      <c r="F201" s="180"/>
      <c r="G201" s="181"/>
      <c r="H201" s="194"/>
      <c r="I201" s="194"/>
      <c r="J201" s="194"/>
      <c r="K201" s="194"/>
      <c r="L201" s="194"/>
      <c r="M201" s="194"/>
      <c r="N201" s="194"/>
      <c r="O201" s="194"/>
      <c r="P201" s="194"/>
      <c r="S201" s="137"/>
      <c r="T201" s="137"/>
      <c r="U201" s="137"/>
      <c r="V201" s="137"/>
      <c r="W201" s="137"/>
      <c r="X201" s="137"/>
    </row>
    <row r="202" spans="1:24" s="142" customFormat="1" x14ac:dyDescent="0.25">
      <c r="A202" s="137"/>
      <c r="F202" s="180"/>
      <c r="G202" s="181"/>
      <c r="H202" s="194"/>
      <c r="I202" s="194"/>
      <c r="J202" s="194"/>
      <c r="K202" s="194"/>
      <c r="L202" s="194"/>
      <c r="M202" s="194"/>
      <c r="N202" s="194"/>
      <c r="O202" s="194"/>
      <c r="P202" s="194"/>
      <c r="S202" s="137"/>
      <c r="T202" s="137"/>
      <c r="U202" s="137"/>
      <c r="V202" s="137"/>
      <c r="W202" s="137"/>
      <c r="X202" s="137"/>
    </row>
    <row r="203" spans="1:24" s="142" customFormat="1" x14ac:dyDescent="0.25">
      <c r="A203" s="137"/>
      <c r="F203" s="180"/>
      <c r="G203" s="181"/>
      <c r="H203" s="194"/>
      <c r="I203" s="194"/>
      <c r="J203" s="194"/>
      <c r="K203" s="194"/>
      <c r="L203" s="194"/>
      <c r="M203" s="194"/>
      <c r="N203" s="194"/>
      <c r="O203" s="194"/>
      <c r="P203" s="194"/>
      <c r="S203" s="137"/>
      <c r="T203" s="137"/>
      <c r="U203" s="137"/>
      <c r="V203" s="137"/>
      <c r="W203" s="137"/>
      <c r="X203" s="137"/>
    </row>
    <row r="204" spans="1:24" s="142" customFormat="1" x14ac:dyDescent="0.25">
      <c r="A204" s="137"/>
      <c r="F204" s="180"/>
      <c r="G204" s="181"/>
      <c r="H204" s="194"/>
      <c r="I204" s="194"/>
      <c r="J204" s="194"/>
      <c r="K204" s="194"/>
      <c r="L204" s="194"/>
      <c r="M204" s="194"/>
      <c r="N204" s="194"/>
      <c r="O204" s="194"/>
      <c r="P204" s="194"/>
      <c r="S204" s="137"/>
      <c r="T204" s="137"/>
      <c r="U204" s="137"/>
      <c r="V204" s="137"/>
      <c r="W204" s="137"/>
      <c r="X204" s="137"/>
    </row>
    <row r="205" spans="1:24" s="142" customFormat="1" x14ac:dyDescent="0.25">
      <c r="A205" s="137"/>
      <c r="F205" s="180"/>
      <c r="G205" s="181"/>
      <c r="H205" s="194"/>
      <c r="I205" s="194"/>
      <c r="J205" s="194"/>
      <c r="K205" s="194"/>
      <c r="L205" s="194"/>
      <c r="M205" s="194"/>
      <c r="N205" s="194"/>
      <c r="O205" s="194"/>
      <c r="P205" s="194"/>
      <c r="S205" s="137"/>
      <c r="T205" s="137"/>
      <c r="U205" s="137"/>
      <c r="V205" s="137"/>
      <c r="W205" s="137"/>
      <c r="X205" s="137"/>
    </row>
    <row r="206" spans="1:24" s="142" customFormat="1" x14ac:dyDescent="0.25">
      <c r="A206" s="137"/>
      <c r="F206" s="180"/>
      <c r="G206" s="181"/>
      <c r="H206" s="194"/>
      <c r="I206" s="194"/>
      <c r="J206" s="194"/>
      <c r="K206" s="194"/>
      <c r="L206" s="194"/>
      <c r="M206" s="194"/>
      <c r="N206" s="194"/>
      <c r="O206" s="194"/>
      <c r="P206" s="194"/>
      <c r="S206" s="137"/>
      <c r="T206" s="137"/>
      <c r="U206" s="137"/>
      <c r="V206" s="137"/>
      <c r="W206" s="137"/>
      <c r="X206" s="137"/>
    </row>
    <row r="207" spans="1:24" s="142" customFormat="1" x14ac:dyDescent="0.25">
      <c r="A207" s="137"/>
      <c r="F207" s="180"/>
      <c r="G207" s="181"/>
      <c r="H207" s="194"/>
      <c r="I207" s="194"/>
      <c r="J207" s="194"/>
      <c r="K207" s="194"/>
      <c r="L207" s="194"/>
      <c r="M207" s="194"/>
      <c r="N207" s="194"/>
      <c r="O207" s="194"/>
      <c r="P207" s="194"/>
      <c r="S207" s="137"/>
      <c r="T207" s="137"/>
      <c r="U207" s="137"/>
      <c r="V207" s="137"/>
      <c r="W207" s="137"/>
      <c r="X207" s="137"/>
    </row>
    <row r="208" spans="1:24" s="142" customFormat="1" x14ac:dyDescent="0.25">
      <c r="A208" s="137"/>
      <c r="F208" s="180"/>
      <c r="G208" s="181"/>
      <c r="H208" s="194"/>
      <c r="I208" s="194"/>
      <c r="J208" s="194"/>
      <c r="K208" s="194"/>
      <c r="L208" s="194"/>
      <c r="M208" s="194"/>
      <c r="N208" s="194"/>
      <c r="O208" s="194"/>
      <c r="P208" s="194"/>
    </row>
    <row r="209" spans="1:16" s="142" customFormat="1" x14ac:dyDescent="0.25">
      <c r="A209" s="137"/>
      <c r="F209" s="180"/>
      <c r="G209" s="181"/>
      <c r="H209" s="194"/>
      <c r="I209" s="194"/>
      <c r="J209" s="194"/>
      <c r="K209" s="194"/>
      <c r="L209" s="194"/>
      <c r="M209" s="194"/>
      <c r="N209" s="194"/>
      <c r="O209" s="194"/>
      <c r="P209" s="194"/>
    </row>
    <row r="210" spans="1:16" s="142" customFormat="1" x14ac:dyDescent="0.25">
      <c r="A210" s="137"/>
      <c r="F210" s="180"/>
      <c r="G210" s="181"/>
      <c r="H210" s="194"/>
      <c r="I210" s="194"/>
      <c r="J210" s="194"/>
      <c r="K210" s="194"/>
      <c r="L210" s="194"/>
      <c r="M210" s="194"/>
      <c r="N210" s="194"/>
      <c r="O210" s="194"/>
      <c r="P210" s="194"/>
    </row>
    <row r="211" spans="1:16" s="142" customFormat="1" x14ac:dyDescent="0.25">
      <c r="A211" s="137"/>
      <c r="F211" s="180"/>
      <c r="G211" s="181"/>
      <c r="H211" s="194"/>
      <c r="I211" s="194"/>
      <c r="J211" s="194"/>
      <c r="K211" s="194"/>
      <c r="L211" s="194"/>
      <c r="M211" s="194"/>
      <c r="N211" s="194"/>
      <c r="O211" s="194"/>
      <c r="P211" s="194"/>
    </row>
    <row r="212" spans="1:16" s="142" customFormat="1" x14ac:dyDescent="0.25">
      <c r="A212" s="137"/>
      <c r="F212" s="180"/>
      <c r="G212" s="181"/>
      <c r="H212" s="194"/>
      <c r="I212" s="194"/>
      <c r="J212" s="194"/>
      <c r="K212" s="194"/>
      <c r="L212" s="194"/>
      <c r="M212" s="194"/>
      <c r="N212" s="194"/>
      <c r="O212" s="194"/>
      <c r="P212" s="194"/>
    </row>
    <row r="213" spans="1:16" s="142" customFormat="1" x14ac:dyDescent="0.25">
      <c r="A213" s="137"/>
      <c r="F213" s="180"/>
      <c r="G213" s="181"/>
      <c r="H213" s="194"/>
      <c r="I213" s="194"/>
      <c r="J213" s="194"/>
      <c r="K213" s="194"/>
      <c r="L213" s="194"/>
      <c r="M213" s="194"/>
      <c r="N213" s="194"/>
      <c r="O213" s="194"/>
      <c r="P213" s="194"/>
    </row>
    <row r="214" spans="1:16" s="142" customFormat="1" x14ac:dyDescent="0.25">
      <c r="A214" s="137"/>
      <c r="F214" s="180"/>
      <c r="G214" s="181"/>
      <c r="H214" s="194"/>
      <c r="I214" s="194"/>
      <c r="J214" s="194"/>
      <c r="K214" s="194"/>
      <c r="L214" s="194"/>
      <c r="M214" s="194"/>
      <c r="N214" s="194"/>
      <c r="O214" s="194"/>
      <c r="P214" s="194"/>
    </row>
    <row r="215" spans="1:16" s="142" customFormat="1" x14ac:dyDescent="0.25">
      <c r="A215" s="137"/>
      <c r="F215" s="180"/>
      <c r="G215" s="181"/>
      <c r="H215" s="194"/>
      <c r="I215" s="194"/>
      <c r="J215" s="194"/>
      <c r="K215" s="194"/>
      <c r="L215" s="194"/>
      <c r="M215" s="194"/>
      <c r="N215" s="194"/>
      <c r="O215" s="194"/>
      <c r="P215" s="194"/>
    </row>
    <row r="216" spans="1:16" s="142" customFormat="1" x14ac:dyDescent="0.25">
      <c r="A216" s="137"/>
      <c r="F216" s="180"/>
      <c r="G216" s="181"/>
      <c r="H216" s="194"/>
      <c r="I216" s="194"/>
      <c r="J216" s="194"/>
      <c r="K216" s="194"/>
      <c r="L216" s="194"/>
      <c r="M216" s="194"/>
      <c r="N216" s="194"/>
      <c r="O216" s="194"/>
      <c r="P216" s="194"/>
    </row>
    <row r="217" spans="1:16" s="142" customFormat="1" x14ac:dyDescent="0.25">
      <c r="A217" s="137"/>
      <c r="F217" s="180"/>
      <c r="G217" s="181"/>
      <c r="H217" s="194"/>
      <c r="I217" s="194"/>
      <c r="J217" s="194"/>
      <c r="K217" s="194"/>
      <c r="L217" s="194"/>
      <c r="M217" s="194"/>
      <c r="N217" s="194"/>
      <c r="O217" s="194"/>
      <c r="P217" s="194"/>
    </row>
    <row r="218" spans="1:16" s="142" customFormat="1" x14ac:dyDescent="0.25">
      <c r="A218" s="137"/>
      <c r="F218" s="180"/>
      <c r="G218" s="181"/>
      <c r="H218" s="194"/>
      <c r="I218" s="194"/>
      <c r="J218" s="194"/>
      <c r="K218" s="194"/>
      <c r="L218" s="194"/>
      <c r="M218" s="194"/>
      <c r="N218" s="194"/>
      <c r="O218" s="194"/>
      <c r="P218" s="194"/>
    </row>
    <row r="219" spans="1:16" s="142" customFormat="1" x14ac:dyDescent="0.25">
      <c r="A219" s="137"/>
      <c r="F219" s="180"/>
      <c r="G219" s="181"/>
      <c r="H219" s="194"/>
      <c r="I219" s="194"/>
      <c r="J219" s="194"/>
      <c r="K219" s="194"/>
      <c r="L219" s="194"/>
      <c r="M219" s="194"/>
      <c r="N219" s="194"/>
      <c r="O219" s="194"/>
      <c r="P219" s="194"/>
    </row>
    <row r="220" spans="1:16" s="142" customFormat="1" x14ac:dyDescent="0.25">
      <c r="A220" s="137"/>
      <c r="F220" s="180"/>
      <c r="G220" s="181"/>
      <c r="H220" s="194"/>
      <c r="I220" s="194"/>
      <c r="J220" s="194"/>
      <c r="K220" s="194"/>
      <c r="L220" s="194"/>
      <c r="M220" s="194"/>
      <c r="N220" s="194"/>
      <c r="O220" s="194"/>
      <c r="P220" s="194"/>
    </row>
    <row r="221" spans="1:16" s="142" customFormat="1" x14ac:dyDescent="0.25">
      <c r="A221" s="137"/>
      <c r="F221" s="180"/>
      <c r="G221" s="181"/>
      <c r="H221" s="194"/>
      <c r="I221" s="194"/>
      <c r="J221" s="194"/>
      <c r="K221" s="194"/>
      <c r="L221" s="194"/>
      <c r="M221" s="194"/>
      <c r="N221" s="194"/>
      <c r="O221" s="194"/>
      <c r="P221" s="194"/>
    </row>
    <row r="222" spans="1:16" s="142" customFormat="1" x14ac:dyDescent="0.25">
      <c r="A222" s="137"/>
      <c r="F222" s="180"/>
      <c r="G222" s="181"/>
      <c r="H222" s="194"/>
      <c r="I222" s="194"/>
      <c r="J222" s="194"/>
      <c r="K222" s="194"/>
      <c r="L222" s="194"/>
      <c r="M222" s="194"/>
      <c r="N222" s="194"/>
      <c r="O222" s="194"/>
      <c r="P222" s="194"/>
    </row>
    <row r="223" spans="1:16" s="142" customFormat="1" x14ac:dyDescent="0.25">
      <c r="A223" s="137"/>
      <c r="F223" s="180"/>
      <c r="G223" s="181"/>
      <c r="H223" s="194"/>
      <c r="I223" s="194"/>
      <c r="J223" s="194"/>
      <c r="K223" s="194"/>
      <c r="L223" s="194"/>
      <c r="M223" s="194"/>
      <c r="N223" s="194"/>
      <c r="O223" s="194"/>
      <c r="P223" s="194"/>
    </row>
    <row r="224" spans="1:16" s="142" customFormat="1" x14ac:dyDescent="0.25">
      <c r="A224" s="137"/>
      <c r="F224" s="180"/>
      <c r="G224" s="181"/>
      <c r="H224" s="194"/>
      <c r="I224" s="194"/>
      <c r="J224" s="194"/>
      <c r="K224" s="194"/>
      <c r="L224" s="194"/>
      <c r="M224" s="194"/>
      <c r="N224" s="194"/>
      <c r="O224" s="194"/>
      <c r="P224" s="194"/>
    </row>
    <row r="225" spans="1:16" s="142" customFormat="1" x14ac:dyDescent="0.25">
      <c r="A225" s="137"/>
      <c r="F225" s="180"/>
      <c r="G225" s="181"/>
      <c r="H225" s="194"/>
      <c r="I225" s="194"/>
      <c r="J225" s="194"/>
      <c r="K225" s="194"/>
      <c r="L225" s="194"/>
      <c r="M225" s="194"/>
      <c r="N225" s="194"/>
      <c r="O225" s="194"/>
      <c r="P225" s="194"/>
    </row>
    <row r="226" spans="1:16" s="142" customFormat="1" x14ac:dyDescent="0.25">
      <c r="A226" s="137"/>
      <c r="F226" s="180"/>
      <c r="G226" s="181"/>
      <c r="H226" s="194"/>
      <c r="I226" s="194"/>
      <c r="J226" s="194"/>
      <c r="K226" s="194"/>
      <c r="L226" s="194"/>
      <c r="M226" s="194"/>
      <c r="N226" s="194"/>
      <c r="O226" s="194"/>
      <c r="P226" s="194"/>
    </row>
    <row r="227" spans="1:16" s="142" customFormat="1" x14ac:dyDescent="0.25">
      <c r="A227" s="137"/>
      <c r="F227" s="180"/>
      <c r="G227" s="181"/>
      <c r="H227" s="194"/>
      <c r="I227" s="194"/>
      <c r="J227" s="194"/>
      <c r="K227" s="194"/>
      <c r="L227" s="194"/>
      <c r="M227" s="194"/>
      <c r="N227" s="194"/>
      <c r="O227" s="194"/>
      <c r="P227" s="194"/>
    </row>
    <row r="228" spans="1:16" s="142" customFormat="1" x14ac:dyDescent="0.25">
      <c r="A228" s="137"/>
      <c r="F228" s="180"/>
      <c r="G228" s="181"/>
      <c r="H228" s="194"/>
      <c r="I228" s="194"/>
      <c r="J228" s="194"/>
      <c r="K228" s="194"/>
      <c r="L228" s="194"/>
      <c r="M228" s="194"/>
      <c r="N228" s="194"/>
      <c r="O228" s="194"/>
      <c r="P228" s="194"/>
    </row>
    <row r="229" spans="1:16" s="142" customFormat="1" x14ac:dyDescent="0.25">
      <c r="A229" s="137"/>
      <c r="F229" s="180"/>
      <c r="G229" s="181"/>
      <c r="H229" s="194"/>
      <c r="I229" s="194"/>
      <c r="J229" s="194"/>
      <c r="K229" s="194"/>
      <c r="L229" s="194"/>
      <c r="M229" s="194"/>
      <c r="N229" s="194"/>
      <c r="O229" s="194"/>
      <c r="P229" s="194"/>
    </row>
    <row r="230" spans="1:16" s="142" customFormat="1" x14ac:dyDescent="0.25">
      <c r="A230" s="137"/>
      <c r="F230" s="180"/>
      <c r="G230" s="181"/>
      <c r="H230" s="194"/>
      <c r="I230" s="194"/>
      <c r="J230" s="194"/>
      <c r="K230" s="194"/>
      <c r="L230" s="194"/>
      <c r="M230" s="194"/>
      <c r="N230" s="194"/>
      <c r="O230" s="194"/>
      <c r="P230" s="194"/>
    </row>
    <row r="231" spans="1:16" s="142" customFormat="1" x14ac:dyDescent="0.25">
      <c r="A231" s="137"/>
      <c r="F231" s="180"/>
      <c r="G231" s="181"/>
      <c r="H231" s="194"/>
      <c r="I231" s="194"/>
      <c r="J231" s="194"/>
      <c r="K231" s="194"/>
      <c r="L231" s="194"/>
      <c r="M231" s="194"/>
      <c r="N231" s="194"/>
      <c r="O231" s="194"/>
      <c r="P231" s="194"/>
    </row>
    <row r="232" spans="1:16" s="142" customFormat="1" x14ac:dyDescent="0.25">
      <c r="A232" s="137"/>
      <c r="F232" s="180"/>
      <c r="G232" s="181"/>
      <c r="H232" s="194"/>
      <c r="I232" s="194"/>
      <c r="J232" s="194"/>
      <c r="K232" s="194"/>
      <c r="L232" s="194"/>
      <c r="M232" s="194"/>
      <c r="N232" s="194"/>
      <c r="O232" s="194"/>
      <c r="P232" s="194"/>
    </row>
    <row r="233" spans="1:16" s="142" customFormat="1" x14ac:dyDescent="0.25">
      <c r="A233" s="137"/>
      <c r="F233" s="180"/>
      <c r="G233" s="181"/>
      <c r="H233" s="194"/>
      <c r="I233" s="194"/>
      <c r="J233" s="194"/>
      <c r="K233" s="194"/>
      <c r="L233" s="194"/>
      <c r="M233" s="194"/>
      <c r="N233" s="194"/>
      <c r="O233" s="194"/>
      <c r="P233" s="194"/>
    </row>
    <row r="234" spans="1:16" s="142" customFormat="1" x14ac:dyDescent="0.25">
      <c r="A234" s="137"/>
      <c r="F234" s="180"/>
      <c r="G234" s="181"/>
      <c r="H234" s="194"/>
      <c r="I234" s="194"/>
      <c r="J234" s="194"/>
      <c r="K234" s="194"/>
      <c r="L234" s="194"/>
      <c r="M234" s="194"/>
      <c r="N234" s="194"/>
      <c r="O234" s="194"/>
      <c r="P234" s="194"/>
    </row>
    <row r="235" spans="1:16" s="142" customFormat="1" x14ac:dyDescent="0.25">
      <c r="A235" s="137"/>
      <c r="F235" s="180"/>
      <c r="G235" s="181"/>
      <c r="H235" s="194"/>
      <c r="I235" s="194"/>
      <c r="J235" s="194"/>
      <c r="K235" s="194"/>
      <c r="L235" s="194"/>
      <c r="M235" s="194"/>
      <c r="N235" s="194"/>
      <c r="O235" s="194"/>
      <c r="P235" s="194"/>
    </row>
    <row r="236" spans="1:16" s="142" customFormat="1" x14ac:dyDescent="0.25">
      <c r="A236" s="137"/>
      <c r="F236" s="180"/>
      <c r="G236" s="181"/>
      <c r="H236" s="194"/>
      <c r="I236" s="194"/>
      <c r="J236" s="194"/>
      <c r="K236" s="194"/>
      <c r="L236" s="194"/>
      <c r="M236" s="194"/>
      <c r="N236" s="194"/>
      <c r="O236" s="194"/>
      <c r="P236" s="194"/>
    </row>
    <row r="237" spans="1:16" s="142" customFormat="1" x14ac:dyDescent="0.25">
      <c r="A237" s="137"/>
      <c r="F237" s="180"/>
      <c r="G237" s="181"/>
      <c r="H237" s="194"/>
      <c r="I237" s="194"/>
      <c r="J237" s="194"/>
      <c r="K237" s="194"/>
      <c r="L237" s="194"/>
      <c r="M237" s="194"/>
      <c r="N237" s="194"/>
      <c r="O237" s="194"/>
      <c r="P237" s="194"/>
    </row>
    <row r="238" spans="1:16" s="142" customFormat="1" x14ac:dyDescent="0.25">
      <c r="A238" s="137"/>
      <c r="F238" s="180"/>
      <c r="G238" s="181"/>
      <c r="H238" s="194"/>
      <c r="I238" s="194"/>
      <c r="J238" s="194"/>
      <c r="K238" s="194"/>
      <c r="L238" s="194"/>
      <c r="M238" s="194"/>
      <c r="N238" s="194"/>
      <c r="O238" s="194"/>
      <c r="P238" s="194"/>
    </row>
    <row r="239" spans="1:16" s="142" customFormat="1" x14ac:dyDescent="0.25">
      <c r="A239" s="137"/>
      <c r="F239" s="180"/>
      <c r="G239" s="181"/>
      <c r="H239" s="194"/>
      <c r="I239" s="194"/>
      <c r="J239" s="194"/>
      <c r="K239" s="194"/>
      <c r="L239" s="194"/>
      <c r="M239" s="194"/>
      <c r="N239" s="194"/>
      <c r="O239" s="194"/>
      <c r="P239" s="194"/>
    </row>
    <row r="240" spans="1:16" s="142" customFormat="1" x14ac:dyDescent="0.25">
      <c r="A240" s="137"/>
      <c r="F240" s="180"/>
      <c r="G240" s="181"/>
      <c r="H240" s="194"/>
      <c r="I240" s="194"/>
      <c r="J240" s="194"/>
      <c r="K240" s="194"/>
      <c r="L240" s="194"/>
      <c r="M240" s="194"/>
      <c r="N240" s="194"/>
      <c r="O240" s="194"/>
      <c r="P240" s="194"/>
    </row>
    <row r="241" spans="1:16" s="142" customFormat="1" x14ac:dyDescent="0.25">
      <c r="A241" s="137"/>
      <c r="F241" s="180"/>
      <c r="G241" s="181"/>
      <c r="H241" s="194"/>
      <c r="I241" s="194"/>
      <c r="J241" s="194"/>
      <c r="K241" s="194"/>
      <c r="L241" s="194"/>
      <c r="M241" s="194"/>
      <c r="N241" s="194"/>
      <c r="O241" s="194"/>
      <c r="P241" s="194"/>
    </row>
    <row r="242" spans="1:16" s="142" customFormat="1" x14ac:dyDescent="0.25">
      <c r="A242" s="137"/>
      <c r="F242" s="180"/>
      <c r="G242" s="181"/>
      <c r="H242" s="194"/>
      <c r="I242" s="194"/>
      <c r="J242" s="194"/>
      <c r="K242" s="194"/>
      <c r="L242" s="194"/>
      <c r="M242" s="194"/>
      <c r="N242" s="194"/>
      <c r="O242" s="194"/>
      <c r="P242" s="194"/>
    </row>
    <row r="243" spans="1:16" s="142" customFormat="1" x14ac:dyDescent="0.25">
      <c r="A243" s="137"/>
      <c r="F243" s="180"/>
      <c r="G243" s="181"/>
      <c r="H243" s="194"/>
      <c r="I243" s="194"/>
      <c r="J243" s="194"/>
      <c r="K243" s="194"/>
      <c r="L243" s="194"/>
      <c r="M243" s="194"/>
      <c r="N243" s="194"/>
      <c r="O243" s="194"/>
      <c r="P243" s="194"/>
    </row>
    <row r="244" spans="1:16" s="142" customFormat="1" x14ac:dyDescent="0.25">
      <c r="A244" s="137"/>
      <c r="F244" s="180"/>
      <c r="G244" s="181"/>
      <c r="H244" s="194"/>
      <c r="I244" s="194"/>
      <c r="J244" s="194"/>
      <c r="K244" s="194"/>
      <c r="L244" s="194"/>
      <c r="M244" s="194"/>
      <c r="N244" s="194"/>
      <c r="O244" s="194"/>
      <c r="P244" s="194"/>
    </row>
    <row r="245" spans="1:16" s="142" customFormat="1" x14ac:dyDescent="0.25">
      <c r="A245" s="137"/>
      <c r="F245" s="180"/>
      <c r="G245" s="181"/>
      <c r="H245" s="194"/>
      <c r="I245" s="194"/>
      <c r="J245" s="194"/>
      <c r="K245" s="194"/>
      <c r="L245" s="194"/>
      <c r="M245" s="194"/>
      <c r="N245" s="194"/>
      <c r="O245" s="194"/>
      <c r="P245" s="194"/>
    </row>
    <row r="246" spans="1:16" s="142" customFormat="1" x14ac:dyDescent="0.25">
      <c r="A246" s="137"/>
      <c r="F246" s="180"/>
      <c r="G246" s="181"/>
      <c r="H246" s="194"/>
      <c r="I246" s="194"/>
      <c r="J246" s="194"/>
      <c r="K246" s="194"/>
      <c r="L246" s="194"/>
      <c r="M246" s="194"/>
      <c r="N246" s="194"/>
      <c r="O246" s="194"/>
      <c r="P246" s="194"/>
    </row>
    <row r="247" spans="1:16" s="142" customFormat="1" x14ac:dyDescent="0.25">
      <c r="A247" s="137"/>
      <c r="F247" s="180"/>
      <c r="G247" s="181"/>
      <c r="H247" s="194"/>
      <c r="I247" s="194"/>
      <c r="J247" s="194"/>
      <c r="K247" s="194"/>
      <c r="L247" s="194"/>
      <c r="M247" s="194"/>
      <c r="N247" s="194"/>
      <c r="O247" s="194"/>
      <c r="P247" s="194"/>
    </row>
    <row r="248" spans="1:16" s="142" customFormat="1" x14ac:dyDescent="0.25">
      <c r="A248" s="137"/>
      <c r="F248" s="180"/>
      <c r="G248" s="181"/>
      <c r="H248" s="194"/>
      <c r="I248" s="194"/>
      <c r="J248" s="194"/>
      <c r="K248" s="194"/>
      <c r="L248" s="194"/>
      <c r="M248" s="194"/>
      <c r="N248" s="194"/>
      <c r="O248" s="194"/>
      <c r="P248" s="194"/>
    </row>
    <row r="249" spans="1:16" s="142" customFormat="1" x14ac:dyDescent="0.25">
      <c r="A249" s="137"/>
      <c r="F249" s="180"/>
      <c r="G249" s="181"/>
      <c r="H249" s="194"/>
      <c r="I249" s="194"/>
      <c r="J249" s="194"/>
      <c r="K249" s="194"/>
      <c r="L249" s="194"/>
      <c r="M249" s="194"/>
      <c r="N249" s="194"/>
      <c r="O249" s="194"/>
      <c r="P249" s="194"/>
    </row>
    <row r="250" spans="1:16" s="142" customFormat="1" x14ac:dyDescent="0.25">
      <c r="A250" s="137"/>
      <c r="F250" s="180"/>
      <c r="G250" s="181"/>
      <c r="H250" s="194"/>
      <c r="I250" s="194"/>
      <c r="J250" s="194"/>
      <c r="K250" s="194"/>
      <c r="L250" s="194"/>
      <c r="M250" s="194"/>
      <c r="N250" s="194"/>
      <c r="O250" s="194"/>
      <c r="P250" s="194"/>
    </row>
    <row r="251" spans="1:16" s="142" customFormat="1" x14ac:dyDescent="0.25">
      <c r="A251" s="137"/>
      <c r="F251" s="180"/>
      <c r="G251" s="181"/>
      <c r="H251" s="194"/>
      <c r="I251" s="194"/>
      <c r="J251" s="194"/>
      <c r="K251" s="194"/>
      <c r="L251" s="194"/>
      <c r="M251" s="194"/>
      <c r="N251" s="194"/>
      <c r="O251" s="194"/>
      <c r="P251" s="194"/>
    </row>
    <row r="252" spans="1:16" s="142" customFormat="1" x14ac:dyDescent="0.25">
      <c r="A252" s="137"/>
      <c r="F252" s="180"/>
      <c r="G252" s="181"/>
      <c r="H252" s="194"/>
      <c r="I252" s="194"/>
      <c r="J252" s="194"/>
      <c r="K252" s="194"/>
      <c r="L252" s="194"/>
      <c r="M252" s="194"/>
      <c r="N252" s="194"/>
      <c r="O252" s="194"/>
      <c r="P252" s="194"/>
    </row>
    <row r="253" spans="1:16" s="142" customFormat="1" x14ac:dyDescent="0.25">
      <c r="A253" s="137"/>
      <c r="F253" s="180"/>
      <c r="G253" s="181"/>
      <c r="H253" s="194"/>
      <c r="I253" s="194"/>
      <c r="J253" s="194"/>
      <c r="K253" s="194"/>
      <c r="L253" s="194"/>
      <c r="M253" s="194"/>
      <c r="N253" s="194"/>
      <c r="O253" s="194"/>
      <c r="P253" s="194"/>
    </row>
    <row r="254" spans="1:16" s="142" customFormat="1" x14ac:dyDescent="0.25">
      <c r="A254" s="137"/>
      <c r="F254" s="180"/>
      <c r="G254" s="181"/>
      <c r="H254" s="194"/>
      <c r="I254" s="194"/>
      <c r="J254" s="194"/>
      <c r="K254" s="194"/>
      <c r="L254" s="194"/>
      <c r="M254" s="194"/>
      <c r="N254" s="194"/>
      <c r="O254" s="194"/>
      <c r="P254" s="194"/>
    </row>
    <row r="255" spans="1:16" s="142" customFormat="1" x14ac:dyDescent="0.25">
      <c r="A255" s="137"/>
      <c r="F255" s="180"/>
      <c r="G255" s="181"/>
      <c r="H255" s="194"/>
      <c r="I255" s="194"/>
      <c r="J255" s="194"/>
      <c r="K255" s="194"/>
      <c r="L255" s="194"/>
      <c r="M255" s="194"/>
      <c r="N255" s="194"/>
      <c r="O255" s="194"/>
      <c r="P255" s="194"/>
    </row>
    <row r="256" spans="1:16" s="142" customFormat="1" x14ac:dyDescent="0.25">
      <c r="A256" s="137"/>
      <c r="F256" s="180"/>
      <c r="G256" s="181"/>
      <c r="H256" s="194"/>
      <c r="I256" s="194"/>
      <c r="J256" s="194"/>
      <c r="K256" s="194"/>
      <c r="L256" s="194"/>
      <c r="M256" s="194"/>
      <c r="N256" s="194"/>
      <c r="O256" s="194"/>
      <c r="P256" s="194"/>
    </row>
    <row r="257" spans="1:16" s="142" customFormat="1" x14ac:dyDescent="0.25">
      <c r="A257" s="137"/>
      <c r="F257" s="180"/>
      <c r="G257" s="181"/>
      <c r="H257" s="194"/>
      <c r="I257" s="194"/>
      <c r="J257" s="194"/>
      <c r="K257" s="194"/>
      <c r="L257" s="194"/>
      <c r="M257" s="194"/>
      <c r="N257" s="194"/>
      <c r="O257" s="194"/>
      <c r="P257" s="194"/>
    </row>
    <row r="258" spans="1:16" s="142" customFormat="1" x14ac:dyDescent="0.25">
      <c r="A258" s="137"/>
      <c r="F258" s="180"/>
      <c r="G258" s="181"/>
      <c r="H258" s="194"/>
      <c r="I258" s="194"/>
      <c r="J258" s="194"/>
      <c r="K258" s="194"/>
      <c r="L258" s="194"/>
      <c r="M258" s="194"/>
      <c r="N258" s="194"/>
      <c r="O258" s="194"/>
      <c r="P258" s="194"/>
    </row>
    <row r="259" spans="1:16" s="142" customFormat="1" x14ac:dyDescent="0.25">
      <c r="A259" s="137"/>
      <c r="F259" s="180"/>
      <c r="G259" s="181"/>
      <c r="H259" s="194"/>
      <c r="I259" s="194"/>
      <c r="J259" s="194"/>
      <c r="K259" s="194"/>
      <c r="L259" s="194"/>
      <c r="M259" s="194"/>
      <c r="N259" s="194"/>
      <c r="O259" s="194"/>
      <c r="P259" s="194"/>
    </row>
    <row r="260" spans="1:16" s="142" customFormat="1" x14ac:dyDescent="0.25">
      <c r="A260" s="137"/>
      <c r="F260" s="180"/>
      <c r="G260" s="181"/>
      <c r="H260" s="194"/>
      <c r="I260" s="194"/>
      <c r="J260" s="194"/>
      <c r="K260" s="194"/>
      <c r="L260" s="194"/>
      <c r="M260" s="194"/>
      <c r="N260" s="194"/>
      <c r="O260" s="194"/>
      <c r="P260" s="194"/>
    </row>
    <row r="261" spans="1:16" s="142" customFormat="1" x14ac:dyDescent="0.25">
      <c r="A261" s="137"/>
      <c r="F261" s="180"/>
      <c r="G261" s="181"/>
      <c r="H261" s="194"/>
      <c r="I261" s="194"/>
      <c r="J261" s="194"/>
      <c r="K261" s="194"/>
      <c r="L261" s="194"/>
      <c r="M261" s="194"/>
      <c r="N261" s="194"/>
      <c r="O261" s="194"/>
      <c r="P261" s="194"/>
    </row>
    <row r="262" spans="1:16" s="142" customFormat="1" x14ac:dyDescent="0.25">
      <c r="A262" s="137"/>
      <c r="F262" s="180"/>
      <c r="G262" s="181"/>
      <c r="H262" s="194"/>
      <c r="I262" s="194"/>
      <c r="J262" s="194"/>
      <c r="K262" s="194"/>
      <c r="L262" s="194"/>
      <c r="M262" s="194"/>
      <c r="N262" s="194"/>
      <c r="O262" s="194"/>
      <c r="P262" s="194"/>
    </row>
    <row r="263" spans="1:16" s="142" customFormat="1" x14ac:dyDescent="0.25">
      <c r="A263" s="137"/>
      <c r="F263" s="180"/>
      <c r="G263" s="181"/>
      <c r="H263" s="194"/>
      <c r="I263" s="194"/>
      <c r="J263" s="194"/>
      <c r="K263" s="194"/>
      <c r="L263" s="194"/>
      <c r="M263" s="194"/>
      <c r="N263" s="194"/>
      <c r="O263" s="194"/>
      <c r="P263" s="194"/>
    </row>
    <row r="264" spans="1:16" s="142" customFormat="1" x14ac:dyDescent="0.25">
      <c r="A264" s="137"/>
      <c r="F264" s="180"/>
      <c r="G264" s="181"/>
      <c r="H264" s="194"/>
      <c r="I264" s="194"/>
      <c r="J264" s="194"/>
      <c r="K264" s="194"/>
      <c r="L264" s="194"/>
      <c r="M264" s="194"/>
      <c r="N264" s="194"/>
      <c r="O264" s="194"/>
      <c r="P264" s="194"/>
    </row>
    <row r="265" spans="1:16" s="142" customFormat="1" x14ac:dyDescent="0.25">
      <c r="A265" s="137"/>
      <c r="F265" s="180"/>
      <c r="G265" s="181"/>
      <c r="H265" s="194"/>
      <c r="I265" s="194"/>
      <c r="J265" s="194"/>
      <c r="K265" s="194"/>
      <c r="L265" s="194"/>
      <c r="M265" s="194"/>
      <c r="N265" s="194"/>
      <c r="O265" s="194"/>
      <c r="P265" s="194"/>
    </row>
    <row r="266" spans="1:16" s="142" customFormat="1" x14ac:dyDescent="0.25">
      <c r="A266" s="137"/>
      <c r="F266" s="180"/>
      <c r="G266" s="181"/>
      <c r="H266" s="194"/>
      <c r="I266" s="194"/>
      <c r="J266" s="194"/>
      <c r="K266" s="194"/>
      <c r="L266" s="194"/>
      <c r="M266" s="194"/>
      <c r="N266" s="194"/>
      <c r="O266" s="194"/>
      <c r="P266" s="194"/>
    </row>
    <row r="267" spans="1:16" s="142" customFormat="1" x14ac:dyDescent="0.25">
      <c r="A267" s="137"/>
      <c r="F267" s="180"/>
      <c r="G267" s="181"/>
      <c r="H267" s="194"/>
      <c r="I267" s="194"/>
      <c r="J267" s="194"/>
      <c r="K267" s="194"/>
      <c r="L267" s="194"/>
      <c r="M267" s="194"/>
      <c r="N267" s="194"/>
      <c r="O267" s="194"/>
      <c r="P267" s="194"/>
    </row>
    <row r="268" spans="1:16" s="142" customFormat="1" x14ac:dyDescent="0.25">
      <c r="A268" s="137"/>
      <c r="F268" s="180"/>
      <c r="G268" s="181"/>
      <c r="H268" s="194"/>
      <c r="I268" s="194"/>
      <c r="J268" s="194"/>
      <c r="K268" s="194"/>
      <c r="L268" s="194"/>
      <c r="M268" s="194"/>
      <c r="N268" s="194"/>
      <c r="O268" s="194"/>
      <c r="P268" s="194"/>
    </row>
    <row r="269" spans="1:16" s="142" customFormat="1" x14ac:dyDescent="0.25">
      <c r="A269" s="137"/>
      <c r="F269" s="180"/>
      <c r="G269" s="181"/>
      <c r="H269" s="194"/>
      <c r="I269" s="194"/>
      <c r="J269" s="194"/>
      <c r="K269" s="194"/>
      <c r="L269" s="194"/>
      <c r="M269" s="194"/>
      <c r="N269" s="194"/>
      <c r="O269" s="194"/>
      <c r="P269" s="194"/>
    </row>
    <row r="270" spans="1:16" s="142" customFormat="1" x14ac:dyDescent="0.25">
      <c r="A270" s="137"/>
      <c r="F270" s="180"/>
      <c r="G270" s="181"/>
      <c r="H270" s="194"/>
      <c r="I270" s="194"/>
      <c r="J270" s="194"/>
      <c r="K270" s="194"/>
      <c r="L270" s="194"/>
      <c r="M270" s="194"/>
      <c r="N270" s="194"/>
      <c r="O270" s="194"/>
      <c r="P270" s="194"/>
    </row>
    <row r="271" spans="1:16" s="142" customFormat="1" x14ac:dyDescent="0.25">
      <c r="A271" s="137"/>
      <c r="F271" s="180"/>
      <c r="G271" s="181"/>
      <c r="H271" s="194"/>
      <c r="I271" s="194"/>
      <c r="J271" s="194"/>
      <c r="K271" s="194"/>
      <c r="L271" s="194"/>
      <c r="M271" s="194"/>
      <c r="N271" s="194"/>
      <c r="O271" s="194"/>
      <c r="P271" s="194"/>
    </row>
    <row r="272" spans="1:16" s="142" customFormat="1" x14ac:dyDescent="0.25">
      <c r="A272" s="137"/>
      <c r="F272" s="180"/>
      <c r="G272" s="181"/>
      <c r="H272" s="194"/>
      <c r="I272" s="194"/>
      <c r="J272" s="194"/>
      <c r="K272" s="194"/>
      <c r="L272" s="194"/>
      <c r="M272" s="194"/>
      <c r="N272" s="194"/>
      <c r="O272" s="194"/>
      <c r="P272" s="194"/>
    </row>
    <row r="273" spans="1:16" s="142" customFormat="1" x14ac:dyDescent="0.25">
      <c r="A273" s="137"/>
      <c r="F273" s="180"/>
      <c r="G273" s="181"/>
      <c r="H273" s="194"/>
      <c r="I273" s="194"/>
      <c r="J273" s="194"/>
      <c r="K273" s="194"/>
      <c r="L273" s="194"/>
      <c r="M273" s="194"/>
      <c r="N273" s="194"/>
      <c r="O273" s="194"/>
      <c r="P273" s="194"/>
    </row>
    <row r="274" spans="1:16" s="142" customFormat="1" x14ac:dyDescent="0.25">
      <c r="A274" s="137"/>
      <c r="F274" s="180"/>
      <c r="G274" s="181"/>
      <c r="H274" s="194"/>
      <c r="I274" s="194"/>
      <c r="J274" s="194"/>
      <c r="K274" s="194"/>
      <c r="L274" s="194"/>
      <c r="M274" s="194"/>
      <c r="N274" s="194"/>
      <c r="O274" s="194"/>
      <c r="P274" s="194"/>
    </row>
    <row r="275" spans="1:16" s="142" customFormat="1" x14ac:dyDescent="0.25">
      <c r="A275" s="137"/>
      <c r="F275" s="180"/>
      <c r="G275" s="181"/>
      <c r="H275" s="194"/>
      <c r="I275" s="194"/>
      <c r="J275" s="194"/>
      <c r="K275" s="194"/>
      <c r="L275" s="194"/>
      <c r="M275" s="194"/>
      <c r="N275" s="194"/>
      <c r="O275" s="194"/>
      <c r="P275" s="194"/>
    </row>
    <row r="276" spans="1:16" s="142" customFormat="1" x14ac:dyDescent="0.25">
      <c r="A276" s="137"/>
      <c r="F276" s="180"/>
      <c r="G276" s="181"/>
      <c r="H276" s="194"/>
      <c r="I276" s="194"/>
      <c r="J276" s="194"/>
      <c r="K276" s="194"/>
      <c r="L276" s="194"/>
      <c r="M276" s="194"/>
      <c r="N276" s="194"/>
      <c r="O276" s="194"/>
      <c r="P276" s="194"/>
    </row>
    <row r="277" spans="1:16" s="142" customFormat="1" x14ac:dyDescent="0.25">
      <c r="A277" s="137"/>
      <c r="F277" s="180"/>
      <c r="G277" s="181"/>
      <c r="H277" s="194"/>
      <c r="I277" s="194"/>
      <c r="J277" s="194"/>
      <c r="K277" s="194"/>
      <c r="L277" s="194"/>
      <c r="M277" s="194"/>
      <c r="N277" s="194"/>
      <c r="O277" s="194"/>
      <c r="P277" s="194"/>
    </row>
    <row r="278" spans="1:16" s="142" customFormat="1" x14ac:dyDescent="0.25">
      <c r="A278" s="137"/>
      <c r="F278" s="180"/>
      <c r="G278" s="181"/>
      <c r="H278" s="194"/>
      <c r="I278" s="194"/>
      <c r="J278" s="194"/>
      <c r="K278" s="194"/>
      <c r="L278" s="194"/>
      <c r="M278" s="194"/>
      <c r="N278" s="194"/>
      <c r="O278" s="194"/>
      <c r="P278" s="194"/>
    </row>
    <row r="279" spans="1:16" s="142" customFormat="1" x14ac:dyDescent="0.25">
      <c r="A279" s="137"/>
      <c r="F279" s="180"/>
      <c r="G279" s="181"/>
      <c r="H279" s="194"/>
      <c r="I279" s="194"/>
      <c r="J279" s="194"/>
      <c r="K279" s="194"/>
      <c r="L279" s="194"/>
      <c r="M279" s="194"/>
      <c r="N279" s="194"/>
      <c r="O279" s="194"/>
      <c r="P279" s="194"/>
    </row>
    <row r="280" spans="1:16" s="142" customFormat="1" x14ac:dyDescent="0.25">
      <c r="A280" s="137"/>
      <c r="F280" s="180"/>
      <c r="G280" s="181"/>
      <c r="H280" s="194"/>
      <c r="I280" s="194"/>
      <c r="J280" s="194"/>
      <c r="K280" s="194"/>
      <c r="L280" s="194"/>
      <c r="M280" s="194"/>
      <c r="N280" s="194"/>
      <c r="O280" s="194"/>
      <c r="P280" s="194"/>
    </row>
    <row r="281" spans="1:16" s="142" customFormat="1" x14ac:dyDescent="0.25">
      <c r="A281" s="137"/>
      <c r="F281" s="180"/>
      <c r="G281" s="181"/>
      <c r="H281" s="194"/>
      <c r="I281" s="194"/>
      <c r="J281" s="194"/>
      <c r="K281" s="194"/>
      <c r="L281" s="194"/>
      <c r="M281" s="194"/>
      <c r="N281" s="194"/>
      <c r="O281" s="194"/>
      <c r="P281" s="194"/>
    </row>
    <row r="282" spans="1:16" s="142" customFormat="1" x14ac:dyDescent="0.25">
      <c r="A282" s="137"/>
      <c r="F282" s="180"/>
      <c r="G282" s="181"/>
      <c r="H282" s="194"/>
      <c r="I282" s="194"/>
      <c r="J282" s="194"/>
      <c r="K282" s="194"/>
      <c r="L282" s="194"/>
      <c r="M282" s="194"/>
      <c r="N282" s="194"/>
      <c r="O282" s="194"/>
      <c r="P282" s="194"/>
    </row>
    <row r="283" spans="1:16" s="142" customFormat="1" x14ac:dyDescent="0.25">
      <c r="A283" s="137"/>
      <c r="F283" s="180"/>
      <c r="G283" s="181"/>
      <c r="H283" s="194"/>
      <c r="I283" s="194"/>
      <c r="J283" s="194"/>
      <c r="K283" s="194"/>
      <c r="L283" s="194"/>
      <c r="M283" s="194"/>
      <c r="N283" s="194"/>
      <c r="O283" s="194"/>
      <c r="P283" s="194"/>
    </row>
    <row r="284" spans="1:16" s="142" customFormat="1" x14ac:dyDescent="0.25">
      <c r="A284" s="137"/>
      <c r="F284" s="180"/>
      <c r="G284" s="181"/>
      <c r="H284" s="194"/>
      <c r="I284" s="194"/>
      <c r="J284" s="194"/>
      <c r="K284" s="194"/>
      <c r="L284" s="194"/>
      <c r="M284" s="194"/>
      <c r="N284" s="194"/>
      <c r="O284" s="194"/>
      <c r="P284" s="194"/>
    </row>
    <row r="285" spans="1:16" s="142" customFormat="1" x14ac:dyDescent="0.25">
      <c r="A285" s="137"/>
      <c r="F285" s="180"/>
      <c r="G285" s="181"/>
      <c r="H285" s="194"/>
      <c r="I285" s="194"/>
      <c r="J285" s="194"/>
      <c r="K285" s="194"/>
      <c r="L285" s="194"/>
      <c r="M285" s="194"/>
      <c r="N285" s="194"/>
      <c r="O285" s="194"/>
      <c r="P285" s="194"/>
    </row>
    <row r="286" spans="1:16" s="142" customFormat="1" x14ac:dyDescent="0.25">
      <c r="A286" s="137"/>
      <c r="F286" s="180"/>
      <c r="G286" s="181"/>
      <c r="H286" s="194"/>
      <c r="I286" s="194"/>
      <c r="J286" s="194"/>
      <c r="K286" s="194"/>
      <c r="L286" s="194"/>
      <c r="M286" s="194"/>
      <c r="N286" s="194"/>
      <c r="O286" s="194"/>
      <c r="P286" s="194"/>
    </row>
    <row r="287" spans="1:16" s="142" customFormat="1" x14ac:dyDescent="0.25">
      <c r="A287" s="137"/>
      <c r="F287" s="180"/>
      <c r="G287" s="181"/>
      <c r="H287" s="194"/>
      <c r="I287" s="194"/>
      <c r="J287" s="194"/>
      <c r="K287" s="194"/>
      <c r="L287" s="194"/>
      <c r="M287" s="194"/>
      <c r="N287" s="194"/>
      <c r="O287" s="194"/>
      <c r="P287" s="194"/>
    </row>
    <row r="288" spans="1:16" s="142" customFormat="1" x14ac:dyDescent="0.25">
      <c r="A288" s="137"/>
      <c r="F288" s="180"/>
      <c r="G288" s="181"/>
      <c r="H288" s="194"/>
      <c r="I288" s="194"/>
      <c r="J288" s="194"/>
      <c r="K288" s="194"/>
      <c r="L288" s="194"/>
      <c r="M288" s="194"/>
      <c r="N288" s="194"/>
      <c r="O288" s="194"/>
      <c r="P288" s="194"/>
    </row>
    <row r="289" spans="1:16" s="142" customFormat="1" x14ac:dyDescent="0.25">
      <c r="A289" s="137"/>
      <c r="F289" s="180"/>
      <c r="G289" s="181"/>
      <c r="H289" s="194"/>
      <c r="I289" s="194"/>
      <c r="J289" s="194"/>
      <c r="K289" s="194"/>
      <c r="L289" s="194"/>
      <c r="M289" s="194"/>
      <c r="N289" s="194"/>
      <c r="O289" s="194"/>
      <c r="P289" s="194"/>
    </row>
    <row r="290" spans="1:16" s="142" customFormat="1" x14ac:dyDescent="0.25">
      <c r="A290" s="137"/>
      <c r="F290" s="180"/>
      <c r="G290" s="181"/>
      <c r="H290" s="194"/>
      <c r="I290" s="194"/>
      <c r="J290" s="194"/>
      <c r="K290" s="194"/>
      <c r="L290" s="194"/>
      <c r="M290" s="194"/>
      <c r="N290" s="194"/>
      <c r="O290" s="194"/>
      <c r="P290" s="194"/>
    </row>
    <row r="291" spans="1:16" s="142" customFormat="1" x14ac:dyDescent="0.25">
      <c r="A291" s="137"/>
      <c r="F291" s="180"/>
      <c r="G291" s="181"/>
      <c r="H291" s="194"/>
      <c r="I291" s="194"/>
      <c r="J291" s="194"/>
      <c r="K291" s="194"/>
      <c r="L291" s="194"/>
      <c r="M291" s="194"/>
      <c r="N291" s="194"/>
      <c r="O291" s="194"/>
      <c r="P291" s="194"/>
    </row>
    <row r="292" spans="1:16" s="142" customFormat="1" x14ac:dyDescent="0.25">
      <c r="A292" s="137"/>
      <c r="F292" s="180"/>
      <c r="G292" s="181"/>
      <c r="H292" s="194"/>
      <c r="I292" s="194"/>
      <c r="J292" s="194"/>
      <c r="K292" s="194"/>
      <c r="L292" s="194"/>
      <c r="M292" s="194"/>
      <c r="N292" s="194"/>
      <c r="O292" s="194"/>
      <c r="P292" s="194"/>
    </row>
    <row r="293" spans="1:16" s="142" customFormat="1" x14ac:dyDescent="0.25">
      <c r="A293" s="137"/>
      <c r="F293" s="180"/>
      <c r="G293" s="181"/>
      <c r="H293" s="194"/>
      <c r="I293" s="194"/>
      <c r="J293" s="194"/>
      <c r="K293" s="194"/>
      <c r="L293" s="194"/>
      <c r="M293" s="194"/>
      <c r="N293" s="194"/>
      <c r="O293" s="194"/>
      <c r="P293" s="194"/>
    </row>
    <row r="294" spans="1:16" s="142" customFormat="1" x14ac:dyDescent="0.25">
      <c r="A294" s="137"/>
      <c r="F294" s="180"/>
      <c r="G294" s="181"/>
      <c r="H294" s="194"/>
      <c r="I294" s="194"/>
      <c r="J294" s="194"/>
      <c r="K294" s="194"/>
      <c r="L294" s="194"/>
      <c r="M294" s="194"/>
      <c r="N294" s="194"/>
      <c r="O294" s="194"/>
      <c r="P294" s="194"/>
    </row>
    <row r="295" spans="1:16" s="142" customFormat="1" x14ac:dyDescent="0.25">
      <c r="A295" s="137"/>
      <c r="F295" s="180"/>
      <c r="G295" s="181"/>
      <c r="H295" s="194"/>
      <c r="I295" s="194"/>
      <c r="J295" s="194"/>
      <c r="K295" s="194"/>
      <c r="L295" s="194"/>
      <c r="M295" s="194"/>
      <c r="N295" s="194"/>
      <c r="O295" s="194"/>
      <c r="P295" s="194"/>
    </row>
    <row r="296" spans="1:16" s="142" customFormat="1" x14ac:dyDescent="0.25">
      <c r="A296" s="137"/>
      <c r="F296" s="180"/>
      <c r="G296" s="181"/>
      <c r="H296" s="194"/>
      <c r="I296" s="194"/>
      <c r="J296" s="194"/>
      <c r="K296" s="194"/>
      <c r="L296" s="194"/>
      <c r="M296" s="194"/>
      <c r="N296" s="194"/>
      <c r="O296" s="194"/>
      <c r="P296" s="194"/>
    </row>
    <row r="297" spans="1:16" s="142" customFormat="1" x14ac:dyDescent="0.25">
      <c r="A297" s="137"/>
      <c r="F297" s="180"/>
      <c r="G297" s="181"/>
      <c r="H297" s="194"/>
      <c r="I297" s="194"/>
      <c r="J297" s="194"/>
      <c r="K297" s="194"/>
      <c r="L297" s="194"/>
      <c r="M297" s="194"/>
      <c r="N297" s="194"/>
      <c r="O297" s="194"/>
      <c r="P297" s="194"/>
    </row>
    <row r="298" spans="1:16" s="142" customFormat="1" x14ac:dyDescent="0.25">
      <c r="A298" s="137"/>
      <c r="F298" s="180"/>
      <c r="G298" s="181"/>
      <c r="H298" s="194"/>
      <c r="I298" s="194"/>
      <c r="J298" s="194"/>
      <c r="K298" s="194"/>
      <c r="L298" s="194"/>
      <c r="M298" s="194"/>
      <c r="N298" s="194"/>
      <c r="O298" s="194"/>
      <c r="P298" s="194"/>
    </row>
    <row r="299" spans="1:16" s="142" customFormat="1" x14ac:dyDescent="0.25">
      <c r="A299" s="137"/>
      <c r="F299" s="180"/>
      <c r="G299" s="181"/>
      <c r="H299" s="194"/>
      <c r="I299" s="194"/>
      <c r="J299" s="194"/>
      <c r="K299" s="194"/>
      <c r="L299" s="194"/>
      <c r="M299" s="194"/>
      <c r="N299" s="194"/>
      <c r="O299" s="194"/>
      <c r="P299" s="194"/>
    </row>
    <row r="300" spans="1:16" s="142" customFormat="1" x14ac:dyDescent="0.25">
      <c r="A300" s="137"/>
      <c r="F300" s="180"/>
      <c r="G300" s="181"/>
      <c r="H300" s="194"/>
      <c r="I300" s="194"/>
      <c r="J300" s="194"/>
      <c r="K300" s="194"/>
      <c r="L300" s="194"/>
      <c r="M300" s="194"/>
      <c r="N300" s="194"/>
      <c r="O300" s="194"/>
      <c r="P300" s="194"/>
    </row>
    <row r="301" spans="1:16" s="142" customFormat="1" x14ac:dyDescent="0.25">
      <c r="A301" s="137"/>
      <c r="F301" s="180"/>
      <c r="G301" s="181"/>
      <c r="H301" s="194"/>
      <c r="I301" s="194"/>
      <c r="J301" s="194"/>
      <c r="K301" s="194"/>
      <c r="L301" s="194"/>
      <c r="M301" s="194"/>
      <c r="N301" s="194"/>
      <c r="O301" s="194"/>
      <c r="P301" s="194"/>
    </row>
    <row r="302" spans="1:16" s="142" customFormat="1" x14ac:dyDescent="0.25">
      <c r="A302" s="137"/>
      <c r="F302" s="180"/>
      <c r="G302" s="181"/>
      <c r="H302" s="194"/>
      <c r="I302" s="194"/>
      <c r="J302" s="194"/>
      <c r="K302" s="194"/>
      <c r="L302" s="194"/>
      <c r="M302" s="194"/>
      <c r="N302" s="194"/>
      <c r="O302" s="194"/>
      <c r="P302" s="194"/>
    </row>
    <row r="303" spans="1:16" s="142" customFormat="1" x14ac:dyDescent="0.25">
      <c r="A303" s="137"/>
      <c r="F303" s="180"/>
      <c r="G303" s="181"/>
      <c r="H303" s="194"/>
      <c r="I303" s="194"/>
      <c r="J303" s="194"/>
      <c r="K303" s="194"/>
      <c r="L303" s="194"/>
      <c r="M303" s="194"/>
      <c r="N303" s="194"/>
      <c r="O303" s="194"/>
      <c r="P303" s="194"/>
    </row>
    <row r="304" spans="1:16" s="142" customFormat="1" x14ac:dyDescent="0.25">
      <c r="A304" s="137"/>
      <c r="F304" s="180"/>
      <c r="G304" s="181"/>
      <c r="H304" s="194"/>
      <c r="I304" s="194"/>
      <c r="J304" s="194"/>
      <c r="K304" s="194"/>
      <c r="L304" s="194"/>
      <c r="M304" s="194"/>
      <c r="N304" s="194"/>
      <c r="O304" s="194"/>
      <c r="P304" s="194"/>
    </row>
    <row r="305" spans="1:16" s="142" customFormat="1" x14ac:dyDescent="0.25">
      <c r="A305" s="137"/>
      <c r="F305" s="180"/>
      <c r="G305" s="181"/>
      <c r="H305" s="194"/>
      <c r="I305" s="194"/>
      <c r="J305" s="194"/>
      <c r="K305" s="194"/>
      <c r="L305" s="194"/>
      <c r="M305" s="194"/>
      <c r="N305" s="194"/>
      <c r="O305" s="194"/>
      <c r="P305" s="194"/>
    </row>
    <row r="306" spans="1:16" s="142" customFormat="1" x14ac:dyDescent="0.25">
      <c r="A306" s="137"/>
      <c r="F306" s="180"/>
      <c r="G306" s="181"/>
      <c r="H306" s="194"/>
      <c r="I306" s="194"/>
      <c r="J306" s="194"/>
      <c r="K306" s="194"/>
      <c r="L306" s="194"/>
      <c r="M306" s="194"/>
      <c r="N306" s="194"/>
      <c r="O306" s="194"/>
      <c r="P306" s="194"/>
    </row>
    <row r="307" spans="1:16" s="142" customFormat="1" x14ac:dyDescent="0.25">
      <c r="A307" s="137"/>
      <c r="F307" s="180"/>
      <c r="G307" s="181"/>
      <c r="H307" s="194"/>
      <c r="I307" s="194"/>
      <c r="J307" s="194"/>
      <c r="K307" s="194"/>
      <c r="L307" s="194"/>
      <c r="M307" s="194"/>
      <c r="N307" s="194"/>
      <c r="O307" s="194"/>
      <c r="P307" s="194"/>
    </row>
    <row r="308" spans="1:16" s="142" customFormat="1" x14ac:dyDescent="0.25">
      <c r="A308" s="137"/>
      <c r="F308" s="180"/>
      <c r="G308" s="181"/>
      <c r="H308" s="194"/>
      <c r="I308" s="194"/>
      <c r="J308" s="194"/>
      <c r="K308" s="194"/>
      <c r="L308" s="194"/>
      <c r="M308" s="194"/>
      <c r="N308" s="194"/>
      <c r="O308" s="194"/>
      <c r="P308" s="194"/>
    </row>
    <row r="309" spans="1:16" s="142" customFormat="1" x14ac:dyDescent="0.25">
      <c r="A309" s="137"/>
      <c r="F309" s="180"/>
      <c r="G309" s="181"/>
      <c r="H309" s="194"/>
      <c r="I309" s="194"/>
      <c r="J309" s="194"/>
      <c r="K309" s="194"/>
      <c r="L309" s="194"/>
      <c r="M309" s="194"/>
      <c r="N309" s="194"/>
      <c r="O309" s="194"/>
      <c r="P309" s="194"/>
    </row>
    <row r="310" spans="1:16" s="142" customFormat="1" x14ac:dyDescent="0.25">
      <c r="A310" s="137"/>
      <c r="F310" s="180"/>
      <c r="G310" s="181"/>
      <c r="H310" s="194"/>
      <c r="I310" s="194"/>
      <c r="J310" s="194"/>
      <c r="K310" s="194"/>
      <c r="L310" s="194"/>
      <c r="M310" s="194"/>
      <c r="N310" s="194"/>
      <c r="O310" s="194"/>
      <c r="P310" s="194"/>
    </row>
    <row r="311" spans="1:16" s="142" customFormat="1" x14ac:dyDescent="0.25">
      <c r="A311" s="137"/>
      <c r="F311" s="180"/>
      <c r="G311" s="181"/>
      <c r="H311" s="194"/>
      <c r="I311" s="194"/>
      <c r="J311" s="194"/>
      <c r="K311" s="194"/>
      <c r="L311" s="194"/>
      <c r="M311" s="194"/>
      <c r="N311" s="194"/>
      <c r="O311" s="194"/>
      <c r="P311" s="194"/>
    </row>
    <row r="312" spans="1:16" s="142" customFormat="1" x14ac:dyDescent="0.25">
      <c r="A312" s="137"/>
      <c r="F312" s="180"/>
      <c r="G312" s="181"/>
      <c r="H312" s="194"/>
      <c r="I312" s="194"/>
      <c r="J312" s="194"/>
      <c r="K312" s="194"/>
      <c r="L312" s="194"/>
      <c r="M312" s="194"/>
      <c r="N312" s="194"/>
      <c r="O312" s="194"/>
      <c r="P312" s="194"/>
    </row>
    <row r="313" spans="1:16" s="142" customFormat="1" x14ac:dyDescent="0.25">
      <c r="A313" s="137"/>
      <c r="F313" s="180"/>
      <c r="G313" s="181"/>
      <c r="H313" s="194"/>
      <c r="I313" s="194"/>
      <c r="J313" s="194"/>
      <c r="K313" s="194"/>
      <c r="L313" s="194"/>
      <c r="M313" s="194"/>
      <c r="N313" s="194"/>
      <c r="O313" s="194"/>
      <c r="P313" s="194"/>
    </row>
    <row r="314" spans="1:16" s="142" customFormat="1" x14ac:dyDescent="0.25">
      <c r="A314" s="137"/>
      <c r="F314" s="180"/>
      <c r="G314" s="181"/>
      <c r="H314" s="194"/>
      <c r="I314" s="194"/>
      <c r="J314" s="194"/>
      <c r="K314" s="194"/>
      <c r="L314" s="194"/>
      <c r="M314" s="194"/>
      <c r="N314" s="194"/>
      <c r="O314" s="194"/>
      <c r="P314" s="194"/>
    </row>
    <row r="315" spans="1:16" s="142" customFormat="1" x14ac:dyDescent="0.25">
      <c r="A315" s="137"/>
      <c r="F315" s="180"/>
      <c r="G315" s="181"/>
      <c r="H315" s="194"/>
      <c r="I315" s="194"/>
      <c r="J315" s="194"/>
      <c r="K315" s="194"/>
      <c r="L315" s="194"/>
      <c r="M315" s="194"/>
      <c r="N315" s="194"/>
      <c r="O315" s="194"/>
      <c r="P315" s="194"/>
    </row>
    <row r="316" spans="1:16" s="142" customFormat="1" x14ac:dyDescent="0.25">
      <c r="A316" s="137"/>
      <c r="F316" s="180"/>
      <c r="G316" s="181"/>
      <c r="H316" s="194"/>
      <c r="I316" s="194"/>
      <c r="J316" s="194"/>
      <c r="K316" s="194"/>
      <c r="L316" s="194"/>
      <c r="M316" s="194"/>
      <c r="N316" s="194"/>
      <c r="O316" s="194"/>
      <c r="P316" s="194"/>
    </row>
    <row r="317" spans="1:16" s="142" customFormat="1" x14ac:dyDescent="0.25">
      <c r="A317" s="137"/>
      <c r="F317" s="180"/>
      <c r="G317" s="181"/>
      <c r="H317" s="194"/>
      <c r="I317" s="194"/>
      <c r="J317" s="194"/>
      <c r="K317" s="194"/>
      <c r="L317" s="194"/>
      <c r="M317" s="194"/>
      <c r="N317" s="194"/>
      <c r="O317" s="194"/>
      <c r="P317" s="194"/>
    </row>
    <row r="318" spans="1:16" s="142" customFormat="1" x14ac:dyDescent="0.25">
      <c r="A318" s="137"/>
      <c r="F318" s="180"/>
      <c r="G318" s="181"/>
      <c r="H318" s="194"/>
      <c r="I318" s="194"/>
      <c r="J318" s="194"/>
      <c r="K318" s="194"/>
      <c r="L318" s="194"/>
      <c r="M318" s="194"/>
      <c r="N318" s="194"/>
      <c r="O318" s="194"/>
      <c r="P318" s="194"/>
    </row>
    <row r="319" spans="1:16" s="142" customFormat="1" x14ac:dyDescent="0.25">
      <c r="A319" s="137"/>
      <c r="F319" s="180"/>
      <c r="G319" s="181"/>
      <c r="H319" s="194"/>
      <c r="I319" s="194"/>
      <c r="J319" s="194"/>
      <c r="K319" s="194"/>
      <c r="L319" s="194"/>
      <c r="M319" s="194"/>
      <c r="N319" s="194"/>
      <c r="O319" s="194"/>
      <c r="P319" s="194"/>
    </row>
    <row r="320" spans="1:16" s="142" customFormat="1" x14ac:dyDescent="0.25">
      <c r="A320" s="137"/>
      <c r="F320" s="180"/>
      <c r="G320" s="181"/>
      <c r="H320" s="194"/>
      <c r="I320" s="194"/>
      <c r="J320" s="194"/>
      <c r="K320" s="194"/>
      <c r="L320" s="194"/>
      <c r="M320" s="194"/>
      <c r="N320" s="194"/>
      <c r="O320" s="194"/>
      <c r="P320" s="194"/>
    </row>
    <row r="321" spans="1:16" s="142" customFormat="1" x14ac:dyDescent="0.25">
      <c r="A321" s="137"/>
      <c r="F321" s="180"/>
      <c r="G321" s="181"/>
      <c r="H321" s="194"/>
      <c r="I321" s="194"/>
      <c r="J321" s="194"/>
      <c r="K321" s="194"/>
      <c r="L321" s="194"/>
      <c r="M321" s="194"/>
      <c r="N321" s="194"/>
      <c r="O321" s="194"/>
      <c r="P321" s="194"/>
    </row>
    <row r="322" spans="1:16" x14ac:dyDescent="0.25">
      <c r="A322" s="115"/>
      <c r="C322" s="123"/>
      <c r="D322" s="142"/>
      <c r="E322" s="142"/>
      <c r="F322" s="208"/>
      <c r="G322" s="181"/>
      <c r="H322" s="209"/>
      <c r="I322" s="209"/>
      <c r="J322" s="209"/>
      <c r="K322" s="209"/>
      <c r="L322" s="209"/>
      <c r="M322" s="209"/>
      <c r="N322" s="209"/>
      <c r="O322" s="209"/>
      <c r="P322" s="209"/>
    </row>
    <row r="323" spans="1:16" x14ac:dyDescent="0.25">
      <c r="A323" s="115"/>
      <c r="C323" s="123"/>
      <c r="D323" s="142"/>
      <c r="E323" s="142"/>
      <c r="F323" s="208"/>
      <c r="G323" s="181"/>
      <c r="H323" s="209"/>
      <c r="I323" s="209"/>
      <c r="J323" s="209"/>
      <c r="K323" s="209"/>
      <c r="L323" s="209"/>
      <c r="M323" s="209"/>
      <c r="N323" s="209"/>
      <c r="O323" s="209"/>
      <c r="P323" s="209"/>
    </row>
    <row r="324" spans="1:16" x14ac:dyDescent="0.25">
      <c r="A324" s="115"/>
      <c r="C324" s="123"/>
      <c r="D324" s="142"/>
      <c r="E324" s="142"/>
      <c r="F324" s="208"/>
      <c r="G324" s="181"/>
      <c r="H324" s="209"/>
      <c r="I324" s="209"/>
      <c r="J324" s="209"/>
      <c r="K324" s="209"/>
      <c r="L324" s="209"/>
      <c r="M324" s="209"/>
      <c r="N324" s="209"/>
      <c r="O324" s="209"/>
      <c r="P324" s="209"/>
    </row>
    <row r="325" spans="1:16" x14ac:dyDescent="0.25">
      <c r="A325" s="115"/>
      <c r="C325" s="123"/>
      <c r="D325" s="142"/>
      <c r="E325" s="142"/>
      <c r="F325" s="208"/>
      <c r="G325" s="181"/>
      <c r="H325" s="209"/>
      <c r="I325" s="209"/>
      <c r="J325" s="209"/>
      <c r="K325" s="209"/>
      <c r="L325" s="209"/>
      <c r="M325" s="209"/>
      <c r="N325" s="209"/>
      <c r="O325" s="209"/>
      <c r="P325" s="209"/>
    </row>
    <row r="326" spans="1:16" x14ac:dyDescent="0.25">
      <c r="A326" s="115"/>
      <c r="C326" s="123"/>
      <c r="D326" s="142"/>
      <c r="E326" s="142"/>
      <c r="F326" s="208"/>
      <c r="G326" s="181"/>
      <c r="H326" s="209"/>
      <c r="I326" s="209"/>
      <c r="J326" s="209"/>
      <c r="K326" s="209"/>
      <c r="L326" s="209"/>
      <c r="M326" s="209"/>
      <c r="N326" s="209"/>
      <c r="O326" s="209"/>
      <c r="P326" s="209"/>
    </row>
    <row r="327" spans="1:16" x14ac:dyDescent="0.25">
      <c r="A327" s="115"/>
      <c r="C327" s="123"/>
      <c r="D327" s="142"/>
      <c r="E327" s="142"/>
      <c r="F327" s="208"/>
      <c r="G327" s="181"/>
      <c r="H327" s="209"/>
      <c r="I327" s="209"/>
      <c r="J327" s="209"/>
      <c r="K327" s="209"/>
      <c r="L327" s="209"/>
      <c r="M327" s="209"/>
      <c r="N327" s="209"/>
      <c r="O327" s="209"/>
      <c r="P327" s="209"/>
    </row>
    <row r="328" spans="1:16" x14ac:dyDescent="0.25">
      <c r="A328" s="115"/>
      <c r="C328" s="123"/>
      <c r="D328" s="142"/>
      <c r="E328" s="142"/>
      <c r="F328" s="208"/>
      <c r="G328" s="181"/>
      <c r="H328" s="209"/>
      <c r="I328" s="209"/>
      <c r="J328" s="209"/>
      <c r="K328" s="209"/>
      <c r="L328" s="209"/>
      <c r="M328" s="209"/>
      <c r="N328" s="209"/>
      <c r="O328" s="209"/>
      <c r="P328" s="209"/>
    </row>
    <row r="329" spans="1:16" x14ac:dyDescent="0.25">
      <c r="A329" s="115"/>
      <c r="C329" s="123"/>
      <c r="D329" s="142"/>
      <c r="E329" s="142"/>
      <c r="F329" s="208"/>
      <c r="G329" s="181"/>
      <c r="H329" s="209"/>
      <c r="I329" s="209"/>
      <c r="J329" s="209"/>
      <c r="K329" s="209"/>
      <c r="L329" s="209"/>
      <c r="M329" s="209"/>
      <c r="N329" s="209"/>
      <c r="O329" s="209"/>
      <c r="P329" s="209"/>
    </row>
    <row r="330" spans="1:16" x14ac:dyDescent="0.25">
      <c r="A330" s="115"/>
      <c r="C330" s="123"/>
      <c r="D330" s="142"/>
      <c r="E330" s="142"/>
      <c r="F330" s="208"/>
      <c r="G330" s="181"/>
      <c r="H330" s="209"/>
      <c r="I330" s="209"/>
      <c r="J330" s="209"/>
      <c r="K330" s="209"/>
      <c r="L330" s="209"/>
      <c r="M330" s="209"/>
      <c r="N330" s="209"/>
      <c r="O330" s="209"/>
      <c r="P330" s="209"/>
    </row>
    <row r="331" spans="1:16" x14ac:dyDescent="0.25">
      <c r="A331" s="115"/>
      <c r="C331" s="123"/>
      <c r="D331" s="142"/>
      <c r="E331" s="142"/>
      <c r="F331" s="208"/>
      <c r="G331" s="181"/>
      <c r="H331" s="209"/>
      <c r="I331" s="209"/>
      <c r="J331" s="209"/>
      <c r="K331" s="209"/>
      <c r="L331" s="209"/>
      <c r="M331" s="209"/>
      <c r="N331" s="209"/>
      <c r="O331" s="209"/>
      <c r="P331" s="209"/>
    </row>
    <row r="332" spans="1:16" x14ac:dyDescent="0.25">
      <c r="A332" s="115"/>
      <c r="C332" s="123"/>
      <c r="D332" s="142"/>
      <c r="E332" s="142"/>
      <c r="F332" s="208"/>
      <c r="G332" s="181"/>
      <c r="H332" s="209"/>
      <c r="I332" s="209"/>
      <c r="J332" s="209"/>
      <c r="K332" s="209"/>
      <c r="L332" s="209"/>
      <c r="M332" s="209"/>
      <c r="N332" s="209"/>
      <c r="O332" s="209"/>
      <c r="P332" s="209"/>
    </row>
    <row r="333" spans="1:16" x14ac:dyDescent="0.25">
      <c r="A333" s="115"/>
      <c r="C333" s="123"/>
      <c r="D333" s="142"/>
      <c r="E333" s="142"/>
      <c r="F333" s="208"/>
      <c r="G333" s="181"/>
      <c r="H333" s="209"/>
      <c r="I333" s="209"/>
      <c r="J333" s="209"/>
      <c r="K333" s="209"/>
      <c r="L333" s="209"/>
      <c r="M333" s="209"/>
      <c r="N333" s="209"/>
      <c r="O333" s="209"/>
      <c r="P333" s="209"/>
    </row>
    <row r="334" spans="1:16" x14ac:dyDescent="0.25">
      <c r="A334" s="115"/>
      <c r="C334" s="123"/>
      <c r="D334" s="142"/>
      <c r="E334" s="142"/>
      <c r="F334" s="208"/>
      <c r="G334" s="181"/>
      <c r="H334" s="209"/>
      <c r="I334" s="209"/>
      <c r="J334" s="209"/>
      <c r="K334" s="209"/>
      <c r="L334" s="209"/>
      <c r="M334" s="209"/>
      <c r="N334" s="209"/>
      <c r="O334" s="209"/>
      <c r="P334" s="209"/>
    </row>
    <row r="335" spans="1:16" x14ac:dyDescent="0.25">
      <c r="A335" s="115"/>
      <c r="C335" s="123"/>
      <c r="D335" s="142"/>
      <c r="E335" s="142"/>
      <c r="F335" s="208"/>
      <c r="G335" s="181"/>
      <c r="H335" s="209"/>
      <c r="I335" s="209"/>
      <c r="J335" s="209"/>
      <c r="K335" s="209"/>
      <c r="L335" s="209"/>
      <c r="M335" s="209"/>
      <c r="N335" s="209"/>
      <c r="O335" s="209"/>
      <c r="P335" s="209"/>
    </row>
    <row r="336" spans="1:16" x14ac:dyDescent="0.25">
      <c r="A336" s="115"/>
      <c r="C336" s="123"/>
      <c r="D336" s="142"/>
      <c r="E336" s="142"/>
      <c r="F336" s="208"/>
      <c r="G336" s="181"/>
      <c r="H336" s="209"/>
      <c r="I336" s="209"/>
      <c r="J336" s="209"/>
      <c r="K336" s="209"/>
      <c r="L336" s="209"/>
      <c r="M336" s="209"/>
      <c r="N336" s="209"/>
      <c r="O336" s="209"/>
      <c r="P336" s="209"/>
    </row>
    <row r="337" spans="1:16" x14ac:dyDescent="0.25">
      <c r="A337" s="115"/>
      <c r="C337" s="123"/>
      <c r="D337" s="142"/>
      <c r="E337" s="142"/>
      <c r="F337" s="208"/>
      <c r="G337" s="181"/>
      <c r="H337" s="209"/>
      <c r="I337" s="209"/>
      <c r="J337" s="209"/>
      <c r="K337" s="209"/>
      <c r="L337" s="209"/>
      <c r="M337" s="209"/>
      <c r="N337" s="209"/>
      <c r="O337" s="209"/>
      <c r="P337" s="209"/>
    </row>
    <row r="338" spans="1:16" x14ac:dyDescent="0.25">
      <c r="A338" s="115"/>
      <c r="C338" s="123"/>
      <c r="D338" s="142"/>
      <c r="E338" s="142"/>
      <c r="F338" s="208"/>
      <c r="G338" s="181"/>
      <c r="H338" s="209"/>
      <c r="I338" s="209"/>
      <c r="J338" s="209"/>
      <c r="K338" s="209"/>
      <c r="L338" s="209"/>
      <c r="M338" s="209"/>
      <c r="N338" s="209"/>
      <c r="O338" s="209"/>
      <c r="P338" s="209"/>
    </row>
    <row r="339" spans="1:16" x14ac:dyDescent="0.25">
      <c r="A339" s="115"/>
      <c r="C339" s="123"/>
      <c r="D339" s="142"/>
      <c r="E339" s="142"/>
      <c r="F339" s="208"/>
      <c r="G339" s="181"/>
      <c r="H339" s="209"/>
      <c r="I339" s="209"/>
      <c r="J339" s="209"/>
      <c r="K339" s="209"/>
      <c r="L339" s="209"/>
      <c r="M339" s="209"/>
      <c r="N339" s="209"/>
      <c r="O339" s="209"/>
      <c r="P339" s="209"/>
    </row>
    <row r="340" spans="1:16" x14ac:dyDescent="0.25">
      <c r="A340" s="115"/>
      <c r="C340" s="123"/>
      <c r="D340" s="142"/>
      <c r="E340" s="142"/>
      <c r="F340" s="208"/>
      <c r="G340" s="181"/>
      <c r="H340" s="209"/>
      <c r="I340" s="209"/>
      <c r="J340" s="209"/>
      <c r="K340" s="209"/>
      <c r="L340" s="209"/>
      <c r="M340" s="209"/>
      <c r="N340" s="209"/>
      <c r="O340" s="209"/>
      <c r="P340" s="209"/>
    </row>
    <row r="341" spans="1:16" x14ac:dyDescent="0.25">
      <c r="A341" s="115"/>
      <c r="C341" s="123"/>
      <c r="D341" s="142"/>
      <c r="E341" s="142"/>
      <c r="F341" s="208"/>
      <c r="G341" s="181"/>
      <c r="H341" s="209"/>
      <c r="I341" s="209"/>
      <c r="J341" s="209"/>
      <c r="K341" s="209"/>
      <c r="L341" s="209"/>
      <c r="M341" s="209"/>
      <c r="N341" s="209"/>
      <c r="O341" s="209"/>
      <c r="P341" s="209"/>
    </row>
    <row r="342" spans="1:16" x14ac:dyDescent="0.25">
      <c r="A342" s="115"/>
      <c r="C342" s="123"/>
      <c r="D342" s="142"/>
      <c r="E342" s="142"/>
      <c r="F342" s="208"/>
      <c r="G342" s="181"/>
      <c r="H342" s="209"/>
      <c r="I342" s="209"/>
      <c r="J342" s="209"/>
      <c r="K342" s="209"/>
      <c r="L342" s="209"/>
      <c r="M342" s="209"/>
      <c r="N342" s="209"/>
      <c r="O342" s="209"/>
      <c r="P342" s="209"/>
    </row>
    <row r="343" spans="1:16" x14ac:dyDescent="0.25">
      <c r="A343" s="115"/>
      <c r="C343" s="123"/>
      <c r="D343" s="142"/>
      <c r="E343" s="142"/>
      <c r="F343" s="208"/>
      <c r="G343" s="181"/>
      <c r="H343" s="209"/>
      <c r="I343" s="209"/>
      <c r="J343" s="209"/>
      <c r="K343" s="209"/>
      <c r="L343" s="209"/>
      <c r="M343" s="209"/>
      <c r="N343" s="209"/>
      <c r="O343" s="209"/>
      <c r="P343" s="209"/>
    </row>
    <row r="344" spans="1:16" x14ac:dyDescent="0.25">
      <c r="A344" s="115"/>
      <c r="C344" s="123"/>
      <c r="D344" s="142"/>
      <c r="E344" s="142"/>
      <c r="F344" s="208"/>
      <c r="G344" s="181"/>
      <c r="H344" s="209"/>
      <c r="I344" s="209"/>
      <c r="J344" s="209"/>
      <c r="K344" s="209"/>
      <c r="L344" s="209"/>
      <c r="M344" s="209"/>
      <c r="N344" s="209"/>
      <c r="O344" s="209"/>
      <c r="P344" s="209"/>
    </row>
    <row r="345" spans="1:16" x14ac:dyDescent="0.25">
      <c r="A345" s="115"/>
      <c r="C345" s="123"/>
      <c r="D345" s="142"/>
      <c r="E345" s="142"/>
      <c r="F345" s="208"/>
      <c r="G345" s="181"/>
      <c r="H345" s="209"/>
      <c r="I345" s="209"/>
      <c r="J345" s="209"/>
      <c r="K345" s="209"/>
      <c r="L345" s="209"/>
      <c r="M345" s="209"/>
      <c r="N345" s="209"/>
      <c r="O345" s="209"/>
      <c r="P345" s="209"/>
    </row>
    <row r="346" spans="1:16" x14ac:dyDescent="0.25">
      <c r="A346" s="115"/>
      <c r="C346" s="123"/>
      <c r="D346" s="142"/>
      <c r="E346" s="142"/>
      <c r="F346" s="208"/>
      <c r="G346" s="181"/>
      <c r="H346" s="209"/>
      <c r="I346" s="209"/>
      <c r="J346" s="209"/>
      <c r="K346" s="209"/>
      <c r="L346" s="209"/>
      <c r="M346" s="209"/>
      <c r="N346" s="209"/>
      <c r="O346" s="209"/>
      <c r="P346" s="209"/>
    </row>
    <row r="347" spans="1:16" x14ac:dyDescent="0.25">
      <c r="A347" s="115"/>
      <c r="C347" s="123"/>
      <c r="D347" s="142"/>
      <c r="E347" s="142"/>
      <c r="F347" s="208"/>
      <c r="G347" s="181"/>
      <c r="H347" s="209"/>
      <c r="I347" s="209"/>
      <c r="J347" s="209"/>
      <c r="K347" s="209"/>
      <c r="L347" s="209"/>
      <c r="M347" s="209"/>
      <c r="N347" s="209"/>
      <c r="O347" s="209"/>
      <c r="P347" s="209"/>
    </row>
    <row r="348" spans="1:16" x14ac:dyDescent="0.25">
      <c r="A348" s="115"/>
      <c r="C348" s="123"/>
      <c r="D348" s="142"/>
      <c r="E348" s="142"/>
      <c r="F348" s="208"/>
      <c r="G348" s="181"/>
      <c r="H348" s="209"/>
      <c r="I348" s="209"/>
      <c r="J348" s="209"/>
      <c r="K348" s="209"/>
      <c r="L348" s="209"/>
      <c r="M348" s="209"/>
      <c r="N348" s="209"/>
      <c r="O348" s="209"/>
      <c r="P348" s="209"/>
    </row>
    <row r="349" spans="1:16" x14ac:dyDescent="0.25">
      <c r="A349" s="115"/>
      <c r="C349" s="123"/>
      <c r="D349" s="142"/>
      <c r="E349" s="142"/>
      <c r="F349" s="208"/>
      <c r="G349" s="181"/>
      <c r="H349" s="209"/>
      <c r="I349" s="209"/>
      <c r="J349" s="209"/>
      <c r="K349" s="209"/>
      <c r="L349" s="209"/>
      <c r="M349" s="209"/>
      <c r="N349" s="209"/>
      <c r="O349" s="209"/>
      <c r="P349" s="209"/>
    </row>
    <row r="350" spans="1:16" x14ac:dyDescent="0.25">
      <c r="A350" s="115"/>
      <c r="C350" s="123"/>
      <c r="D350" s="142"/>
      <c r="E350" s="142"/>
      <c r="F350" s="208"/>
      <c r="G350" s="181"/>
      <c r="H350" s="209"/>
      <c r="I350" s="209"/>
      <c r="J350" s="209"/>
      <c r="K350" s="209"/>
      <c r="L350" s="209"/>
      <c r="M350" s="209"/>
      <c r="N350" s="209"/>
      <c r="O350" s="209"/>
      <c r="P350" s="209"/>
    </row>
    <row r="351" spans="1:16" x14ac:dyDescent="0.25">
      <c r="A351" s="115"/>
      <c r="C351" s="123"/>
      <c r="D351" s="142"/>
      <c r="E351" s="142"/>
      <c r="F351" s="208"/>
      <c r="G351" s="181"/>
      <c r="H351" s="209"/>
      <c r="I351" s="209"/>
      <c r="J351" s="209"/>
      <c r="K351" s="209"/>
      <c r="L351" s="209"/>
      <c r="M351" s="209"/>
      <c r="N351" s="209"/>
      <c r="O351" s="209"/>
      <c r="P351" s="209"/>
    </row>
    <row r="352" spans="1:16" x14ac:dyDescent="0.25">
      <c r="A352" s="115"/>
      <c r="C352" s="123"/>
      <c r="D352" s="142"/>
      <c r="E352" s="142"/>
      <c r="F352" s="208"/>
      <c r="G352" s="181"/>
      <c r="H352" s="209"/>
      <c r="I352" s="209"/>
      <c r="J352" s="209"/>
      <c r="K352" s="209"/>
      <c r="L352" s="209"/>
      <c r="M352" s="209"/>
      <c r="N352" s="209"/>
      <c r="O352" s="209"/>
      <c r="P352" s="209"/>
    </row>
    <row r="353" spans="1:16" x14ac:dyDescent="0.25">
      <c r="A353" s="115"/>
      <c r="C353" s="123"/>
      <c r="D353" s="142"/>
      <c r="E353" s="142"/>
      <c r="F353" s="208"/>
      <c r="G353" s="181"/>
      <c r="H353" s="209"/>
      <c r="I353" s="209"/>
      <c r="J353" s="209"/>
      <c r="K353" s="209"/>
      <c r="L353" s="209"/>
      <c r="M353" s="209"/>
      <c r="N353" s="209"/>
      <c r="O353" s="209"/>
      <c r="P353" s="209"/>
    </row>
    <row r="354" spans="1:16" x14ac:dyDescent="0.25">
      <c r="A354" s="115"/>
      <c r="C354" s="123"/>
      <c r="D354" s="142"/>
      <c r="E354" s="142"/>
      <c r="F354" s="208"/>
      <c r="G354" s="181"/>
      <c r="H354" s="209"/>
      <c r="I354" s="209"/>
      <c r="J354" s="209"/>
      <c r="K354" s="209"/>
      <c r="L354" s="209"/>
      <c r="M354" s="209"/>
      <c r="N354" s="209"/>
      <c r="O354" s="209"/>
      <c r="P354" s="209"/>
    </row>
    <row r="355" spans="1:16" x14ac:dyDescent="0.25">
      <c r="A355" s="115"/>
      <c r="C355" s="123"/>
      <c r="D355" s="142"/>
      <c r="E355" s="142"/>
      <c r="F355" s="208"/>
      <c r="G355" s="181"/>
      <c r="H355" s="209"/>
      <c r="I355" s="209"/>
      <c r="J355" s="209"/>
      <c r="K355" s="209"/>
      <c r="L355" s="209"/>
      <c r="M355" s="209"/>
      <c r="N355" s="209"/>
      <c r="O355" s="209"/>
      <c r="P355" s="209"/>
    </row>
    <row r="356" spans="1:16" x14ac:dyDescent="0.25">
      <c r="A356" s="115"/>
      <c r="C356" s="123"/>
      <c r="D356" s="142"/>
      <c r="E356" s="142"/>
      <c r="F356" s="208"/>
      <c r="G356" s="181"/>
      <c r="H356" s="209"/>
      <c r="I356" s="209"/>
      <c r="J356" s="209"/>
      <c r="K356" s="209"/>
      <c r="L356" s="209"/>
      <c r="M356" s="209"/>
      <c r="N356" s="209"/>
      <c r="O356" s="209"/>
      <c r="P356" s="209"/>
    </row>
    <row r="357" spans="1:16" x14ac:dyDescent="0.25">
      <c r="A357" s="115"/>
      <c r="C357" s="123"/>
      <c r="D357" s="142"/>
      <c r="E357" s="142"/>
      <c r="F357" s="208"/>
      <c r="G357" s="181"/>
      <c r="H357" s="209"/>
      <c r="I357" s="209"/>
      <c r="J357" s="209"/>
      <c r="K357" s="209"/>
      <c r="L357" s="209"/>
      <c r="M357" s="209"/>
      <c r="N357" s="209"/>
      <c r="O357" s="209"/>
      <c r="P357" s="209"/>
    </row>
    <row r="358" spans="1:16" x14ac:dyDescent="0.25">
      <c r="A358" s="115"/>
      <c r="C358" s="123"/>
      <c r="D358" s="142"/>
      <c r="E358" s="142"/>
      <c r="F358" s="208"/>
      <c r="G358" s="181"/>
      <c r="H358" s="209"/>
      <c r="I358" s="209"/>
      <c r="J358" s="209"/>
      <c r="K358" s="209"/>
      <c r="L358" s="209"/>
      <c r="M358" s="209"/>
      <c r="N358" s="209"/>
      <c r="O358" s="209"/>
      <c r="P358" s="209"/>
    </row>
    <row r="359" spans="1:16" x14ac:dyDescent="0.25">
      <c r="A359" s="115"/>
      <c r="C359" s="123"/>
      <c r="D359" s="142"/>
      <c r="E359" s="142"/>
      <c r="F359" s="208"/>
      <c r="G359" s="181"/>
      <c r="H359" s="209"/>
      <c r="I359" s="209"/>
      <c r="J359" s="209"/>
      <c r="K359" s="209"/>
      <c r="L359" s="209"/>
      <c r="M359" s="209"/>
      <c r="N359" s="209"/>
      <c r="O359" s="209"/>
      <c r="P359" s="209"/>
    </row>
    <row r="360" spans="1:16" x14ac:dyDescent="0.25">
      <c r="A360" s="115"/>
      <c r="C360" s="123"/>
      <c r="D360" s="142"/>
      <c r="E360" s="142"/>
      <c r="F360" s="208"/>
      <c r="G360" s="181"/>
      <c r="H360" s="209"/>
      <c r="I360" s="209"/>
      <c r="J360" s="209"/>
      <c r="K360" s="209"/>
      <c r="L360" s="209"/>
      <c r="M360" s="209"/>
      <c r="N360" s="209"/>
      <c r="O360" s="209"/>
      <c r="P360" s="209"/>
    </row>
    <row r="361" spans="1:16" x14ac:dyDescent="0.25">
      <c r="A361" s="115"/>
      <c r="C361" s="123"/>
      <c r="D361" s="142"/>
      <c r="E361" s="142"/>
      <c r="F361" s="208"/>
      <c r="G361" s="181"/>
      <c r="H361" s="209"/>
      <c r="I361" s="209"/>
      <c r="J361" s="209"/>
      <c r="K361" s="209"/>
      <c r="L361" s="209"/>
      <c r="M361" s="209"/>
      <c r="N361" s="209"/>
      <c r="O361" s="209"/>
      <c r="P361" s="209"/>
    </row>
    <row r="362" spans="1:16" x14ac:dyDescent="0.25">
      <c r="A362" s="115"/>
      <c r="C362" s="123"/>
      <c r="D362" s="142"/>
      <c r="E362" s="142"/>
      <c r="F362" s="208"/>
      <c r="G362" s="181"/>
      <c r="H362" s="209"/>
      <c r="I362" s="209"/>
      <c r="J362" s="209"/>
      <c r="K362" s="209"/>
      <c r="L362" s="209"/>
      <c r="M362" s="209"/>
      <c r="N362" s="209"/>
      <c r="O362" s="209"/>
      <c r="P362" s="209"/>
    </row>
    <row r="363" spans="1:16" x14ac:dyDescent="0.25">
      <c r="A363" s="115"/>
      <c r="C363" s="123"/>
      <c r="D363" s="142"/>
      <c r="E363" s="142"/>
      <c r="F363" s="208"/>
      <c r="G363" s="181"/>
      <c r="H363" s="209"/>
      <c r="I363" s="209"/>
      <c r="J363" s="209"/>
      <c r="K363" s="209"/>
      <c r="L363" s="209"/>
      <c r="M363" s="209"/>
      <c r="N363" s="209"/>
      <c r="O363" s="209"/>
      <c r="P363" s="209"/>
    </row>
    <row r="364" spans="1:16" x14ac:dyDescent="0.25">
      <c r="A364" s="115"/>
      <c r="C364" s="123"/>
      <c r="D364" s="142"/>
      <c r="E364" s="142"/>
      <c r="F364" s="208"/>
      <c r="G364" s="181"/>
      <c r="H364" s="209"/>
      <c r="I364" s="209"/>
      <c r="J364" s="209"/>
      <c r="K364" s="209"/>
      <c r="L364" s="209"/>
      <c r="M364" s="209"/>
      <c r="N364" s="209"/>
      <c r="O364" s="209"/>
      <c r="P364" s="209"/>
    </row>
    <row r="365" spans="1:16" x14ac:dyDescent="0.25">
      <c r="A365" s="115"/>
      <c r="C365" s="123"/>
      <c r="D365" s="142"/>
      <c r="E365" s="142"/>
      <c r="F365" s="208"/>
      <c r="G365" s="181"/>
      <c r="H365" s="209"/>
      <c r="I365" s="209"/>
      <c r="J365" s="209"/>
      <c r="K365" s="209"/>
      <c r="L365" s="209"/>
      <c r="M365" s="209"/>
      <c r="N365" s="209"/>
      <c r="O365" s="209"/>
      <c r="P365" s="209"/>
    </row>
    <row r="366" spans="1:16" x14ac:dyDescent="0.25">
      <c r="A366" s="115"/>
      <c r="C366" s="123"/>
      <c r="D366" s="142"/>
      <c r="E366" s="142"/>
      <c r="F366" s="208"/>
      <c r="G366" s="181"/>
      <c r="H366" s="209"/>
      <c r="I366" s="209"/>
      <c r="J366" s="209"/>
      <c r="K366" s="209"/>
      <c r="L366" s="209"/>
      <c r="M366" s="209"/>
      <c r="N366" s="209"/>
      <c r="O366" s="209"/>
      <c r="P366" s="209"/>
    </row>
    <row r="367" spans="1:16" x14ac:dyDescent="0.25">
      <c r="A367" s="115"/>
      <c r="C367" s="123"/>
      <c r="D367" s="142"/>
      <c r="E367" s="142"/>
      <c r="F367" s="208"/>
      <c r="G367" s="181"/>
      <c r="H367" s="209"/>
      <c r="I367" s="209"/>
      <c r="J367" s="209"/>
      <c r="K367" s="209"/>
      <c r="L367" s="209"/>
      <c r="M367" s="209"/>
      <c r="N367" s="209"/>
      <c r="O367" s="209"/>
      <c r="P367" s="209"/>
    </row>
    <row r="368" spans="1:16" x14ac:dyDescent="0.25">
      <c r="A368" s="115"/>
      <c r="C368" s="123"/>
      <c r="D368" s="142"/>
      <c r="E368" s="142"/>
      <c r="F368" s="208"/>
      <c r="G368" s="181"/>
      <c r="H368" s="209"/>
      <c r="I368" s="209"/>
      <c r="J368" s="209"/>
      <c r="K368" s="209"/>
      <c r="L368" s="209"/>
      <c r="M368" s="209"/>
      <c r="N368" s="209"/>
      <c r="O368" s="209"/>
      <c r="P368" s="209"/>
    </row>
    <row r="369" spans="1:16" x14ac:dyDescent="0.25">
      <c r="A369" s="115"/>
      <c r="C369" s="123"/>
      <c r="D369" s="142"/>
      <c r="E369" s="142"/>
      <c r="F369" s="208"/>
      <c r="G369" s="181"/>
      <c r="H369" s="209"/>
      <c r="I369" s="209"/>
      <c r="J369" s="209"/>
      <c r="K369" s="209"/>
      <c r="L369" s="209"/>
      <c r="M369" s="209"/>
      <c r="N369" s="209"/>
      <c r="O369" s="209"/>
      <c r="P369" s="209"/>
    </row>
    <row r="370" spans="1:16" x14ac:dyDescent="0.25">
      <c r="A370" s="115"/>
      <c r="C370" s="123"/>
      <c r="D370" s="142"/>
      <c r="E370" s="142"/>
      <c r="F370" s="208"/>
      <c r="G370" s="181"/>
      <c r="H370" s="209"/>
      <c r="I370" s="209"/>
      <c r="J370" s="209"/>
      <c r="K370" s="209"/>
      <c r="L370" s="209"/>
      <c r="M370" s="209"/>
      <c r="N370" s="209"/>
      <c r="O370" s="209"/>
      <c r="P370" s="209"/>
    </row>
    <row r="371" spans="1:16" x14ac:dyDescent="0.25">
      <c r="A371" s="115"/>
      <c r="C371" s="123"/>
      <c r="D371" s="142"/>
      <c r="E371" s="142"/>
      <c r="F371" s="208"/>
      <c r="G371" s="181"/>
      <c r="H371" s="209"/>
      <c r="I371" s="209"/>
      <c r="J371" s="209"/>
      <c r="K371" s="209"/>
      <c r="L371" s="209"/>
      <c r="M371" s="209"/>
      <c r="N371" s="209"/>
      <c r="O371" s="209"/>
      <c r="P371" s="209"/>
    </row>
    <row r="372" spans="1:16" x14ac:dyDescent="0.25">
      <c r="A372" s="115"/>
      <c r="C372" s="123"/>
      <c r="D372" s="142"/>
      <c r="E372" s="142"/>
      <c r="F372" s="208"/>
      <c r="G372" s="181"/>
      <c r="H372" s="209"/>
      <c r="I372" s="209"/>
      <c r="J372" s="209"/>
      <c r="K372" s="209"/>
      <c r="L372" s="209"/>
      <c r="M372" s="209"/>
      <c r="N372" s="209"/>
      <c r="O372" s="209"/>
      <c r="P372" s="209"/>
    </row>
    <row r="373" spans="1:16" x14ac:dyDescent="0.25">
      <c r="A373" s="115"/>
      <c r="C373" s="123"/>
      <c r="D373" s="142"/>
      <c r="E373" s="142"/>
      <c r="F373" s="208"/>
      <c r="G373" s="181"/>
      <c r="H373" s="209"/>
      <c r="I373" s="209"/>
      <c r="J373" s="209"/>
      <c r="K373" s="209"/>
      <c r="L373" s="209"/>
      <c r="M373" s="209"/>
      <c r="N373" s="209"/>
      <c r="O373" s="209"/>
      <c r="P373" s="209"/>
    </row>
    <row r="374" spans="1:16" x14ac:dyDescent="0.25">
      <c r="A374" s="115"/>
      <c r="C374" s="123"/>
      <c r="D374" s="142"/>
      <c r="E374" s="142"/>
      <c r="F374" s="208"/>
      <c r="G374" s="181"/>
      <c r="H374" s="209"/>
      <c r="I374" s="209"/>
      <c r="J374" s="209"/>
      <c r="K374" s="209"/>
      <c r="L374" s="209"/>
      <c r="M374" s="209"/>
      <c r="N374" s="209"/>
      <c r="O374" s="209"/>
      <c r="P374" s="209"/>
    </row>
    <row r="375" spans="1:16" x14ac:dyDescent="0.25">
      <c r="A375" s="115"/>
      <c r="C375" s="123"/>
      <c r="D375" s="142"/>
      <c r="E375" s="142"/>
      <c r="F375" s="208"/>
      <c r="G375" s="181"/>
      <c r="H375" s="209"/>
      <c r="I375" s="209"/>
      <c r="J375" s="209"/>
      <c r="K375" s="209"/>
      <c r="L375" s="209"/>
      <c r="M375" s="209"/>
      <c r="N375" s="209"/>
      <c r="O375" s="209"/>
      <c r="P375" s="209"/>
    </row>
    <row r="376" spans="1:16" x14ac:dyDescent="0.25">
      <c r="A376" s="115"/>
      <c r="C376" s="123"/>
      <c r="D376" s="142"/>
      <c r="E376" s="142"/>
      <c r="F376" s="208"/>
      <c r="G376" s="181"/>
      <c r="H376" s="209"/>
      <c r="I376" s="209"/>
      <c r="J376" s="209"/>
      <c r="K376" s="209"/>
      <c r="L376" s="209"/>
      <c r="M376" s="209"/>
      <c r="N376" s="209"/>
      <c r="O376" s="209"/>
      <c r="P376" s="209"/>
    </row>
    <row r="377" spans="1:16" x14ac:dyDescent="0.25">
      <c r="A377" s="115"/>
      <c r="C377" s="123"/>
      <c r="D377" s="142"/>
      <c r="E377" s="142"/>
      <c r="F377" s="208"/>
      <c r="G377" s="181"/>
      <c r="H377" s="209"/>
      <c r="I377" s="209"/>
      <c r="J377" s="209"/>
      <c r="K377" s="209"/>
      <c r="L377" s="209"/>
      <c r="M377" s="209"/>
      <c r="N377" s="209"/>
      <c r="O377" s="209"/>
      <c r="P377" s="209"/>
    </row>
    <row r="378" spans="1:16" x14ac:dyDescent="0.25">
      <c r="A378" s="115"/>
      <c r="C378" s="123"/>
      <c r="D378" s="142"/>
      <c r="E378" s="142"/>
      <c r="F378" s="208"/>
      <c r="G378" s="181"/>
      <c r="H378" s="209"/>
      <c r="I378" s="209"/>
      <c r="J378" s="209"/>
      <c r="K378" s="209"/>
      <c r="L378" s="209"/>
      <c r="M378" s="209"/>
      <c r="N378" s="209"/>
      <c r="O378" s="209"/>
      <c r="P378" s="209"/>
    </row>
    <row r="379" spans="1:16" x14ac:dyDescent="0.25">
      <c r="A379" s="115"/>
      <c r="C379" s="123"/>
      <c r="D379" s="142"/>
      <c r="E379" s="142"/>
      <c r="F379" s="208"/>
      <c r="G379" s="181"/>
      <c r="H379" s="209"/>
      <c r="I379" s="209"/>
      <c r="J379" s="209"/>
      <c r="K379" s="209"/>
      <c r="L379" s="209"/>
      <c r="M379" s="209"/>
      <c r="N379" s="209"/>
      <c r="O379" s="209"/>
      <c r="P379" s="209"/>
    </row>
    <row r="380" spans="1:16" x14ac:dyDescent="0.25">
      <c r="A380" s="115"/>
      <c r="C380" s="123"/>
      <c r="D380" s="142"/>
      <c r="E380" s="142"/>
      <c r="F380" s="208"/>
      <c r="G380" s="181"/>
      <c r="H380" s="209"/>
      <c r="I380" s="209"/>
      <c r="J380" s="209"/>
      <c r="K380" s="209"/>
      <c r="L380" s="209"/>
      <c r="M380" s="209"/>
      <c r="N380" s="209"/>
      <c r="O380" s="209"/>
      <c r="P380" s="209"/>
    </row>
    <row r="381" spans="1:16" x14ac:dyDescent="0.25">
      <c r="A381" s="115"/>
      <c r="C381" s="123"/>
      <c r="D381" s="142"/>
      <c r="E381" s="142"/>
      <c r="F381" s="208"/>
      <c r="G381" s="181"/>
      <c r="H381" s="209"/>
      <c r="I381" s="209"/>
      <c r="J381" s="209"/>
      <c r="K381" s="209"/>
      <c r="L381" s="209"/>
      <c r="M381" s="209"/>
      <c r="N381" s="209"/>
      <c r="O381" s="209"/>
      <c r="P381" s="209"/>
    </row>
    <row r="382" spans="1:16" x14ac:dyDescent="0.25">
      <c r="A382" s="115"/>
      <c r="C382" s="123"/>
      <c r="D382" s="142"/>
      <c r="E382" s="142"/>
      <c r="F382" s="208"/>
      <c r="G382" s="181"/>
      <c r="H382" s="209"/>
      <c r="I382" s="209"/>
      <c r="J382" s="209"/>
      <c r="K382" s="209"/>
      <c r="L382" s="209"/>
      <c r="M382" s="209"/>
      <c r="N382" s="209"/>
      <c r="O382" s="209"/>
      <c r="P382" s="209"/>
    </row>
    <row r="383" spans="1:16" x14ac:dyDescent="0.25">
      <c r="A383" s="115"/>
      <c r="C383" s="123"/>
      <c r="D383" s="142"/>
      <c r="E383" s="142"/>
      <c r="F383" s="208"/>
      <c r="G383" s="181"/>
      <c r="H383" s="209"/>
      <c r="I383" s="209"/>
      <c r="J383" s="209"/>
      <c r="K383" s="209"/>
      <c r="L383" s="209"/>
      <c r="M383" s="209"/>
      <c r="N383" s="209"/>
      <c r="O383" s="209"/>
      <c r="P383" s="209"/>
    </row>
    <row r="384" spans="1:16" x14ac:dyDescent="0.25">
      <c r="A384" s="115"/>
      <c r="C384" s="123"/>
      <c r="D384" s="142"/>
      <c r="E384" s="142"/>
      <c r="F384" s="208"/>
      <c r="G384" s="181"/>
      <c r="H384" s="209"/>
      <c r="I384" s="209"/>
      <c r="J384" s="209"/>
      <c r="K384" s="209"/>
      <c r="L384" s="209"/>
      <c r="M384" s="209"/>
      <c r="N384" s="209"/>
      <c r="O384" s="209"/>
      <c r="P384" s="209"/>
    </row>
    <row r="385" spans="1:16" x14ac:dyDescent="0.25">
      <c r="A385" s="115"/>
      <c r="C385" s="123"/>
      <c r="D385" s="142"/>
      <c r="E385" s="142"/>
      <c r="F385" s="208"/>
      <c r="G385" s="181"/>
      <c r="H385" s="209"/>
      <c r="I385" s="209"/>
      <c r="J385" s="209"/>
      <c r="K385" s="209"/>
      <c r="L385" s="209"/>
      <c r="M385" s="209"/>
      <c r="N385" s="209"/>
      <c r="O385" s="209"/>
      <c r="P385" s="209"/>
    </row>
    <row r="386" spans="1:16" x14ac:dyDescent="0.25">
      <c r="A386" s="115"/>
      <c r="C386" s="123"/>
      <c r="D386" s="142"/>
      <c r="E386" s="142"/>
      <c r="F386" s="208"/>
      <c r="G386" s="181"/>
      <c r="H386" s="209"/>
      <c r="I386" s="209"/>
      <c r="J386" s="209"/>
      <c r="K386" s="209"/>
      <c r="L386" s="209"/>
      <c r="M386" s="209"/>
      <c r="N386" s="209"/>
      <c r="O386" s="209"/>
      <c r="P386" s="209"/>
    </row>
    <row r="387" spans="1:16" x14ac:dyDescent="0.25">
      <c r="A387" s="115"/>
      <c r="C387" s="123"/>
      <c r="D387" s="142"/>
      <c r="E387" s="142"/>
      <c r="F387" s="208"/>
      <c r="G387" s="181"/>
      <c r="H387" s="209"/>
      <c r="I387" s="209"/>
      <c r="J387" s="209"/>
      <c r="K387" s="209"/>
      <c r="L387" s="209"/>
      <c r="M387" s="209"/>
      <c r="N387" s="209"/>
      <c r="O387" s="209"/>
      <c r="P387" s="209"/>
    </row>
    <row r="388" spans="1:16" x14ac:dyDescent="0.25">
      <c r="A388" s="115"/>
      <c r="C388" s="123"/>
      <c r="D388" s="142"/>
      <c r="E388" s="142"/>
      <c r="F388" s="208"/>
      <c r="G388" s="181"/>
      <c r="H388" s="209"/>
      <c r="I388" s="209"/>
      <c r="J388" s="209"/>
      <c r="K388" s="209"/>
      <c r="L388" s="209"/>
      <c r="M388" s="209"/>
      <c r="N388" s="209"/>
      <c r="O388" s="209"/>
      <c r="P388" s="209"/>
    </row>
    <row r="389" spans="1:16" x14ac:dyDescent="0.25">
      <c r="A389" s="115"/>
      <c r="C389" s="123"/>
      <c r="D389" s="142"/>
      <c r="E389" s="142"/>
      <c r="F389" s="208"/>
      <c r="G389" s="181"/>
      <c r="H389" s="209"/>
      <c r="I389" s="209"/>
      <c r="J389" s="209"/>
      <c r="K389" s="209"/>
      <c r="L389" s="209"/>
      <c r="M389" s="209"/>
      <c r="N389" s="209"/>
      <c r="O389" s="209"/>
      <c r="P389" s="209"/>
    </row>
    <row r="390" spans="1:16" x14ac:dyDescent="0.25">
      <c r="A390" s="115"/>
      <c r="C390" s="123"/>
      <c r="D390" s="142"/>
      <c r="E390" s="142"/>
      <c r="F390" s="208"/>
      <c r="G390" s="181"/>
      <c r="H390" s="209"/>
      <c r="I390" s="209"/>
      <c r="J390" s="209"/>
      <c r="K390" s="209"/>
      <c r="L390" s="209"/>
      <c r="M390" s="209"/>
      <c r="N390" s="209"/>
      <c r="O390" s="209"/>
      <c r="P390" s="209"/>
    </row>
    <row r="391" spans="1:16" x14ac:dyDescent="0.25">
      <c r="A391" s="115"/>
      <c r="C391" s="123"/>
      <c r="D391" s="142"/>
      <c r="E391" s="142"/>
      <c r="F391" s="208"/>
      <c r="G391" s="181"/>
      <c r="H391" s="209"/>
      <c r="I391" s="209"/>
      <c r="J391" s="209"/>
      <c r="K391" s="209"/>
      <c r="L391" s="209"/>
      <c r="M391" s="209"/>
      <c r="N391" s="209"/>
      <c r="O391" s="209"/>
      <c r="P391" s="209"/>
    </row>
    <row r="392" spans="1:16" x14ac:dyDescent="0.25">
      <c r="A392" s="115"/>
      <c r="C392" s="123"/>
      <c r="D392" s="142"/>
      <c r="E392" s="142"/>
      <c r="F392" s="208"/>
      <c r="G392" s="181"/>
      <c r="H392" s="209"/>
      <c r="I392" s="209"/>
      <c r="J392" s="209"/>
      <c r="K392" s="209"/>
      <c r="L392" s="209"/>
      <c r="M392" s="209"/>
      <c r="N392" s="209"/>
      <c r="O392" s="209"/>
      <c r="P392" s="209"/>
    </row>
    <row r="393" spans="1:16" x14ac:dyDescent="0.25">
      <c r="A393" s="115"/>
      <c r="C393" s="123"/>
      <c r="D393" s="142"/>
      <c r="E393" s="142"/>
      <c r="F393" s="208"/>
      <c r="G393" s="181"/>
      <c r="H393" s="209"/>
      <c r="I393" s="209"/>
      <c r="J393" s="209"/>
      <c r="K393" s="209"/>
      <c r="L393" s="209"/>
      <c r="M393" s="209"/>
      <c r="N393" s="209"/>
      <c r="O393" s="209"/>
      <c r="P393" s="209"/>
    </row>
    <row r="394" spans="1:16" x14ac:dyDescent="0.25">
      <c r="A394" s="115"/>
      <c r="C394" s="123"/>
      <c r="D394" s="142"/>
      <c r="E394" s="142"/>
      <c r="F394" s="208"/>
      <c r="G394" s="181"/>
      <c r="H394" s="209"/>
      <c r="I394" s="209"/>
      <c r="J394" s="209"/>
      <c r="K394" s="209"/>
      <c r="L394" s="209"/>
      <c r="M394" s="209"/>
      <c r="N394" s="209"/>
      <c r="O394" s="209"/>
      <c r="P394" s="209"/>
    </row>
    <row r="395" spans="1:16" x14ac:dyDescent="0.25">
      <c r="A395" s="115"/>
      <c r="C395" s="123"/>
      <c r="D395" s="142"/>
      <c r="E395" s="142"/>
      <c r="F395" s="208"/>
      <c r="G395" s="181"/>
      <c r="H395" s="209"/>
      <c r="I395" s="209"/>
      <c r="J395" s="209"/>
      <c r="K395" s="209"/>
      <c r="L395" s="209"/>
      <c r="M395" s="209"/>
      <c r="N395" s="209"/>
      <c r="O395" s="209"/>
      <c r="P395" s="209"/>
    </row>
    <row r="396" spans="1:16" x14ac:dyDescent="0.25">
      <c r="A396" s="115"/>
      <c r="C396" s="123"/>
      <c r="D396" s="142"/>
      <c r="E396" s="142"/>
      <c r="F396" s="208"/>
      <c r="G396" s="181"/>
      <c r="H396" s="209"/>
      <c r="I396" s="209"/>
      <c r="J396" s="209"/>
      <c r="K396" s="209"/>
      <c r="L396" s="209"/>
      <c r="M396" s="209"/>
      <c r="N396" s="209"/>
      <c r="O396" s="209"/>
      <c r="P396" s="209"/>
    </row>
    <row r="397" spans="1:16" x14ac:dyDescent="0.25">
      <c r="A397" s="115"/>
      <c r="C397" s="123"/>
      <c r="D397" s="142"/>
      <c r="E397" s="142"/>
      <c r="F397" s="208"/>
      <c r="G397" s="181"/>
      <c r="H397" s="209"/>
      <c r="I397" s="209"/>
      <c r="J397" s="209"/>
      <c r="K397" s="209"/>
      <c r="L397" s="209"/>
      <c r="M397" s="209"/>
      <c r="N397" s="209"/>
      <c r="O397" s="209"/>
      <c r="P397" s="209"/>
    </row>
    <row r="398" spans="1:16" x14ac:dyDescent="0.25">
      <c r="A398" s="115"/>
      <c r="C398" s="123"/>
      <c r="D398" s="142"/>
      <c r="E398" s="142"/>
      <c r="F398" s="208"/>
      <c r="G398" s="181"/>
      <c r="H398" s="209"/>
      <c r="I398" s="209"/>
      <c r="J398" s="209"/>
      <c r="K398" s="209"/>
      <c r="L398" s="209"/>
      <c r="M398" s="209"/>
      <c r="N398" s="209"/>
      <c r="O398" s="209"/>
      <c r="P398" s="209"/>
    </row>
    <row r="399" spans="1:16" x14ac:dyDescent="0.25">
      <c r="A399" s="115"/>
      <c r="C399" s="123"/>
      <c r="D399" s="142"/>
      <c r="E399" s="142"/>
      <c r="F399" s="208"/>
      <c r="G399" s="181"/>
      <c r="H399" s="209"/>
      <c r="I399" s="209"/>
      <c r="J399" s="209"/>
      <c r="K399" s="209"/>
      <c r="L399" s="209"/>
      <c r="M399" s="209"/>
      <c r="N399" s="209"/>
      <c r="O399" s="209"/>
      <c r="P399" s="209"/>
    </row>
    <row r="400" spans="1:16" x14ac:dyDescent="0.25">
      <c r="A400" s="115"/>
      <c r="C400" s="123"/>
      <c r="D400" s="142"/>
      <c r="E400" s="142"/>
      <c r="F400" s="208"/>
      <c r="G400" s="181"/>
      <c r="H400" s="209"/>
      <c r="I400" s="209"/>
      <c r="J400" s="209"/>
      <c r="K400" s="209"/>
      <c r="L400" s="209"/>
      <c r="M400" s="209"/>
      <c r="N400" s="209"/>
      <c r="O400" s="209"/>
      <c r="P400" s="209"/>
    </row>
    <row r="401" spans="1:16" x14ac:dyDescent="0.25">
      <c r="A401" s="115"/>
      <c r="C401" s="123"/>
      <c r="D401" s="142"/>
      <c r="E401" s="142"/>
      <c r="F401" s="208"/>
      <c r="G401" s="181"/>
      <c r="H401" s="209"/>
      <c r="I401" s="209"/>
      <c r="J401" s="209"/>
      <c r="K401" s="209"/>
      <c r="L401" s="209"/>
      <c r="M401" s="209"/>
      <c r="N401" s="209"/>
      <c r="O401" s="209"/>
      <c r="P401" s="209"/>
    </row>
    <row r="402" spans="1:16" x14ac:dyDescent="0.25">
      <c r="A402" s="115"/>
      <c r="C402" s="123"/>
      <c r="D402" s="142"/>
      <c r="E402" s="142"/>
      <c r="F402" s="208"/>
      <c r="G402" s="181"/>
      <c r="H402" s="209"/>
      <c r="I402" s="209"/>
      <c r="J402" s="209"/>
      <c r="K402" s="209"/>
      <c r="L402" s="209"/>
      <c r="M402" s="209"/>
      <c r="N402" s="209"/>
      <c r="O402" s="209"/>
      <c r="P402" s="209"/>
    </row>
    <row r="403" spans="1:16" x14ac:dyDescent="0.25">
      <c r="A403" s="115"/>
      <c r="C403" s="123"/>
      <c r="D403" s="142"/>
      <c r="E403" s="142"/>
      <c r="F403" s="208"/>
      <c r="G403" s="181"/>
      <c r="H403" s="209"/>
      <c r="I403" s="209"/>
      <c r="J403" s="209"/>
      <c r="K403" s="209"/>
      <c r="L403" s="209"/>
      <c r="M403" s="209"/>
      <c r="N403" s="209"/>
      <c r="O403" s="209"/>
      <c r="P403" s="209"/>
    </row>
    <row r="404" spans="1:16" x14ac:dyDescent="0.25">
      <c r="A404" s="115"/>
      <c r="C404" s="123"/>
      <c r="D404" s="142"/>
      <c r="E404" s="142"/>
      <c r="F404" s="208"/>
      <c r="G404" s="181"/>
      <c r="H404" s="209"/>
      <c r="I404" s="209"/>
      <c r="J404" s="209"/>
      <c r="K404" s="209"/>
      <c r="L404" s="209"/>
      <c r="M404" s="209"/>
      <c r="N404" s="209"/>
      <c r="O404" s="209"/>
      <c r="P404" s="209"/>
    </row>
    <row r="405" spans="1:16" x14ac:dyDescent="0.25">
      <c r="A405" s="115"/>
      <c r="C405" s="123"/>
      <c r="D405" s="142"/>
      <c r="E405" s="142"/>
      <c r="F405" s="208"/>
      <c r="G405" s="181"/>
      <c r="H405" s="209"/>
      <c r="I405" s="209"/>
      <c r="J405" s="209"/>
      <c r="K405" s="209"/>
      <c r="L405" s="209"/>
      <c r="M405" s="209"/>
      <c r="N405" s="209"/>
      <c r="O405" s="209"/>
      <c r="P405" s="209"/>
    </row>
    <row r="406" spans="1:16" x14ac:dyDescent="0.25">
      <c r="A406" s="115"/>
      <c r="C406" s="123"/>
      <c r="D406" s="142"/>
      <c r="E406" s="142"/>
      <c r="F406" s="208"/>
      <c r="G406" s="181"/>
      <c r="H406" s="209"/>
      <c r="I406" s="209"/>
      <c r="J406" s="209"/>
      <c r="K406" s="209"/>
      <c r="L406" s="209"/>
      <c r="M406" s="209"/>
      <c r="N406" s="209"/>
      <c r="O406" s="209"/>
      <c r="P406" s="209"/>
    </row>
    <row r="407" spans="1:16" x14ac:dyDescent="0.25">
      <c r="A407" s="115"/>
      <c r="C407" s="123"/>
      <c r="D407" s="142"/>
      <c r="E407" s="142"/>
      <c r="F407" s="208"/>
      <c r="G407" s="181"/>
      <c r="H407" s="209"/>
      <c r="I407" s="209"/>
      <c r="J407" s="209"/>
      <c r="K407" s="209"/>
      <c r="L407" s="209"/>
      <c r="M407" s="209"/>
      <c r="N407" s="209"/>
      <c r="O407" s="209"/>
      <c r="P407" s="209"/>
    </row>
    <row r="408" spans="1:16" x14ac:dyDescent="0.25">
      <c r="A408" s="115"/>
      <c r="C408" s="123"/>
      <c r="D408" s="142"/>
      <c r="E408" s="142"/>
      <c r="F408" s="208"/>
      <c r="G408" s="181"/>
      <c r="H408" s="209"/>
      <c r="I408" s="209"/>
      <c r="J408" s="209"/>
      <c r="K408" s="209"/>
      <c r="L408" s="209"/>
      <c r="M408" s="209"/>
      <c r="N408" s="209"/>
      <c r="O408" s="209"/>
      <c r="P408" s="209"/>
    </row>
    <row r="409" spans="1:16" x14ac:dyDescent="0.25">
      <c r="A409" s="115"/>
      <c r="C409" s="123"/>
      <c r="D409" s="142"/>
      <c r="E409" s="142"/>
      <c r="F409" s="208"/>
      <c r="G409" s="181"/>
      <c r="H409" s="209"/>
      <c r="I409" s="209"/>
      <c r="J409" s="209"/>
      <c r="K409" s="209"/>
      <c r="L409" s="209"/>
      <c r="M409" s="209"/>
      <c r="N409" s="209"/>
      <c r="O409" s="209"/>
      <c r="P409" s="209"/>
    </row>
    <row r="410" spans="1:16" x14ac:dyDescent="0.25">
      <c r="A410" s="115"/>
      <c r="C410" s="123"/>
      <c r="D410" s="142"/>
      <c r="E410" s="142"/>
      <c r="F410" s="208"/>
      <c r="G410" s="181"/>
      <c r="H410" s="209"/>
      <c r="I410" s="209"/>
      <c r="J410" s="209"/>
      <c r="K410" s="209"/>
      <c r="L410" s="209"/>
      <c r="M410" s="209"/>
      <c r="N410" s="209"/>
      <c r="O410" s="209"/>
      <c r="P410" s="209"/>
    </row>
    <row r="411" spans="1:16" x14ac:dyDescent="0.25">
      <c r="A411" s="115"/>
      <c r="C411" s="123"/>
      <c r="D411" s="142"/>
      <c r="E411" s="142"/>
      <c r="F411" s="208"/>
      <c r="G411" s="181"/>
      <c r="H411" s="209"/>
      <c r="I411" s="209"/>
      <c r="J411" s="209"/>
      <c r="K411" s="209"/>
      <c r="L411" s="209"/>
      <c r="M411" s="209"/>
      <c r="N411" s="209"/>
      <c r="O411" s="209"/>
      <c r="P411" s="209"/>
    </row>
    <row r="412" spans="1:16" x14ac:dyDescent="0.25">
      <c r="A412" s="115"/>
      <c r="C412" s="123"/>
      <c r="D412" s="142"/>
      <c r="E412" s="142"/>
      <c r="F412" s="208"/>
      <c r="G412" s="181"/>
      <c r="H412" s="209"/>
      <c r="I412" s="209"/>
      <c r="J412" s="209"/>
      <c r="K412" s="209"/>
      <c r="L412" s="209"/>
      <c r="M412" s="209"/>
      <c r="N412" s="209"/>
      <c r="O412" s="209"/>
      <c r="P412" s="209"/>
    </row>
    <row r="413" spans="1:16" x14ac:dyDescent="0.25">
      <c r="A413" s="115"/>
      <c r="C413" s="123"/>
      <c r="D413" s="142"/>
      <c r="E413" s="142"/>
      <c r="F413" s="208"/>
      <c r="G413" s="181"/>
      <c r="H413" s="209"/>
      <c r="I413" s="209"/>
      <c r="J413" s="209"/>
      <c r="K413" s="209"/>
      <c r="L413" s="209"/>
      <c r="M413" s="209"/>
      <c r="N413" s="209"/>
      <c r="O413" s="209"/>
      <c r="P413" s="209"/>
    </row>
    <row r="414" spans="1:16" x14ac:dyDescent="0.25">
      <c r="A414" s="115"/>
      <c r="C414" s="123"/>
      <c r="D414" s="142"/>
      <c r="E414" s="142"/>
      <c r="F414" s="208"/>
      <c r="G414" s="181"/>
      <c r="H414" s="209"/>
      <c r="I414" s="209"/>
      <c r="J414" s="209"/>
      <c r="K414" s="209"/>
      <c r="L414" s="209"/>
      <c r="M414" s="209"/>
      <c r="N414" s="209"/>
      <c r="O414" s="209"/>
      <c r="P414" s="209"/>
    </row>
    <row r="415" spans="1:16" x14ac:dyDescent="0.25">
      <c r="A415" s="115"/>
      <c r="C415" s="123"/>
      <c r="D415" s="142"/>
      <c r="E415" s="142"/>
      <c r="F415" s="208"/>
      <c r="G415" s="181"/>
      <c r="H415" s="209"/>
      <c r="I415" s="209"/>
      <c r="J415" s="209"/>
      <c r="K415" s="209"/>
      <c r="L415" s="209"/>
      <c r="M415" s="209"/>
      <c r="N415" s="209"/>
      <c r="O415" s="209"/>
      <c r="P415" s="209"/>
    </row>
    <row r="416" spans="1:16" x14ac:dyDescent="0.25">
      <c r="A416" s="115"/>
      <c r="C416" s="123"/>
      <c r="D416" s="142"/>
      <c r="E416" s="142"/>
      <c r="F416" s="208"/>
      <c r="G416" s="181"/>
      <c r="H416" s="209"/>
      <c r="I416" s="209"/>
      <c r="J416" s="209"/>
      <c r="K416" s="209"/>
      <c r="L416" s="209"/>
      <c r="M416" s="209"/>
      <c r="N416" s="209"/>
      <c r="O416" s="209"/>
      <c r="P416" s="209"/>
    </row>
    <row r="417" spans="1:16" x14ac:dyDescent="0.25">
      <c r="A417" s="115"/>
      <c r="C417" s="123"/>
      <c r="D417" s="142"/>
      <c r="E417" s="142"/>
      <c r="F417" s="208"/>
      <c r="G417" s="181"/>
      <c r="H417" s="209"/>
      <c r="I417" s="209"/>
      <c r="J417" s="209"/>
      <c r="K417" s="209"/>
      <c r="L417" s="209"/>
      <c r="M417" s="209"/>
      <c r="N417" s="209"/>
      <c r="O417" s="209"/>
      <c r="P417" s="209"/>
    </row>
    <row r="418" spans="1:16" x14ac:dyDescent="0.25">
      <c r="A418" s="115"/>
      <c r="C418" s="123"/>
      <c r="D418" s="142"/>
      <c r="E418" s="142"/>
      <c r="F418" s="208"/>
      <c r="G418" s="181"/>
      <c r="H418" s="209"/>
      <c r="I418" s="209"/>
      <c r="J418" s="209"/>
      <c r="K418" s="209"/>
      <c r="L418" s="209"/>
      <c r="M418" s="209"/>
      <c r="N418" s="209"/>
      <c r="O418" s="209"/>
      <c r="P418" s="209"/>
    </row>
    <row r="419" spans="1:16" x14ac:dyDescent="0.25">
      <c r="A419" s="115"/>
      <c r="C419" s="123"/>
      <c r="D419" s="142"/>
      <c r="E419" s="142"/>
      <c r="F419" s="208"/>
      <c r="G419" s="181"/>
      <c r="H419" s="209"/>
      <c r="I419" s="209"/>
      <c r="J419" s="209"/>
      <c r="K419" s="209"/>
      <c r="L419" s="209"/>
      <c r="M419" s="209"/>
      <c r="N419" s="209"/>
      <c r="O419" s="209"/>
      <c r="P419" s="209"/>
    </row>
    <row r="420" spans="1:16" x14ac:dyDescent="0.25">
      <c r="A420" s="115"/>
      <c r="C420" s="123"/>
      <c r="D420" s="142"/>
      <c r="E420" s="142"/>
      <c r="F420" s="208"/>
      <c r="G420" s="181"/>
      <c r="H420" s="209"/>
      <c r="I420" s="209"/>
      <c r="J420" s="209"/>
      <c r="K420" s="209"/>
      <c r="L420" s="209"/>
      <c r="M420" s="209"/>
      <c r="N420" s="209"/>
      <c r="O420" s="209"/>
      <c r="P420" s="209"/>
    </row>
    <row r="421" spans="1:16" x14ac:dyDescent="0.25">
      <c r="A421" s="115"/>
      <c r="C421" s="123"/>
      <c r="D421" s="142"/>
      <c r="E421" s="142"/>
      <c r="F421" s="208"/>
      <c r="G421" s="181"/>
      <c r="H421" s="209"/>
      <c r="I421" s="209"/>
      <c r="J421" s="209"/>
      <c r="K421" s="209"/>
      <c r="L421" s="209"/>
      <c r="M421" s="209"/>
      <c r="N421" s="209"/>
      <c r="O421" s="209"/>
      <c r="P421" s="209"/>
    </row>
    <row r="422" spans="1:16" x14ac:dyDescent="0.25">
      <c r="A422" s="115"/>
      <c r="C422" s="123"/>
      <c r="D422" s="142"/>
      <c r="E422" s="142"/>
      <c r="F422" s="208"/>
      <c r="G422" s="181"/>
      <c r="H422" s="209"/>
      <c r="I422" s="209"/>
      <c r="J422" s="209"/>
      <c r="K422" s="209"/>
      <c r="L422" s="209"/>
      <c r="M422" s="209"/>
      <c r="N422" s="209"/>
      <c r="O422" s="209"/>
      <c r="P422" s="209"/>
    </row>
    <row r="423" spans="1:16" x14ac:dyDescent="0.25">
      <c r="A423" s="115"/>
      <c r="C423" s="123"/>
      <c r="D423" s="142"/>
      <c r="E423" s="142"/>
      <c r="F423" s="208"/>
      <c r="G423" s="181"/>
      <c r="H423" s="209"/>
      <c r="I423" s="209"/>
      <c r="J423" s="209"/>
      <c r="K423" s="209"/>
      <c r="L423" s="209"/>
      <c r="M423" s="209"/>
      <c r="N423" s="209"/>
      <c r="O423" s="209"/>
      <c r="P423" s="209"/>
    </row>
    <row r="424" spans="1:16" x14ac:dyDescent="0.25">
      <c r="A424" s="115"/>
      <c r="C424" s="123"/>
      <c r="D424" s="142"/>
      <c r="E424" s="142"/>
      <c r="F424" s="208"/>
      <c r="G424" s="181"/>
      <c r="H424" s="209"/>
      <c r="I424" s="209"/>
      <c r="J424" s="209"/>
      <c r="K424" s="209"/>
      <c r="L424" s="209"/>
      <c r="M424" s="209"/>
      <c r="N424" s="209"/>
      <c r="O424" s="209"/>
      <c r="P424" s="209"/>
    </row>
    <row r="425" spans="1:16" x14ac:dyDescent="0.25">
      <c r="A425" s="115"/>
      <c r="C425" s="123"/>
      <c r="D425" s="142"/>
      <c r="E425" s="142"/>
      <c r="F425" s="208"/>
      <c r="G425" s="181"/>
      <c r="H425" s="209"/>
      <c r="I425" s="209"/>
      <c r="J425" s="209"/>
      <c r="K425" s="209"/>
      <c r="L425" s="209"/>
      <c r="M425" s="209"/>
      <c r="N425" s="209"/>
      <c r="O425" s="209"/>
      <c r="P425" s="209"/>
    </row>
    <row r="426" spans="1:16" x14ac:dyDescent="0.25">
      <c r="A426" s="115"/>
      <c r="C426" s="123"/>
      <c r="D426" s="142"/>
      <c r="E426" s="142"/>
      <c r="F426" s="208"/>
      <c r="G426" s="181"/>
      <c r="H426" s="209"/>
      <c r="I426" s="209"/>
      <c r="J426" s="209"/>
      <c r="K426" s="209"/>
      <c r="L426" s="209"/>
      <c r="M426" s="209"/>
      <c r="N426" s="209"/>
      <c r="O426" s="209"/>
      <c r="P426" s="209"/>
    </row>
    <row r="427" spans="1:16" x14ac:dyDescent="0.25">
      <c r="A427" s="115"/>
      <c r="C427" s="123"/>
      <c r="D427" s="142"/>
      <c r="E427" s="142"/>
      <c r="F427" s="208"/>
      <c r="G427" s="181"/>
      <c r="H427" s="209"/>
      <c r="I427" s="209"/>
      <c r="J427" s="209"/>
      <c r="K427" s="209"/>
      <c r="L427" s="209"/>
      <c r="M427" s="209"/>
      <c r="N427" s="209"/>
      <c r="O427" s="209"/>
      <c r="P427" s="209"/>
    </row>
    <row r="428" spans="1:16" x14ac:dyDescent="0.25">
      <c r="A428" s="115"/>
      <c r="C428" s="123"/>
      <c r="D428" s="142"/>
      <c r="E428" s="142"/>
      <c r="F428" s="208"/>
      <c r="G428" s="181"/>
      <c r="H428" s="209"/>
      <c r="I428" s="209"/>
      <c r="J428" s="209"/>
      <c r="K428" s="209"/>
      <c r="L428" s="209"/>
      <c r="M428" s="209"/>
      <c r="N428" s="209"/>
      <c r="O428" s="209"/>
      <c r="P428" s="209"/>
    </row>
    <row r="429" spans="1:16" x14ac:dyDescent="0.25">
      <c r="A429" s="115"/>
      <c r="C429" s="123"/>
      <c r="D429" s="142"/>
      <c r="E429" s="142"/>
      <c r="F429" s="208"/>
      <c r="G429" s="181"/>
      <c r="H429" s="209"/>
      <c r="I429" s="209"/>
      <c r="J429" s="209"/>
      <c r="K429" s="209"/>
      <c r="L429" s="209"/>
      <c r="M429" s="209"/>
      <c r="N429" s="209"/>
      <c r="O429" s="209"/>
      <c r="P429" s="209"/>
    </row>
    <row r="430" spans="1:16" x14ac:dyDescent="0.25">
      <c r="A430" s="115"/>
      <c r="C430" s="123"/>
      <c r="D430" s="142"/>
      <c r="E430" s="142"/>
      <c r="F430" s="208"/>
      <c r="G430" s="181"/>
      <c r="H430" s="209"/>
      <c r="I430" s="209"/>
      <c r="J430" s="209"/>
      <c r="K430" s="209"/>
      <c r="L430" s="209"/>
      <c r="M430" s="209"/>
      <c r="N430" s="209"/>
      <c r="O430" s="209"/>
      <c r="P430" s="209"/>
    </row>
    <row r="431" spans="1:16" x14ac:dyDescent="0.25">
      <c r="A431" s="115"/>
      <c r="C431" s="123"/>
      <c r="D431" s="142"/>
      <c r="E431" s="142"/>
      <c r="F431" s="208"/>
      <c r="G431" s="181"/>
      <c r="H431" s="209"/>
      <c r="I431" s="209"/>
      <c r="J431" s="209"/>
      <c r="K431" s="209"/>
      <c r="L431" s="209"/>
      <c r="M431" s="209"/>
      <c r="N431" s="209"/>
      <c r="O431" s="209"/>
      <c r="P431" s="209"/>
    </row>
    <row r="432" spans="1:16" x14ac:dyDescent="0.25">
      <c r="A432" s="115"/>
      <c r="C432" s="123"/>
      <c r="D432" s="142"/>
      <c r="E432" s="142"/>
      <c r="F432" s="208"/>
      <c r="G432" s="181"/>
      <c r="H432" s="209"/>
      <c r="I432" s="209"/>
      <c r="J432" s="209"/>
      <c r="K432" s="209"/>
      <c r="L432" s="209"/>
      <c r="M432" s="209"/>
      <c r="N432" s="209"/>
      <c r="O432" s="209"/>
      <c r="P432" s="209"/>
    </row>
    <row r="433" spans="1:16" x14ac:dyDescent="0.25">
      <c r="A433" s="115"/>
      <c r="C433" s="123"/>
      <c r="D433" s="142"/>
      <c r="E433" s="142"/>
      <c r="F433" s="208"/>
      <c r="G433" s="181"/>
      <c r="H433" s="209"/>
      <c r="I433" s="209"/>
      <c r="J433" s="209"/>
      <c r="K433" s="209"/>
      <c r="L433" s="209"/>
      <c r="M433" s="209"/>
      <c r="N433" s="209"/>
      <c r="O433" s="209"/>
      <c r="P433" s="209"/>
    </row>
    <row r="434" spans="1:16" x14ac:dyDescent="0.25">
      <c r="A434" s="115"/>
      <c r="C434" s="123"/>
      <c r="D434" s="142"/>
      <c r="E434" s="142"/>
      <c r="F434" s="208"/>
      <c r="G434" s="181"/>
      <c r="H434" s="209"/>
      <c r="I434" s="209"/>
      <c r="J434" s="209"/>
      <c r="K434" s="209"/>
      <c r="L434" s="209"/>
      <c r="M434" s="209"/>
      <c r="N434" s="209"/>
      <c r="O434" s="209"/>
      <c r="P434" s="209"/>
    </row>
    <row r="435" spans="1:16" x14ac:dyDescent="0.25">
      <c r="A435" s="115"/>
      <c r="C435" s="123"/>
      <c r="D435" s="142"/>
      <c r="E435" s="142"/>
      <c r="F435" s="208"/>
      <c r="G435" s="181"/>
      <c r="H435" s="209"/>
      <c r="I435" s="209"/>
      <c r="J435" s="209"/>
      <c r="K435" s="209"/>
      <c r="L435" s="209"/>
      <c r="M435" s="209"/>
      <c r="N435" s="209"/>
      <c r="O435" s="209"/>
      <c r="P435" s="209"/>
    </row>
    <row r="436" spans="1:16" x14ac:dyDescent="0.25">
      <c r="A436" s="115"/>
      <c r="C436" s="123"/>
      <c r="D436" s="142"/>
      <c r="E436" s="142"/>
      <c r="F436" s="208"/>
      <c r="G436" s="181"/>
      <c r="H436" s="209"/>
      <c r="I436" s="209"/>
      <c r="J436" s="209"/>
      <c r="K436" s="209"/>
      <c r="L436" s="209"/>
      <c r="M436" s="209"/>
      <c r="N436" s="209"/>
      <c r="O436" s="209"/>
      <c r="P436" s="209"/>
    </row>
    <row r="437" spans="1:16" x14ac:dyDescent="0.25">
      <c r="A437" s="115"/>
      <c r="C437" s="123"/>
      <c r="D437" s="142"/>
      <c r="E437" s="142"/>
      <c r="F437" s="208"/>
      <c r="G437" s="181"/>
      <c r="H437" s="209"/>
      <c r="I437" s="209"/>
      <c r="J437" s="209"/>
      <c r="K437" s="209"/>
      <c r="L437" s="209"/>
      <c r="M437" s="209"/>
      <c r="N437" s="209"/>
      <c r="O437" s="209"/>
      <c r="P437" s="209"/>
    </row>
    <row r="438" spans="1:16" x14ac:dyDescent="0.25">
      <c r="A438" s="115"/>
      <c r="C438" s="123"/>
      <c r="D438" s="142"/>
      <c r="E438" s="142"/>
      <c r="F438" s="208"/>
      <c r="G438" s="181"/>
      <c r="H438" s="209"/>
      <c r="I438" s="209"/>
      <c r="J438" s="209"/>
      <c r="K438" s="209"/>
      <c r="L438" s="209"/>
      <c r="M438" s="209"/>
      <c r="N438" s="209"/>
      <c r="O438" s="209"/>
      <c r="P438" s="209"/>
    </row>
    <row r="439" spans="1:16" x14ac:dyDescent="0.25">
      <c r="A439" s="115"/>
      <c r="C439" s="123"/>
      <c r="D439" s="142"/>
      <c r="E439" s="142"/>
      <c r="F439" s="208"/>
      <c r="G439" s="181"/>
      <c r="H439" s="209"/>
      <c r="I439" s="209"/>
      <c r="J439" s="209"/>
      <c r="K439" s="209"/>
      <c r="L439" s="209"/>
      <c r="M439" s="209"/>
      <c r="N439" s="209"/>
      <c r="O439" s="209"/>
      <c r="P439" s="209"/>
    </row>
    <row r="440" spans="1:16" x14ac:dyDescent="0.25">
      <c r="A440" s="115"/>
      <c r="C440" s="123"/>
      <c r="D440" s="142"/>
      <c r="E440" s="142"/>
      <c r="F440" s="208"/>
      <c r="G440" s="181"/>
      <c r="H440" s="209"/>
      <c r="I440" s="209"/>
      <c r="J440" s="209"/>
      <c r="K440" s="209"/>
      <c r="L440" s="209"/>
      <c r="M440" s="209"/>
      <c r="N440" s="209"/>
      <c r="O440" s="209"/>
      <c r="P440" s="209"/>
    </row>
    <row r="441" spans="1:16" x14ac:dyDescent="0.25">
      <c r="A441" s="115"/>
      <c r="C441" s="123"/>
      <c r="D441" s="142"/>
      <c r="E441" s="142"/>
      <c r="F441" s="208"/>
      <c r="G441" s="181"/>
      <c r="H441" s="209"/>
      <c r="I441" s="209"/>
      <c r="J441" s="209"/>
      <c r="K441" s="209"/>
      <c r="L441" s="209"/>
      <c r="M441" s="209"/>
      <c r="N441" s="209"/>
      <c r="O441" s="209"/>
      <c r="P441" s="209"/>
    </row>
    <row r="442" spans="1:16" x14ac:dyDescent="0.25">
      <c r="A442" s="115"/>
      <c r="C442" s="123"/>
      <c r="D442" s="142"/>
      <c r="E442" s="142"/>
      <c r="F442" s="208"/>
      <c r="G442" s="181"/>
      <c r="H442" s="209"/>
      <c r="I442" s="209"/>
      <c r="J442" s="209"/>
      <c r="K442" s="209"/>
      <c r="L442" s="209"/>
      <c r="M442" s="209"/>
      <c r="N442" s="209"/>
      <c r="O442" s="209"/>
      <c r="P442" s="209"/>
    </row>
    <row r="443" spans="1:16" x14ac:dyDescent="0.25">
      <c r="A443" s="115"/>
      <c r="C443" s="123"/>
      <c r="D443" s="142"/>
      <c r="E443" s="142"/>
      <c r="F443" s="208"/>
      <c r="G443" s="181"/>
      <c r="H443" s="209"/>
      <c r="I443" s="209"/>
      <c r="J443" s="209"/>
      <c r="K443" s="209"/>
      <c r="L443" s="209"/>
      <c r="M443" s="209"/>
      <c r="N443" s="209"/>
      <c r="O443" s="209"/>
      <c r="P443" s="209"/>
    </row>
    <row r="444" spans="1:16" x14ac:dyDescent="0.25">
      <c r="A444" s="115"/>
      <c r="C444" s="123"/>
      <c r="D444" s="142"/>
      <c r="E444" s="142"/>
      <c r="F444" s="208"/>
      <c r="G444" s="181"/>
      <c r="H444" s="209"/>
      <c r="I444" s="209"/>
      <c r="J444" s="209"/>
      <c r="K444" s="209"/>
      <c r="L444" s="209"/>
      <c r="M444" s="209"/>
      <c r="N444" s="209"/>
      <c r="O444" s="209"/>
      <c r="P444" s="209"/>
    </row>
    <row r="445" spans="1:16" x14ac:dyDescent="0.25">
      <c r="A445" s="115"/>
      <c r="C445" s="123"/>
      <c r="D445" s="142"/>
      <c r="E445" s="142"/>
      <c r="F445" s="208"/>
      <c r="G445" s="181"/>
      <c r="H445" s="209"/>
      <c r="I445" s="209"/>
      <c r="J445" s="209"/>
      <c r="K445" s="209"/>
      <c r="L445" s="209"/>
      <c r="M445" s="209"/>
      <c r="N445" s="209"/>
      <c r="O445" s="209"/>
      <c r="P445" s="209"/>
    </row>
    <row r="446" spans="1:16" x14ac:dyDescent="0.25">
      <c r="A446" s="115"/>
      <c r="C446" s="123"/>
      <c r="D446" s="142"/>
      <c r="E446" s="142"/>
      <c r="F446" s="208"/>
      <c r="G446" s="181"/>
      <c r="H446" s="209"/>
      <c r="I446" s="209"/>
      <c r="J446" s="209"/>
      <c r="K446" s="209"/>
      <c r="L446" s="209"/>
      <c r="M446" s="209"/>
      <c r="N446" s="209"/>
      <c r="O446" s="209"/>
      <c r="P446" s="209"/>
    </row>
    <row r="447" spans="1:16" x14ac:dyDescent="0.25">
      <c r="A447" s="115"/>
      <c r="C447" s="123"/>
      <c r="D447" s="142"/>
      <c r="E447" s="142"/>
      <c r="F447" s="208"/>
      <c r="G447" s="181"/>
      <c r="H447" s="209"/>
      <c r="I447" s="209"/>
      <c r="J447" s="209"/>
      <c r="K447" s="209"/>
      <c r="L447" s="209"/>
      <c r="M447" s="209"/>
      <c r="N447" s="209"/>
      <c r="O447" s="209"/>
      <c r="P447" s="209"/>
    </row>
    <row r="448" spans="1:16" x14ac:dyDescent="0.25">
      <c r="A448" s="115"/>
      <c r="C448" s="123"/>
      <c r="D448" s="142"/>
      <c r="E448" s="142"/>
      <c r="F448" s="208"/>
      <c r="G448" s="181"/>
      <c r="H448" s="209"/>
      <c r="I448" s="209"/>
      <c r="J448" s="209"/>
      <c r="K448" s="209"/>
      <c r="L448" s="209"/>
      <c r="M448" s="209"/>
      <c r="N448" s="209"/>
      <c r="O448" s="209"/>
      <c r="P448" s="209"/>
    </row>
    <row r="449" spans="1:16" x14ac:dyDescent="0.25">
      <c r="A449" s="115"/>
      <c r="C449" s="123"/>
      <c r="D449" s="142"/>
      <c r="E449" s="142"/>
      <c r="F449" s="208"/>
      <c r="G449" s="181"/>
      <c r="H449" s="209"/>
      <c r="I449" s="209"/>
      <c r="J449" s="209"/>
      <c r="K449" s="209"/>
      <c r="L449" s="209"/>
      <c r="M449" s="209"/>
      <c r="N449" s="209"/>
      <c r="O449" s="209"/>
      <c r="P449" s="209"/>
    </row>
    <row r="450" spans="1:16" x14ac:dyDescent="0.25">
      <c r="A450" s="115"/>
      <c r="C450" s="123"/>
      <c r="D450" s="142"/>
      <c r="E450" s="142"/>
      <c r="F450" s="208"/>
      <c r="G450" s="181"/>
      <c r="H450" s="209"/>
      <c r="I450" s="209"/>
      <c r="J450" s="209"/>
      <c r="K450" s="209"/>
      <c r="L450" s="209"/>
      <c r="M450" s="209"/>
      <c r="N450" s="209"/>
      <c r="O450" s="209"/>
      <c r="P450" s="209"/>
    </row>
    <row r="451" spans="1:16" x14ac:dyDescent="0.25">
      <c r="A451" s="115"/>
      <c r="C451" s="123"/>
      <c r="D451" s="142"/>
      <c r="E451" s="142"/>
      <c r="F451" s="208"/>
      <c r="G451" s="181"/>
      <c r="H451" s="209"/>
      <c r="I451" s="209"/>
      <c r="J451" s="209"/>
      <c r="K451" s="209"/>
      <c r="L451" s="209"/>
      <c r="M451" s="209"/>
      <c r="N451" s="209"/>
      <c r="O451" s="209"/>
      <c r="P451" s="209"/>
    </row>
    <row r="452" spans="1:16" x14ac:dyDescent="0.25">
      <c r="A452" s="115"/>
      <c r="C452" s="123"/>
      <c r="D452" s="142"/>
      <c r="E452" s="142"/>
      <c r="F452" s="208"/>
      <c r="G452" s="181"/>
      <c r="H452" s="209"/>
      <c r="I452" s="209"/>
      <c r="J452" s="209"/>
      <c r="K452" s="209"/>
      <c r="L452" s="209"/>
      <c r="M452" s="209"/>
      <c r="N452" s="209"/>
      <c r="O452" s="209"/>
      <c r="P452" s="209"/>
    </row>
    <row r="453" spans="1:16" x14ac:dyDescent="0.25">
      <c r="A453" s="115"/>
      <c r="C453" s="123"/>
      <c r="D453" s="142"/>
      <c r="E453" s="142"/>
      <c r="F453" s="208"/>
      <c r="G453" s="181"/>
      <c r="H453" s="209"/>
      <c r="I453" s="209"/>
      <c r="J453" s="209"/>
      <c r="K453" s="209"/>
      <c r="L453" s="209"/>
      <c r="M453" s="209"/>
      <c r="N453" s="209"/>
      <c r="O453" s="209"/>
      <c r="P453" s="209"/>
    </row>
    <row r="454" spans="1:16" x14ac:dyDescent="0.25">
      <c r="A454" s="115"/>
      <c r="C454" s="123"/>
      <c r="D454" s="142"/>
      <c r="E454" s="142"/>
      <c r="F454" s="208"/>
      <c r="G454" s="181"/>
      <c r="H454" s="209"/>
      <c r="I454" s="209"/>
      <c r="J454" s="209"/>
      <c r="K454" s="209"/>
      <c r="L454" s="209"/>
      <c r="M454" s="209"/>
      <c r="N454" s="209"/>
      <c r="O454" s="209"/>
      <c r="P454" s="209"/>
    </row>
    <row r="455" spans="1:16" x14ac:dyDescent="0.25">
      <c r="A455" s="115"/>
      <c r="C455" s="123"/>
      <c r="D455" s="142"/>
      <c r="E455" s="142"/>
      <c r="F455" s="208"/>
      <c r="G455" s="181"/>
      <c r="H455" s="209"/>
      <c r="I455" s="209"/>
      <c r="J455" s="209"/>
      <c r="K455" s="209"/>
      <c r="L455" s="209"/>
      <c r="M455" s="209"/>
      <c r="N455" s="209"/>
      <c r="O455" s="209"/>
      <c r="P455" s="209"/>
    </row>
    <row r="456" spans="1:16" x14ac:dyDescent="0.25">
      <c r="A456" s="115"/>
      <c r="C456" s="123"/>
      <c r="D456" s="142"/>
      <c r="E456" s="142"/>
      <c r="F456" s="208"/>
      <c r="G456" s="181"/>
      <c r="H456" s="209"/>
      <c r="I456" s="209"/>
      <c r="J456" s="209"/>
      <c r="K456" s="209"/>
      <c r="L456" s="209"/>
      <c r="M456" s="209"/>
      <c r="N456" s="209"/>
      <c r="O456" s="209"/>
      <c r="P456" s="209"/>
    </row>
    <row r="457" spans="1:16" x14ac:dyDescent="0.25">
      <c r="A457" s="115"/>
      <c r="C457" s="123"/>
      <c r="D457" s="142"/>
      <c r="E457" s="142"/>
      <c r="F457" s="208"/>
      <c r="G457" s="181"/>
      <c r="H457" s="209"/>
      <c r="I457" s="209"/>
      <c r="J457" s="209"/>
      <c r="K457" s="209"/>
      <c r="L457" s="209"/>
      <c r="M457" s="209"/>
      <c r="N457" s="209"/>
      <c r="O457" s="209"/>
      <c r="P457" s="209"/>
    </row>
    <row r="458" spans="1:16" x14ac:dyDescent="0.25">
      <c r="A458" s="115"/>
      <c r="C458" s="123"/>
      <c r="D458" s="142"/>
      <c r="E458" s="142"/>
      <c r="F458" s="208"/>
      <c r="G458" s="181"/>
      <c r="H458" s="209"/>
      <c r="I458" s="209"/>
      <c r="J458" s="209"/>
      <c r="K458" s="209"/>
      <c r="L458" s="209"/>
      <c r="M458" s="209"/>
      <c r="N458" s="209"/>
      <c r="O458" s="209"/>
      <c r="P458" s="209"/>
    </row>
    <row r="459" spans="1:16" x14ac:dyDescent="0.25">
      <c r="A459" s="115"/>
      <c r="C459" s="123"/>
      <c r="D459" s="142"/>
      <c r="E459" s="142"/>
      <c r="F459" s="208"/>
      <c r="G459" s="181"/>
      <c r="H459" s="209"/>
      <c r="I459" s="209"/>
      <c r="J459" s="209"/>
      <c r="K459" s="209"/>
      <c r="L459" s="209"/>
      <c r="M459" s="209"/>
      <c r="N459" s="209"/>
      <c r="O459" s="209"/>
      <c r="P459" s="209"/>
    </row>
    <row r="460" spans="1:16" x14ac:dyDescent="0.25">
      <c r="A460" s="115"/>
      <c r="C460" s="123"/>
      <c r="D460" s="142"/>
      <c r="E460" s="142"/>
      <c r="F460" s="208"/>
      <c r="G460" s="181"/>
      <c r="H460" s="209"/>
      <c r="I460" s="209"/>
      <c r="J460" s="209"/>
      <c r="K460" s="209"/>
      <c r="L460" s="209"/>
      <c r="M460" s="209"/>
      <c r="N460" s="209"/>
      <c r="O460" s="209"/>
      <c r="P460" s="209"/>
    </row>
    <row r="461" spans="1:16" x14ac:dyDescent="0.25">
      <c r="A461" s="115"/>
      <c r="C461" s="123"/>
      <c r="D461" s="142"/>
      <c r="E461" s="142"/>
      <c r="F461" s="208"/>
      <c r="G461" s="181"/>
      <c r="H461" s="209"/>
      <c r="I461" s="209"/>
      <c r="J461" s="209"/>
      <c r="K461" s="209"/>
      <c r="L461" s="209"/>
      <c r="M461" s="209"/>
      <c r="N461" s="209"/>
      <c r="O461" s="209"/>
      <c r="P461" s="209"/>
    </row>
    <row r="462" spans="1:16" x14ac:dyDescent="0.25">
      <c r="A462" s="115"/>
      <c r="C462" s="123"/>
      <c r="D462" s="142"/>
      <c r="E462" s="142"/>
      <c r="F462" s="208"/>
      <c r="G462" s="181"/>
      <c r="H462" s="209"/>
      <c r="I462" s="209"/>
      <c r="J462" s="209"/>
      <c r="K462" s="209"/>
      <c r="L462" s="209"/>
      <c r="M462" s="209"/>
      <c r="N462" s="209"/>
      <c r="O462" s="209"/>
      <c r="P462" s="209"/>
    </row>
    <row r="463" spans="1:16" x14ac:dyDescent="0.25">
      <c r="A463" s="115"/>
      <c r="C463" s="123"/>
      <c r="D463" s="142"/>
      <c r="E463" s="142"/>
      <c r="F463" s="208"/>
      <c r="G463" s="181"/>
      <c r="H463" s="209"/>
      <c r="I463" s="209"/>
      <c r="J463" s="209"/>
      <c r="K463" s="209"/>
      <c r="L463" s="209"/>
      <c r="M463" s="209"/>
      <c r="N463" s="209"/>
      <c r="O463" s="209"/>
      <c r="P463" s="209"/>
    </row>
    <row r="464" spans="1:16" x14ac:dyDescent="0.25">
      <c r="A464" s="115"/>
      <c r="C464" s="123"/>
      <c r="D464" s="142"/>
      <c r="E464" s="142"/>
      <c r="F464" s="208"/>
      <c r="G464" s="181"/>
      <c r="H464" s="209"/>
      <c r="I464" s="209"/>
      <c r="J464" s="209"/>
      <c r="K464" s="209"/>
      <c r="L464" s="209"/>
      <c r="M464" s="209"/>
      <c r="N464" s="209"/>
      <c r="O464" s="209"/>
      <c r="P464" s="209"/>
    </row>
    <row r="465" spans="1:16" x14ac:dyDescent="0.25">
      <c r="A465" s="115"/>
      <c r="C465" s="123"/>
      <c r="D465" s="142"/>
      <c r="E465" s="142"/>
      <c r="F465" s="208"/>
      <c r="G465" s="181"/>
      <c r="H465" s="209"/>
      <c r="I465" s="209"/>
      <c r="J465" s="209"/>
      <c r="K465" s="209"/>
      <c r="L465" s="209"/>
      <c r="M465" s="209"/>
      <c r="N465" s="209"/>
      <c r="O465" s="209"/>
      <c r="P465" s="209"/>
    </row>
    <row r="466" spans="1:16" x14ac:dyDescent="0.25">
      <c r="A466" s="115"/>
      <c r="C466" s="123"/>
      <c r="D466" s="142"/>
      <c r="E466" s="142"/>
      <c r="F466" s="208"/>
      <c r="G466" s="181"/>
      <c r="H466" s="209"/>
      <c r="I466" s="209"/>
      <c r="J466" s="209"/>
      <c r="K466" s="209"/>
      <c r="L466" s="209"/>
      <c r="M466" s="209"/>
      <c r="N466" s="209"/>
      <c r="O466" s="209"/>
      <c r="P466" s="209"/>
    </row>
    <row r="467" spans="1:16" x14ac:dyDescent="0.25">
      <c r="A467" s="115"/>
      <c r="C467" s="123"/>
      <c r="D467" s="142"/>
      <c r="E467" s="142"/>
      <c r="F467" s="208"/>
      <c r="G467" s="181"/>
      <c r="H467" s="209"/>
      <c r="I467" s="209"/>
      <c r="J467" s="209"/>
      <c r="K467" s="209"/>
      <c r="L467" s="209"/>
      <c r="M467" s="209"/>
      <c r="N467" s="209"/>
      <c r="O467" s="209"/>
      <c r="P467" s="209"/>
    </row>
    <row r="468" spans="1:16" x14ac:dyDescent="0.25">
      <c r="A468" s="115"/>
      <c r="C468" s="123"/>
      <c r="D468" s="142"/>
      <c r="E468" s="142"/>
      <c r="F468" s="208"/>
      <c r="G468" s="181"/>
      <c r="H468" s="209"/>
      <c r="I468" s="209"/>
      <c r="J468" s="209"/>
      <c r="K468" s="209"/>
      <c r="L468" s="209"/>
      <c r="M468" s="209"/>
      <c r="N468" s="209"/>
      <c r="O468" s="209"/>
      <c r="P468" s="209"/>
    </row>
    <row r="469" spans="1:16" x14ac:dyDescent="0.25">
      <c r="A469" s="115"/>
      <c r="C469" s="123"/>
      <c r="D469" s="142"/>
      <c r="E469" s="142"/>
      <c r="F469" s="208"/>
      <c r="G469" s="181"/>
      <c r="H469" s="209"/>
      <c r="I469" s="209"/>
      <c r="J469" s="209"/>
      <c r="K469" s="209"/>
      <c r="L469" s="209"/>
      <c r="M469" s="209"/>
      <c r="N469" s="209"/>
      <c r="O469" s="209"/>
      <c r="P469" s="209"/>
    </row>
    <row r="470" spans="1:16" x14ac:dyDescent="0.25">
      <c r="A470" s="115"/>
      <c r="C470" s="123"/>
      <c r="D470" s="142"/>
      <c r="E470" s="142"/>
      <c r="F470" s="208"/>
      <c r="G470" s="181"/>
      <c r="H470" s="209"/>
      <c r="I470" s="209"/>
      <c r="J470" s="209"/>
      <c r="K470" s="209"/>
      <c r="L470" s="209"/>
      <c r="M470" s="209"/>
      <c r="N470" s="209"/>
      <c r="O470" s="209"/>
      <c r="P470" s="209"/>
    </row>
    <row r="471" spans="1:16" x14ac:dyDescent="0.25">
      <c r="A471" s="115"/>
      <c r="C471" s="123"/>
      <c r="D471" s="142"/>
      <c r="E471" s="142"/>
      <c r="F471" s="208"/>
      <c r="G471" s="181"/>
      <c r="H471" s="209"/>
      <c r="I471" s="209"/>
      <c r="J471" s="209"/>
      <c r="K471" s="209"/>
      <c r="L471" s="209"/>
      <c r="M471" s="209"/>
      <c r="N471" s="209"/>
      <c r="O471" s="209"/>
      <c r="P471" s="209"/>
    </row>
    <row r="472" spans="1:16" x14ac:dyDescent="0.25">
      <c r="A472" s="115"/>
      <c r="C472" s="123"/>
      <c r="D472" s="142"/>
      <c r="E472" s="142"/>
      <c r="F472" s="208"/>
      <c r="G472" s="181"/>
      <c r="H472" s="209"/>
      <c r="I472" s="209"/>
      <c r="J472" s="209"/>
      <c r="K472" s="209"/>
      <c r="L472" s="209"/>
      <c r="M472" s="209"/>
      <c r="N472" s="209"/>
      <c r="O472" s="209"/>
      <c r="P472" s="209"/>
    </row>
    <row r="473" spans="1:16" x14ac:dyDescent="0.25">
      <c r="A473" s="115"/>
      <c r="C473" s="123"/>
      <c r="D473" s="142"/>
      <c r="E473" s="142"/>
      <c r="F473" s="208"/>
      <c r="G473" s="181"/>
      <c r="H473" s="209"/>
      <c r="I473" s="209"/>
      <c r="J473" s="209"/>
      <c r="K473" s="209"/>
      <c r="L473" s="209"/>
      <c r="M473" s="209"/>
      <c r="N473" s="209"/>
      <c r="O473" s="209"/>
      <c r="P473" s="209"/>
    </row>
    <row r="474" spans="1:16" x14ac:dyDescent="0.25">
      <c r="A474" s="115"/>
      <c r="C474" s="123"/>
      <c r="D474" s="142"/>
      <c r="E474" s="142"/>
      <c r="F474" s="208"/>
      <c r="G474" s="181"/>
      <c r="H474" s="209"/>
      <c r="I474" s="209"/>
      <c r="J474" s="209"/>
      <c r="K474" s="209"/>
      <c r="L474" s="209"/>
      <c r="M474" s="209"/>
      <c r="N474" s="209"/>
      <c r="O474" s="209"/>
      <c r="P474" s="209"/>
    </row>
    <row r="475" spans="1:16" x14ac:dyDescent="0.25">
      <c r="A475" s="115"/>
      <c r="C475" s="123"/>
      <c r="D475" s="142"/>
      <c r="E475" s="142"/>
      <c r="F475" s="208"/>
      <c r="G475" s="181"/>
      <c r="H475" s="209"/>
      <c r="I475" s="209"/>
      <c r="J475" s="209"/>
      <c r="K475" s="209"/>
      <c r="L475" s="209"/>
      <c r="M475" s="209"/>
      <c r="N475" s="209"/>
      <c r="O475" s="209"/>
      <c r="P475" s="209"/>
    </row>
    <row r="476" spans="1:16" x14ac:dyDescent="0.25">
      <c r="A476" s="115"/>
      <c r="C476" s="123"/>
      <c r="D476" s="142"/>
      <c r="E476" s="142"/>
      <c r="F476" s="208"/>
      <c r="G476" s="181"/>
      <c r="H476" s="209"/>
      <c r="I476" s="209"/>
      <c r="J476" s="209"/>
      <c r="K476" s="209"/>
      <c r="L476" s="209"/>
      <c r="M476" s="209"/>
      <c r="N476" s="209"/>
      <c r="O476" s="209"/>
      <c r="P476" s="209"/>
    </row>
    <row r="477" spans="1:16" x14ac:dyDescent="0.25">
      <c r="A477" s="115"/>
      <c r="C477" s="123"/>
      <c r="D477" s="142"/>
      <c r="E477" s="142"/>
      <c r="F477" s="208"/>
      <c r="G477" s="181"/>
      <c r="H477" s="209"/>
      <c r="I477" s="209"/>
      <c r="J477" s="209"/>
      <c r="K477" s="209"/>
      <c r="L477" s="209"/>
      <c r="M477" s="209"/>
      <c r="N477" s="209"/>
      <c r="O477" s="209"/>
      <c r="P477" s="209"/>
    </row>
    <row r="478" spans="1:16" x14ac:dyDescent="0.25">
      <c r="A478" s="115"/>
      <c r="C478" s="123"/>
      <c r="D478" s="142"/>
      <c r="E478" s="142"/>
      <c r="F478" s="208"/>
      <c r="G478" s="181"/>
      <c r="H478" s="209"/>
      <c r="I478" s="209"/>
      <c r="J478" s="209"/>
      <c r="K478" s="209"/>
      <c r="L478" s="209"/>
      <c r="M478" s="209"/>
      <c r="N478" s="209"/>
      <c r="O478" s="209"/>
      <c r="P478" s="209"/>
    </row>
    <row r="479" spans="1:16" x14ac:dyDescent="0.25">
      <c r="A479" s="115"/>
      <c r="C479" s="123"/>
      <c r="D479" s="142"/>
      <c r="E479" s="142"/>
      <c r="F479" s="208"/>
      <c r="G479" s="181"/>
      <c r="H479" s="209"/>
      <c r="I479" s="209"/>
      <c r="J479" s="209"/>
      <c r="K479" s="209"/>
      <c r="L479" s="209"/>
      <c r="M479" s="209"/>
      <c r="N479" s="209"/>
      <c r="O479" s="209"/>
      <c r="P479" s="209"/>
    </row>
    <row r="480" spans="1:16" x14ac:dyDescent="0.25">
      <c r="A480" s="115"/>
      <c r="C480" s="123"/>
      <c r="D480" s="142"/>
      <c r="E480" s="142"/>
      <c r="F480" s="208"/>
      <c r="G480" s="181"/>
      <c r="H480" s="209"/>
      <c r="I480" s="209"/>
      <c r="J480" s="209"/>
      <c r="K480" s="209"/>
      <c r="L480" s="209"/>
      <c r="M480" s="209"/>
      <c r="N480" s="209"/>
      <c r="O480" s="209"/>
      <c r="P480" s="209"/>
    </row>
    <row r="481" spans="1:16" x14ac:dyDescent="0.25">
      <c r="A481" s="115"/>
      <c r="C481" s="123"/>
      <c r="D481" s="142"/>
      <c r="E481" s="142"/>
      <c r="F481" s="208"/>
      <c r="G481" s="181"/>
      <c r="H481" s="209"/>
      <c r="I481" s="209"/>
      <c r="J481" s="209"/>
      <c r="K481" s="209"/>
      <c r="L481" s="209"/>
      <c r="M481" s="209"/>
      <c r="N481" s="209"/>
      <c r="O481" s="209"/>
      <c r="P481" s="209"/>
    </row>
    <row r="482" spans="1:16" x14ac:dyDescent="0.25">
      <c r="A482" s="115"/>
      <c r="C482" s="123"/>
      <c r="D482" s="142"/>
      <c r="E482" s="142"/>
      <c r="F482" s="208"/>
      <c r="G482" s="181"/>
      <c r="H482" s="209"/>
      <c r="I482" s="209"/>
      <c r="J482" s="209"/>
      <c r="K482" s="209"/>
      <c r="L482" s="209"/>
      <c r="M482" s="209"/>
      <c r="N482" s="209"/>
      <c r="O482" s="209"/>
      <c r="P482" s="209"/>
    </row>
    <row r="483" spans="1:16" x14ac:dyDescent="0.25">
      <c r="C483" s="123"/>
      <c r="D483" s="142"/>
      <c r="E483" s="142"/>
      <c r="F483" s="208"/>
      <c r="G483" s="181"/>
      <c r="H483" s="209"/>
      <c r="I483" s="209"/>
      <c r="J483" s="209"/>
      <c r="K483" s="209"/>
      <c r="L483" s="209"/>
      <c r="M483" s="209"/>
      <c r="N483" s="209"/>
      <c r="O483" s="209"/>
      <c r="P483" s="209"/>
    </row>
    <row r="484" spans="1:16" x14ac:dyDescent="0.25">
      <c r="C484" s="123"/>
      <c r="D484" s="142"/>
      <c r="E484" s="142"/>
      <c r="F484" s="208"/>
      <c r="G484" s="181"/>
      <c r="H484" s="209"/>
      <c r="I484" s="209"/>
      <c r="J484" s="209"/>
      <c r="K484" s="209"/>
      <c r="L484" s="209"/>
      <c r="M484" s="209"/>
      <c r="N484" s="209"/>
      <c r="O484" s="209"/>
      <c r="P484" s="209"/>
    </row>
    <row r="485" spans="1:16" x14ac:dyDescent="0.25">
      <c r="C485" s="123"/>
      <c r="D485" s="142"/>
      <c r="E485" s="142"/>
      <c r="F485" s="208"/>
      <c r="G485" s="181"/>
      <c r="H485" s="209"/>
      <c r="I485" s="209"/>
      <c r="J485" s="209"/>
      <c r="K485" s="209"/>
      <c r="L485" s="209"/>
      <c r="M485" s="209"/>
      <c r="N485" s="209"/>
      <c r="O485" s="209"/>
      <c r="P485" s="209"/>
    </row>
    <row r="486" spans="1:16" x14ac:dyDescent="0.25">
      <c r="C486" s="123"/>
      <c r="D486" s="142"/>
      <c r="E486" s="142"/>
      <c r="F486" s="208"/>
      <c r="G486" s="181"/>
      <c r="H486" s="209"/>
      <c r="I486" s="209"/>
      <c r="J486" s="209"/>
      <c r="K486" s="209"/>
      <c r="L486" s="209"/>
      <c r="M486" s="209"/>
      <c r="N486" s="209"/>
      <c r="O486" s="209"/>
      <c r="P486" s="209"/>
    </row>
    <row r="487" spans="1:16" x14ac:dyDescent="0.25">
      <c r="C487" s="123"/>
      <c r="D487" s="142"/>
      <c r="E487" s="142"/>
      <c r="F487" s="208"/>
      <c r="G487" s="181"/>
      <c r="H487" s="209"/>
      <c r="I487" s="209"/>
      <c r="J487" s="209"/>
      <c r="K487" s="209"/>
      <c r="L487" s="209"/>
      <c r="M487" s="209"/>
      <c r="N487" s="209"/>
      <c r="O487" s="209"/>
      <c r="P487" s="209"/>
    </row>
    <row r="488" spans="1:16" x14ac:dyDescent="0.25">
      <c r="C488" s="123"/>
      <c r="D488" s="142"/>
      <c r="E488" s="142"/>
      <c r="F488" s="208"/>
      <c r="G488" s="181"/>
      <c r="H488" s="209"/>
      <c r="I488" s="209"/>
      <c r="J488" s="209"/>
      <c r="K488" s="209"/>
      <c r="L488" s="209"/>
      <c r="M488" s="209"/>
      <c r="N488" s="209"/>
      <c r="O488" s="209"/>
      <c r="P488" s="209"/>
    </row>
    <row r="489" spans="1:16" x14ac:dyDescent="0.25">
      <c r="C489" s="123"/>
      <c r="D489" s="142"/>
      <c r="E489" s="142"/>
      <c r="F489" s="208"/>
      <c r="G489" s="181"/>
      <c r="H489" s="209"/>
      <c r="I489" s="209"/>
      <c r="J489" s="209"/>
      <c r="K489" s="209"/>
      <c r="L489" s="209"/>
      <c r="M489" s="209"/>
      <c r="N489" s="209"/>
      <c r="O489" s="209"/>
      <c r="P489" s="209"/>
    </row>
    <row r="490" spans="1:16" x14ac:dyDescent="0.25">
      <c r="C490" s="123"/>
      <c r="D490" s="142"/>
      <c r="E490" s="142"/>
      <c r="F490" s="208"/>
      <c r="G490" s="181"/>
      <c r="H490" s="209"/>
      <c r="I490" s="209"/>
      <c r="J490" s="209"/>
      <c r="K490" s="209"/>
      <c r="L490" s="209"/>
      <c r="M490" s="209"/>
      <c r="N490" s="209"/>
      <c r="O490" s="209"/>
      <c r="P490" s="209"/>
    </row>
    <row r="491" spans="1:16" x14ac:dyDescent="0.25">
      <c r="C491" s="123"/>
      <c r="D491" s="142"/>
      <c r="E491" s="142"/>
      <c r="F491" s="208"/>
      <c r="G491" s="181"/>
      <c r="H491" s="209"/>
      <c r="I491" s="209"/>
      <c r="J491" s="209"/>
      <c r="K491" s="209"/>
      <c r="L491" s="209"/>
      <c r="M491" s="209"/>
      <c r="N491" s="209"/>
      <c r="O491" s="209"/>
      <c r="P491" s="209"/>
    </row>
    <row r="492" spans="1:16" x14ac:dyDescent="0.25">
      <c r="C492" s="123"/>
      <c r="D492" s="142"/>
      <c r="E492" s="142"/>
      <c r="F492" s="208"/>
      <c r="G492" s="181"/>
      <c r="H492" s="209"/>
      <c r="I492" s="209"/>
      <c r="J492" s="209"/>
      <c r="K492" s="209"/>
      <c r="L492" s="209"/>
      <c r="M492" s="209"/>
      <c r="N492" s="209"/>
      <c r="O492" s="209"/>
      <c r="P492" s="209"/>
    </row>
    <row r="493" spans="1:16" x14ac:dyDescent="0.25">
      <c r="C493" s="123"/>
      <c r="D493" s="142"/>
      <c r="E493" s="142"/>
      <c r="F493" s="208"/>
      <c r="G493" s="181"/>
      <c r="H493" s="209"/>
      <c r="I493" s="209"/>
      <c r="J493" s="209"/>
      <c r="K493" s="209"/>
      <c r="L493" s="209"/>
      <c r="M493" s="209"/>
      <c r="N493" s="209"/>
      <c r="O493" s="209"/>
      <c r="P493" s="209"/>
    </row>
    <row r="494" spans="1:16" x14ac:dyDescent="0.25">
      <c r="C494" s="123"/>
      <c r="D494" s="142"/>
      <c r="E494" s="142"/>
      <c r="F494" s="208"/>
      <c r="G494" s="181"/>
      <c r="H494" s="209"/>
      <c r="I494" s="209"/>
      <c r="J494" s="209"/>
      <c r="K494" s="209"/>
      <c r="L494" s="209"/>
      <c r="M494" s="209"/>
      <c r="N494" s="209"/>
      <c r="O494" s="209"/>
      <c r="P494" s="209"/>
    </row>
    <row r="495" spans="1:16" x14ac:dyDescent="0.25">
      <c r="C495" s="123"/>
      <c r="D495" s="142"/>
      <c r="E495" s="142"/>
      <c r="F495" s="208"/>
      <c r="G495" s="181"/>
      <c r="H495" s="209"/>
      <c r="I495" s="209"/>
      <c r="J495" s="209"/>
      <c r="K495" s="209"/>
      <c r="L495" s="209"/>
      <c r="M495" s="209"/>
      <c r="N495" s="209"/>
      <c r="O495" s="209"/>
      <c r="P495" s="209"/>
    </row>
    <row r="496" spans="1:16" x14ac:dyDescent="0.25">
      <c r="C496" s="123"/>
      <c r="D496" s="142"/>
      <c r="E496" s="142"/>
      <c r="F496" s="208"/>
      <c r="G496" s="181"/>
      <c r="H496" s="209"/>
      <c r="I496" s="209"/>
      <c r="J496" s="209"/>
      <c r="K496" s="209"/>
      <c r="L496" s="209"/>
      <c r="M496" s="209"/>
      <c r="N496" s="209"/>
      <c r="O496" s="209"/>
      <c r="P496" s="209"/>
    </row>
    <row r="497" spans="3:16" x14ac:dyDescent="0.25">
      <c r="C497" s="123"/>
      <c r="D497" s="142"/>
      <c r="E497" s="142"/>
      <c r="F497" s="208"/>
      <c r="G497" s="181"/>
      <c r="H497" s="209"/>
      <c r="I497" s="209"/>
      <c r="J497" s="209"/>
      <c r="K497" s="209"/>
      <c r="L497" s="209"/>
      <c r="M497" s="209"/>
      <c r="N497" s="209"/>
      <c r="O497" s="209"/>
      <c r="P497" s="209"/>
    </row>
    <row r="498" spans="3:16" x14ac:dyDescent="0.25">
      <c r="C498" s="123"/>
      <c r="D498" s="142"/>
      <c r="E498" s="142"/>
      <c r="F498" s="208"/>
      <c r="G498" s="181"/>
      <c r="H498" s="209"/>
      <c r="I498" s="209"/>
      <c r="J498" s="209"/>
      <c r="K498" s="209"/>
      <c r="L498" s="209"/>
      <c r="M498" s="209"/>
      <c r="N498" s="209"/>
      <c r="O498" s="209"/>
      <c r="P498" s="209"/>
    </row>
    <row r="499" spans="3:16" x14ac:dyDescent="0.25">
      <c r="C499" s="123"/>
      <c r="D499" s="142"/>
      <c r="E499" s="142"/>
      <c r="F499" s="208"/>
      <c r="G499" s="181"/>
      <c r="H499" s="209"/>
      <c r="I499" s="209"/>
      <c r="J499" s="209"/>
      <c r="K499" s="209"/>
      <c r="L499" s="209"/>
      <c r="M499" s="209"/>
      <c r="N499" s="209"/>
      <c r="O499" s="209"/>
      <c r="P499" s="209"/>
    </row>
    <row r="500" spans="3:16" x14ac:dyDescent="0.25">
      <c r="C500" s="123"/>
      <c r="D500" s="142"/>
      <c r="E500" s="142"/>
      <c r="F500" s="208"/>
      <c r="G500" s="181"/>
      <c r="H500" s="209"/>
      <c r="I500" s="209"/>
      <c r="J500" s="209"/>
      <c r="K500" s="209"/>
      <c r="L500" s="209"/>
      <c r="M500" s="209"/>
      <c r="N500" s="209"/>
      <c r="O500" s="209"/>
      <c r="P500" s="209"/>
    </row>
    <row r="501" spans="3:16" x14ac:dyDescent="0.25">
      <c r="C501" s="123"/>
      <c r="D501" s="142"/>
      <c r="E501" s="142"/>
      <c r="F501" s="208"/>
      <c r="G501" s="181"/>
      <c r="H501" s="209"/>
      <c r="I501" s="209"/>
      <c r="J501" s="209"/>
      <c r="K501" s="209"/>
      <c r="L501" s="209"/>
      <c r="M501" s="209"/>
      <c r="N501" s="209"/>
      <c r="O501" s="209"/>
      <c r="P501" s="209"/>
    </row>
    <row r="502" spans="3:16" x14ac:dyDescent="0.25">
      <c r="C502" s="123"/>
      <c r="D502" s="142"/>
      <c r="E502" s="142"/>
      <c r="F502" s="208"/>
      <c r="G502" s="181"/>
      <c r="H502" s="209"/>
      <c r="I502" s="209"/>
      <c r="J502" s="209"/>
      <c r="K502" s="209"/>
      <c r="L502" s="209"/>
      <c r="M502" s="209"/>
      <c r="N502" s="209"/>
      <c r="O502" s="209"/>
      <c r="P502" s="209"/>
    </row>
    <row r="503" spans="3:16" x14ac:dyDescent="0.25">
      <c r="C503" s="123"/>
      <c r="D503" s="142"/>
      <c r="E503" s="142"/>
      <c r="F503" s="208"/>
      <c r="G503" s="181"/>
      <c r="H503" s="209"/>
      <c r="I503" s="209"/>
      <c r="J503" s="209"/>
      <c r="K503" s="209"/>
      <c r="L503" s="209"/>
      <c r="M503" s="209"/>
      <c r="N503" s="209"/>
      <c r="O503" s="209"/>
      <c r="P503" s="209"/>
    </row>
    <row r="504" spans="3:16" x14ac:dyDescent="0.25">
      <c r="C504" s="123"/>
      <c r="D504" s="142"/>
      <c r="E504" s="142"/>
      <c r="F504" s="208"/>
      <c r="G504" s="181"/>
      <c r="H504" s="209"/>
      <c r="I504" s="209"/>
      <c r="J504" s="209"/>
      <c r="K504" s="209"/>
      <c r="L504" s="209"/>
      <c r="M504" s="209"/>
      <c r="N504" s="209"/>
      <c r="O504" s="209"/>
      <c r="P504" s="209"/>
    </row>
    <row r="505" spans="3:16" x14ac:dyDescent="0.25">
      <c r="C505" s="123"/>
      <c r="D505" s="142"/>
      <c r="E505" s="142"/>
      <c r="F505" s="208"/>
      <c r="G505" s="181"/>
      <c r="H505" s="209"/>
      <c r="I505" s="209"/>
      <c r="J505" s="209"/>
      <c r="K505" s="209"/>
      <c r="L505" s="209"/>
      <c r="M505" s="209"/>
      <c r="N505" s="209"/>
      <c r="O505" s="209"/>
      <c r="P505" s="209"/>
    </row>
    <row r="506" spans="3:16" x14ac:dyDescent="0.25">
      <c r="C506" s="123"/>
      <c r="D506" s="142"/>
      <c r="E506" s="142"/>
      <c r="F506" s="208"/>
      <c r="G506" s="181"/>
      <c r="H506" s="209"/>
      <c r="I506" s="209"/>
      <c r="J506" s="209"/>
      <c r="K506" s="209"/>
      <c r="L506" s="209"/>
      <c r="M506" s="209"/>
      <c r="N506" s="209"/>
      <c r="O506" s="209"/>
      <c r="P506" s="209"/>
    </row>
    <row r="507" spans="3:16" x14ac:dyDescent="0.25">
      <c r="C507" s="123"/>
      <c r="D507" s="142"/>
      <c r="E507" s="142"/>
      <c r="F507" s="208"/>
      <c r="G507" s="181"/>
      <c r="H507" s="209"/>
      <c r="I507" s="209"/>
      <c r="J507" s="209"/>
      <c r="K507" s="209"/>
      <c r="L507" s="209"/>
      <c r="M507" s="209"/>
      <c r="N507" s="209"/>
      <c r="O507" s="209"/>
      <c r="P507" s="209"/>
    </row>
    <row r="508" spans="3:16" x14ac:dyDescent="0.25">
      <c r="C508" s="123"/>
      <c r="D508" s="142"/>
      <c r="E508" s="142"/>
      <c r="F508" s="208"/>
      <c r="G508" s="181"/>
      <c r="H508" s="209"/>
      <c r="I508" s="209"/>
      <c r="J508" s="209"/>
      <c r="K508" s="209"/>
      <c r="L508" s="209"/>
      <c r="M508" s="209"/>
      <c r="N508" s="209"/>
      <c r="O508" s="209"/>
      <c r="P508" s="209"/>
    </row>
    <row r="509" spans="3:16" x14ac:dyDescent="0.25">
      <c r="C509" s="123"/>
      <c r="D509" s="142"/>
      <c r="E509" s="142"/>
      <c r="F509" s="208"/>
      <c r="G509" s="181"/>
      <c r="H509" s="209"/>
      <c r="I509" s="209"/>
      <c r="J509" s="209"/>
      <c r="K509" s="209"/>
      <c r="L509" s="209"/>
      <c r="M509" s="209"/>
      <c r="N509" s="209"/>
      <c r="O509" s="209"/>
      <c r="P509" s="209"/>
    </row>
    <row r="510" spans="3:16" x14ac:dyDescent="0.25">
      <c r="C510" s="123"/>
      <c r="D510" s="142"/>
      <c r="E510" s="142"/>
      <c r="F510" s="208"/>
      <c r="G510" s="181"/>
      <c r="H510" s="209"/>
      <c r="I510" s="209"/>
      <c r="J510" s="209"/>
      <c r="K510" s="209"/>
      <c r="L510" s="209"/>
      <c r="M510" s="209"/>
      <c r="N510" s="209"/>
      <c r="O510" s="209"/>
      <c r="P510" s="209"/>
    </row>
    <row r="511" spans="3:16" x14ac:dyDescent="0.25">
      <c r="C511" s="123"/>
      <c r="D511" s="142"/>
      <c r="E511" s="142"/>
      <c r="F511" s="208"/>
      <c r="G511" s="181"/>
      <c r="H511" s="209"/>
      <c r="I511" s="209"/>
      <c r="J511" s="209"/>
      <c r="K511" s="209"/>
      <c r="L511" s="209"/>
      <c r="M511" s="209"/>
      <c r="N511" s="209"/>
      <c r="O511" s="209"/>
      <c r="P511" s="209"/>
    </row>
    <row r="512" spans="3:16" x14ac:dyDescent="0.25">
      <c r="C512" s="123"/>
      <c r="D512" s="142"/>
      <c r="E512" s="142"/>
      <c r="F512" s="208"/>
      <c r="G512" s="181"/>
      <c r="H512" s="209"/>
      <c r="I512" s="209"/>
      <c r="J512" s="209"/>
      <c r="K512" s="209"/>
      <c r="L512" s="209"/>
      <c r="M512" s="209"/>
      <c r="N512" s="209"/>
      <c r="O512" s="209"/>
      <c r="P512" s="209"/>
    </row>
    <row r="513" spans="3:16" x14ac:dyDescent="0.25">
      <c r="C513" s="123"/>
      <c r="D513" s="142"/>
      <c r="E513" s="142"/>
      <c r="F513" s="208"/>
      <c r="G513" s="181"/>
      <c r="H513" s="209"/>
      <c r="I513" s="209"/>
      <c r="J513" s="209"/>
      <c r="K513" s="209"/>
      <c r="L513" s="209"/>
      <c r="M513" s="209"/>
      <c r="N513" s="209"/>
      <c r="O513" s="209"/>
      <c r="P513" s="209"/>
    </row>
    <row r="514" spans="3:16" x14ac:dyDescent="0.25">
      <c r="C514" s="123"/>
      <c r="D514" s="142"/>
      <c r="E514" s="142"/>
      <c r="F514" s="208"/>
      <c r="G514" s="181"/>
      <c r="H514" s="209"/>
      <c r="I514" s="209"/>
      <c r="J514" s="209"/>
      <c r="K514" s="209"/>
      <c r="L514" s="209"/>
      <c r="M514" s="209"/>
      <c r="N514" s="209"/>
      <c r="O514" s="209"/>
      <c r="P514" s="209"/>
    </row>
    <row r="515" spans="3:16" x14ac:dyDescent="0.25">
      <c r="C515" s="123"/>
      <c r="D515" s="142"/>
      <c r="E515" s="142"/>
      <c r="F515" s="208"/>
      <c r="G515" s="181"/>
      <c r="H515" s="209"/>
      <c r="I515" s="209"/>
      <c r="J515" s="209"/>
      <c r="K515" s="209"/>
      <c r="L515" s="209"/>
      <c r="M515" s="209"/>
      <c r="N515" s="209"/>
      <c r="O515" s="209"/>
      <c r="P515" s="209"/>
    </row>
    <row r="516" spans="3:16" x14ac:dyDescent="0.25">
      <c r="C516" s="123"/>
      <c r="D516" s="142"/>
      <c r="E516" s="142"/>
      <c r="F516" s="208"/>
      <c r="G516" s="181"/>
      <c r="H516" s="209"/>
      <c r="I516" s="209"/>
      <c r="J516" s="209"/>
      <c r="K516" s="209"/>
      <c r="L516" s="209"/>
      <c r="M516" s="209"/>
      <c r="N516" s="209"/>
      <c r="O516" s="209"/>
      <c r="P516" s="209"/>
    </row>
    <row r="517" spans="3:16" x14ac:dyDescent="0.25">
      <c r="C517" s="123"/>
      <c r="D517" s="142"/>
      <c r="E517" s="142"/>
      <c r="F517" s="208"/>
      <c r="G517" s="181"/>
      <c r="H517" s="209"/>
      <c r="I517" s="209"/>
      <c r="J517" s="209"/>
      <c r="K517" s="209"/>
      <c r="L517" s="209"/>
      <c r="M517" s="209"/>
      <c r="N517" s="209"/>
      <c r="O517" s="209"/>
      <c r="P517" s="209"/>
    </row>
    <row r="518" spans="3:16" x14ac:dyDescent="0.25">
      <c r="C518" s="123"/>
      <c r="D518" s="142"/>
      <c r="E518" s="142"/>
      <c r="F518" s="208"/>
      <c r="G518" s="181"/>
      <c r="H518" s="209"/>
      <c r="I518" s="209"/>
      <c r="J518" s="209"/>
      <c r="K518" s="209"/>
      <c r="L518" s="209"/>
      <c r="M518" s="209"/>
      <c r="N518" s="209"/>
      <c r="O518" s="209"/>
      <c r="P518" s="209"/>
    </row>
    <row r="519" spans="3:16" x14ac:dyDescent="0.25">
      <c r="C519" s="123"/>
      <c r="D519" s="142"/>
      <c r="E519" s="142"/>
      <c r="F519" s="208"/>
      <c r="G519" s="181"/>
      <c r="H519" s="209"/>
      <c r="I519" s="209"/>
      <c r="J519" s="209"/>
      <c r="K519" s="209"/>
      <c r="L519" s="209"/>
      <c r="M519" s="209"/>
      <c r="N519" s="209"/>
      <c r="O519" s="209"/>
      <c r="P519" s="209"/>
    </row>
    <row r="520" spans="3:16" x14ac:dyDescent="0.25">
      <c r="C520" s="123"/>
      <c r="D520" s="142"/>
      <c r="E520" s="142"/>
      <c r="F520" s="208"/>
      <c r="G520" s="181"/>
      <c r="H520" s="209"/>
      <c r="I520" s="209"/>
      <c r="J520" s="209"/>
      <c r="K520" s="209"/>
      <c r="L520" s="209"/>
      <c r="M520" s="209"/>
      <c r="N520" s="209"/>
      <c r="O520" s="209"/>
      <c r="P520" s="209"/>
    </row>
    <row r="521" spans="3:16" x14ac:dyDescent="0.25">
      <c r="C521" s="123"/>
      <c r="D521" s="142"/>
      <c r="E521" s="142"/>
      <c r="F521" s="208"/>
      <c r="G521" s="181"/>
      <c r="H521" s="209"/>
      <c r="I521" s="209"/>
      <c r="J521" s="209"/>
      <c r="K521" s="209"/>
      <c r="L521" s="209"/>
      <c r="M521" s="209"/>
      <c r="N521" s="209"/>
      <c r="O521" s="209"/>
      <c r="P521" s="209"/>
    </row>
    <row r="522" spans="3:16" x14ac:dyDescent="0.25">
      <c r="C522" s="123"/>
      <c r="D522" s="142"/>
      <c r="E522" s="142"/>
      <c r="F522" s="208"/>
      <c r="G522" s="181"/>
      <c r="H522" s="209"/>
      <c r="I522" s="209"/>
      <c r="J522" s="209"/>
      <c r="K522" s="209"/>
      <c r="L522" s="209"/>
      <c r="M522" s="209"/>
      <c r="N522" s="209"/>
      <c r="O522" s="209"/>
      <c r="P522" s="209"/>
    </row>
    <row r="523" spans="3:16" x14ac:dyDescent="0.25">
      <c r="C523" s="123"/>
      <c r="D523" s="142"/>
      <c r="E523" s="142"/>
      <c r="F523" s="208"/>
      <c r="G523" s="181"/>
      <c r="H523" s="209"/>
      <c r="I523" s="209"/>
      <c r="J523" s="209"/>
      <c r="K523" s="209"/>
      <c r="L523" s="209"/>
      <c r="M523" s="209"/>
      <c r="N523" s="209"/>
      <c r="O523" s="209"/>
      <c r="P523" s="209"/>
    </row>
    <row r="524" spans="3:16" x14ac:dyDescent="0.25">
      <c r="C524" s="123"/>
      <c r="D524" s="142"/>
      <c r="E524" s="142"/>
      <c r="F524" s="208"/>
      <c r="G524" s="181"/>
      <c r="H524" s="209"/>
      <c r="I524" s="209"/>
      <c r="J524" s="209"/>
      <c r="K524" s="209"/>
      <c r="L524" s="209"/>
      <c r="M524" s="209"/>
      <c r="N524" s="209"/>
      <c r="O524" s="209"/>
      <c r="P524" s="209"/>
    </row>
    <row r="525" spans="3:16" x14ac:dyDescent="0.25">
      <c r="C525" s="123"/>
      <c r="D525" s="142"/>
      <c r="E525" s="142"/>
      <c r="F525" s="208"/>
      <c r="G525" s="181"/>
      <c r="H525" s="209"/>
      <c r="I525" s="209"/>
      <c r="J525" s="209"/>
      <c r="K525" s="209"/>
      <c r="L525" s="209"/>
      <c r="M525" s="209"/>
      <c r="N525" s="209"/>
      <c r="O525" s="209"/>
      <c r="P525" s="209"/>
    </row>
    <row r="526" spans="3:16" x14ac:dyDescent="0.25">
      <c r="C526" s="123"/>
      <c r="D526" s="142"/>
      <c r="E526" s="142"/>
      <c r="F526" s="208"/>
      <c r="G526" s="181"/>
      <c r="H526" s="209"/>
      <c r="I526" s="209"/>
      <c r="J526" s="209"/>
      <c r="K526" s="209"/>
      <c r="L526" s="209"/>
      <c r="M526" s="209"/>
      <c r="N526" s="209"/>
      <c r="O526" s="209"/>
      <c r="P526" s="209"/>
    </row>
    <row r="527" spans="3:16" x14ac:dyDescent="0.25">
      <c r="C527" s="123"/>
      <c r="D527" s="142"/>
      <c r="E527" s="142"/>
      <c r="F527" s="208"/>
      <c r="G527" s="181"/>
      <c r="H527" s="209"/>
      <c r="I527" s="209"/>
      <c r="J527" s="209"/>
      <c r="K527" s="209"/>
      <c r="L527" s="209"/>
      <c r="M527" s="209"/>
      <c r="N527" s="209"/>
      <c r="O527" s="209"/>
      <c r="P527" s="209"/>
    </row>
    <row r="528" spans="3:16" x14ac:dyDescent="0.25">
      <c r="C528" s="123"/>
      <c r="D528" s="142"/>
      <c r="E528" s="142"/>
      <c r="F528" s="208"/>
      <c r="G528" s="181"/>
      <c r="H528" s="209"/>
      <c r="I528" s="209"/>
      <c r="J528" s="209"/>
      <c r="K528" s="209"/>
      <c r="L528" s="209"/>
      <c r="M528" s="209"/>
      <c r="N528" s="209"/>
      <c r="O528" s="209"/>
      <c r="P528" s="209"/>
    </row>
    <row r="529" spans="3:16" x14ac:dyDescent="0.25">
      <c r="C529" s="123"/>
      <c r="D529" s="142"/>
      <c r="E529" s="142"/>
      <c r="F529" s="208"/>
      <c r="G529" s="181"/>
      <c r="H529" s="209"/>
      <c r="I529" s="209"/>
      <c r="J529" s="209"/>
      <c r="K529" s="209"/>
      <c r="L529" s="209"/>
      <c r="M529" s="209"/>
      <c r="N529" s="209"/>
      <c r="O529" s="209"/>
      <c r="P529" s="209"/>
    </row>
    <row r="530" spans="3:16" x14ac:dyDescent="0.25">
      <c r="C530" s="123"/>
      <c r="D530" s="142"/>
      <c r="E530" s="142"/>
      <c r="F530" s="208"/>
      <c r="G530" s="181"/>
      <c r="H530" s="209"/>
      <c r="I530" s="209"/>
      <c r="J530" s="209"/>
      <c r="K530" s="209"/>
      <c r="L530" s="209"/>
      <c r="M530" s="209"/>
      <c r="N530" s="209"/>
      <c r="O530" s="209"/>
      <c r="P530" s="209"/>
    </row>
    <row r="531" spans="3:16" x14ac:dyDescent="0.25">
      <c r="C531" s="123"/>
      <c r="D531" s="142"/>
      <c r="E531" s="142"/>
      <c r="F531" s="208"/>
      <c r="G531" s="181"/>
      <c r="H531" s="209"/>
      <c r="I531" s="209"/>
      <c r="J531" s="209"/>
      <c r="K531" s="209"/>
      <c r="L531" s="209"/>
      <c r="M531" s="209"/>
      <c r="N531" s="209"/>
      <c r="O531" s="209"/>
      <c r="P531" s="209"/>
    </row>
    <row r="532" spans="3:16" x14ac:dyDescent="0.25">
      <c r="C532" s="123"/>
      <c r="D532" s="142"/>
      <c r="E532" s="142"/>
      <c r="F532" s="208"/>
      <c r="G532" s="181"/>
      <c r="H532" s="209"/>
      <c r="I532" s="209"/>
      <c r="J532" s="209"/>
      <c r="K532" s="209"/>
      <c r="L532" s="209"/>
      <c r="M532" s="209"/>
      <c r="N532" s="209"/>
      <c r="O532" s="209"/>
      <c r="P532" s="209"/>
    </row>
    <row r="533" spans="3:16" x14ac:dyDescent="0.25">
      <c r="C533" s="123"/>
      <c r="D533" s="142"/>
      <c r="E533" s="142"/>
      <c r="F533" s="208"/>
      <c r="G533" s="181"/>
      <c r="H533" s="209"/>
      <c r="I533" s="209"/>
      <c r="J533" s="209"/>
      <c r="K533" s="209"/>
      <c r="L533" s="209"/>
      <c r="M533" s="209"/>
      <c r="N533" s="209"/>
      <c r="O533" s="209"/>
      <c r="P533" s="209"/>
    </row>
    <row r="534" spans="3:16" x14ac:dyDescent="0.25">
      <c r="C534" s="123"/>
      <c r="D534" s="142"/>
      <c r="E534" s="142"/>
      <c r="F534" s="208"/>
      <c r="G534" s="181"/>
      <c r="H534" s="209"/>
      <c r="I534" s="209"/>
      <c r="J534" s="209"/>
      <c r="K534" s="209"/>
      <c r="L534" s="209"/>
      <c r="M534" s="209"/>
      <c r="N534" s="209"/>
      <c r="O534" s="209"/>
      <c r="P534" s="209"/>
    </row>
    <row r="535" spans="3:16" x14ac:dyDescent="0.25">
      <c r="C535" s="123"/>
      <c r="D535" s="142"/>
      <c r="E535" s="142"/>
      <c r="F535" s="208"/>
      <c r="G535" s="181"/>
      <c r="H535" s="209"/>
      <c r="I535" s="209"/>
      <c r="J535" s="209"/>
      <c r="K535" s="209"/>
      <c r="L535" s="209"/>
      <c r="M535" s="209"/>
      <c r="N535" s="209"/>
      <c r="O535" s="209"/>
      <c r="P535" s="209"/>
    </row>
    <row r="536" spans="3:16" x14ac:dyDescent="0.25">
      <c r="C536" s="123"/>
      <c r="D536" s="142"/>
      <c r="E536" s="142"/>
      <c r="F536" s="208"/>
      <c r="G536" s="181"/>
      <c r="H536" s="209"/>
      <c r="I536" s="209"/>
      <c r="J536" s="209"/>
      <c r="K536" s="209"/>
      <c r="L536" s="209"/>
      <c r="M536" s="209"/>
      <c r="N536" s="209"/>
      <c r="O536" s="209"/>
      <c r="P536" s="209"/>
    </row>
    <row r="537" spans="3:16" x14ac:dyDescent="0.25">
      <c r="C537" s="123"/>
      <c r="D537" s="142"/>
      <c r="E537" s="142"/>
      <c r="F537" s="208"/>
      <c r="G537" s="181"/>
      <c r="H537" s="209"/>
      <c r="I537" s="209"/>
      <c r="J537" s="209"/>
      <c r="K537" s="209"/>
      <c r="L537" s="209"/>
      <c r="M537" s="209"/>
      <c r="N537" s="209"/>
      <c r="O537" s="209"/>
      <c r="P537" s="209"/>
    </row>
    <row r="538" spans="3:16" x14ac:dyDescent="0.25">
      <c r="C538" s="123"/>
      <c r="D538" s="142"/>
      <c r="E538" s="142"/>
      <c r="F538" s="208"/>
      <c r="G538" s="181"/>
      <c r="H538" s="209"/>
      <c r="I538" s="209"/>
      <c r="J538" s="209"/>
      <c r="K538" s="209"/>
      <c r="L538" s="209"/>
      <c r="M538" s="209"/>
      <c r="N538" s="209"/>
      <c r="O538" s="209"/>
      <c r="P538" s="209"/>
    </row>
    <row r="539" spans="3:16" x14ac:dyDescent="0.25">
      <c r="C539" s="123"/>
      <c r="D539" s="142"/>
      <c r="E539" s="142"/>
      <c r="F539" s="208"/>
      <c r="G539" s="181"/>
      <c r="H539" s="209"/>
      <c r="I539" s="209"/>
      <c r="J539" s="209"/>
      <c r="K539" s="209"/>
      <c r="L539" s="209"/>
      <c r="M539" s="209"/>
      <c r="N539" s="209"/>
      <c r="O539" s="209"/>
      <c r="P539" s="209"/>
    </row>
    <row r="540" spans="3:16" x14ac:dyDescent="0.25">
      <c r="C540" s="123"/>
      <c r="D540" s="142"/>
      <c r="E540" s="142"/>
      <c r="F540" s="208"/>
      <c r="G540" s="181"/>
      <c r="H540" s="209"/>
      <c r="I540" s="209"/>
      <c r="J540" s="209"/>
      <c r="K540" s="209"/>
      <c r="L540" s="209"/>
      <c r="M540" s="209"/>
      <c r="N540" s="209"/>
      <c r="O540" s="209"/>
      <c r="P540" s="209"/>
    </row>
    <row r="541" spans="3:16" x14ac:dyDescent="0.25">
      <c r="C541" s="123"/>
      <c r="D541" s="142"/>
      <c r="E541" s="142"/>
      <c r="F541" s="208"/>
      <c r="G541" s="181"/>
      <c r="H541" s="209"/>
      <c r="I541" s="209"/>
      <c r="J541" s="209"/>
      <c r="K541" s="209"/>
      <c r="L541" s="209"/>
      <c r="M541" s="209"/>
      <c r="N541" s="209"/>
      <c r="O541" s="209"/>
      <c r="P541" s="209"/>
    </row>
    <row r="542" spans="3:16" x14ac:dyDescent="0.25">
      <c r="C542" s="123"/>
      <c r="D542" s="142"/>
      <c r="E542" s="142"/>
      <c r="F542" s="208"/>
      <c r="G542" s="181"/>
      <c r="H542" s="209"/>
      <c r="I542" s="209"/>
      <c r="J542" s="209"/>
      <c r="K542" s="209"/>
      <c r="L542" s="209"/>
      <c r="M542" s="209"/>
      <c r="N542" s="209"/>
      <c r="O542" s="209"/>
      <c r="P542" s="209"/>
    </row>
    <row r="543" spans="3:16" x14ac:dyDescent="0.25">
      <c r="C543" s="123"/>
      <c r="D543" s="142"/>
      <c r="E543" s="142"/>
      <c r="F543" s="208"/>
      <c r="G543" s="181"/>
      <c r="H543" s="209"/>
      <c r="I543" s="209"/>
      <c r="J543" s="209"/>
      <c r="K543" s="209"/>
      <c r="L543" s="209"/>
      <c r="M543" s="209"/>
      <c r="N543" s="209"/>
      <c r="O543" s="209"/>
      <c r="P543" s="209"/>
    </row>
    <row r="544" spans="3:16" x14ac:dyDescent="0.25">
      <c r="C544" s="123"/>
      <c r="D544" s="142"/>
      <c r="E544" s="142"/>
      <c r="F544" s="208"/>
      <c r="G544" s="181"/>
      <c r="H544" s="209"/>
      <c r="I544" s="209"/>
      <c r="J544" s="209"/>
      <c r="K544" s="209"/>
      <c r="L544" s="209"/>
      <c r="M544" s="209"/>
      <c r="N544" s="209"/>
      <c r="O544" s="209"/>
      <c r="P544" s="209"/>
    </row>
    <row r="545" spans="3:16" x14ac:dyDescent="0.25">
      <c r="C545" s="123"/>
      <c r="D545" s="142"/>
      <c r="E545" s="142"/>
      <c r="F545" s="208"/>
      <c r="G545" s="181"/>
      <c r="H545" s="209"/>
      <c r="I545" s="209"/>
      <c r="J545" s="209"/>
      <c r="K545" s="209"/>
      <c r="L545" s="209"/>
      <c r="M545" s="209"/>
      <c r="N545" s="209"/>
      <c r="O545" s="209"/>
      <c r="P545" s="209"/>
    </row>
    <row r="546" spans="3:16" x14ac:dyDescent="0.25">
      <c r="C546" s="123"/>
      <c r="D546" s="142"/>
      <c r="E546" s="142"/>
      <c r="F546" s="208"/>
      <c r="G546" s="181"/>
      <c r="H546" s="209"/>
      <c r="I546" s="209"/>
      <c r="J546" s="209"/>
      <c r="K546" s="209"/>
      <c r="L546" s="209"/>
      <c r="M546" s="209"/>
      <c r="N546" s="209"/>
      <c r="O546" s="209"/>
      <c r="P546" s="209"/>
    </row>
    <row r="547" spans="3:16" x14ac:dyDescent="0.25">
      <c r="C547" s="123"/>
      <c r="D547" s="142"/>
      <c r="E547" s="142"/>
      <c r="F547" s="208"/>
      <c r="G547" s="181"/>
      <c r="H547" s="209"/>
      <c r="I547" s="209"/>
      <c r="J547" s="209"/>
      <c r="K547" s="209"/>
      <c r="L547" s="209"/>
      <c r="M547" s="209"/>
      <c r="N547" s="209"/>
      <c r="O547" s="209"/>
      <c r="P547" s="209"/>
    </row>
    <row r="548" spans="3:16" x14ac:dyDescent="0.25">
      <c r="C548" s="123"/>
      <c r="D548" s="142"/>
      <c r="E548" s="142"/>
      <c r="F548" s="208"/>
      <c r="G548" s="181"/>
      <c r="H548" s="209"/>
      <c r="I548" s="209"/>
      <c r="J548" s="209"/>
      <c r="K548" s="209"/>
      <c r="L548" s="209"/>
      <c r="M548" s="209"/>
      <c r="N548" s="209"/>
      <c r="O548" s="209"/>
      <c r="P548" s="209"/>
    </row>
    <row r="549" spans="3:16" x14ac:dyDescent="0.25">
      <c r="C549" s="123"/>
      <c r="D549" s="142"/>
      <c r="E549" s="142"/>
      <c r="F549" s="208"/>
      <c r="G549" s="181"/>
      <c r="H549" s="209"/>
      <c r="I549" s="209"/>
      <c r="J549" s="209"/>
      <c r="K549" s="209"/>
      <c r="L549" s="209"/>
      <c r="M549" s="209"/>
      <c r="N549" s="209"/>
      <c r="O549" s="209"/>
      <c r="P549" s="209"/>
    </row>
    <row r="550" spans="3:16" x14ac:dyDescent="0.25">
      <c r="C550" s="123"/>
      <c r="D550" s="142"/>
      <c r="E550" s="142"/>
      <c r="F550" s="208"/>
      <c r="G550" s="181"/>
      <c r="H550" s="209"/>
      <c r="I550" s="209"/>
      <c r="J550" s="209"/>
      <c r="K550" s="209"/>
      <c r="L550" s="209"/>
      <c r="M550" s="209"/>
      <c r="N550" s="209"/>
      <c r="O550" s="209"/>
      <c r="P550" s="209"/>
    </row>
    <row r="551" spans="3:16" x14ac:dyDescent="0.25">
      <c r="C551" s="123"/>
      <c r="D551" s="142"/>
      <c r="E551" s="142"/>
      <c r="F551" s="208"/>
      <c r="G551" s="181"/>
      <c r="H551" s="209"/>
      <c r="I551" s="209"/>
      <c r="J551" s="209"/>
      <c r="K551" s="209"/>
      <c r="L551" s="209"/>
      <c r="M551" s="209"/>
      <c r="N551" s="209"/>
      <c r="O551" s="209"/>
      <c r="P551" s="209"/>
    </row>
    <row r="552" spans="3:16" x14ac:dyDescent="0.25">
      <c r="C552" s="123"/>
      <c r="D552" s="142"/>
      <c r="E552" s="142"/>
      <c r="F552" s="208"/>
      <c r="G552" s="181"/>
      <c r="H552" s="209"/>
      <c r="I552" s="209"/>
      <c r="J552" s="209"/>
      <c r="K552" s="209"/>
      <c r="L552" s="209"/>
      <c r="M552" s="209"/>
      <c r="N552" s="209"/>
      <c r="O552" s="209"/>
      <c r="P552" s="209"/>
    </row>
    <row r="553" spans="3:16" x14ac:dyDescent="0.25">
      <c r="C553" s="123"/>
      <c r="D553" s="142"/>
      <c r="E553" s="142"/>
      <c r="F553" s="208"/>
      <c r="G553" s="181"/>
      <c r="H553" s="209"/>
      <c r="I553" s="209"/>
      <c r="J553" s="209"/>
      <c r="K553" s="209"/>
      <c r="L553" s="209"/>
      <c r="M553" s="209"/>
      <c r="N553" s="209"/>
      <c r="O553" s="209"/>
      <c r="P553" s="209"/>
    </row>
    <row r="554" spans="3:16" x14ac:dyDescent="0.25">
      <c r="C554" s="123"/>
      <c r="D554" s="142"/>
      <c r="E554" s="142"/>
      <c r="F554" s="208"/>
      <c r="G554" s="181"/>
      <c r="H554" s="209"/>
      <c r="I554" s="209"/>
      <c r="J554" s="209"/>
      <c r="K554" s="209"/>
      <c r="L554" s="209"/>
      <c r="M554" s="209"/>
      <c r="N554" s="209"/>
      <c r="O554" s="209"/>
      <c r="P554" s="209"/>
    </row>
    <row r="555" spans="3:16" x14ac:dyDescent="0.25">
      <c r="C555" s="123"/>
      <c r="D555" s="142"/>
      <c r="E555" s="142"/>
      <c r="F555" s="208"/>
      <c r="G555" s="181"/>
      <c r="H555" s="209"/>
      <c r="I555" s="209"/>
      <c r="J555" s="209"/>
      <c r="K555" s="209"/>
      <c r="L555" s="209"/>
      <c r="M555" s="209"/>
      <c r="N555" s="209"/>
      <c r="O555" s="209"/>
      <c r="P555" s="209"/>
    </row>
    <row r="556" spans="3:16" x14ac:dyDescent="0.25">
      <c r="C556" s="123"/>
      <c r="D556" s="142"/>
      <c r="E556" s="142"/>
      <c r="F556" s="208"/>
      <c r="G556" s="181"/>
      <c r="H556" s="209"/>
      <c r="I556" s="209"/>
      <c r="J556" s="209"/>
      <c r="K556" s="209"/>
      <c r="L556" s="209"/>
      <c r="M556" s="209"/>
      <c r="N556" s="209"/>
      <c r="O556" s="209"/>
      <c r="P556" s="209"/>
    </row>
    <row r="557" spans="3:16" x14ac:dyDescent="0.25">
      <c r="C557" s="123"/>
      <c r="D557" s="142"/>
      <c r="E557" s="142"/>
      <c r="F557" s="208"/>
      <c r="G557" s="181"/>
      <c r="H557" s="209"/>
      <c r="I557" s="209"/>
      <c r="J557" s="209"/>
      <c r="K557" s="209"/>
      <c r="L557" s="209"/>
      <c r="M557" s="209"/>
      <c r="N557" s="209"/>
      <c r="O557" s="209"/>
      <c r="P557" s="209"/>
    </row>
    <row r="558" spans="3:16" x14ac:dyDescent="0.25">
      <c r="C558" s="123"/>
      <c r="D558" s="142"/>
      <c r="E558" s="142"/>
      <c r="F558" s="208"/>
      <c r="G558" s="181"/>
      <c r="H558" s="209"/>
      <c r="I558" s="209"/>
      <c r="J558" s="209"/>
      <c r="K558" s="209"/>
      <c r="L558" s="209"/>
      <c r="M558" s="209"/>
      <c r="N558" s="209"/>
      <c r="O558" s="209"/>
      <c r="P558" s="209"/>
    </row>
    <row r="559" spans="3:16" x14ac:dyDescent="0.25">
      <c r="C559" s="123"/>
      <c r="D559" s="142"/>
      <c r="E559" s="142"/>
      <c r="F559" s="208"/>
      <c r="G559" s="181"/>
      <c r="H559" s="209"/>
      <c r="I559" s="209"/>
      <c r="J559" s="209"/>
      <c r="K559" s="209"/>
      <c r="L559" s="209"/>
      <c r="M559" s="209"/>
      <c r="N559" s="209"/>
      <c r="O559" s="209"/>
      <c r="P559" s="209"/>
    </row>
    <row r="560" spans="3:16" x14ac:dyDescent="0.25">
      <c r="C560" s="123"/>
      <c r="D560" s="142"/>
      <c r="E560" s="142"/>
      <c r="F560" s="208"/>
      <c r="G560" s="181"/>
      <c r="H560" s="209"/>
      <c r="I560" s="209"/>
      <c r="J560" s="209"/>
      <c r="K560" s="209"/>
      <c r="L560" s="209"/>
      <c r="M560" s="209"/>
      <c r="N560" s="209"/>
      <c r="O560" s="209"/>
      <c r="P560" s="209"/>
    </row>
    <row r="561" spans="3:16" x14ac:dyDescent="0.25">
      <c r="C561" s="123"/>
      <c r="D561" s="142"/>
      <c r="E561" s="142"/>
      <c r="F561" s="208"/>
      <c r="G561" s="181"/>
      <c r="H561" s="209"/>
      <c r="I561" s="209"/>
      <c r="J561" s="209"/>
      <c r="K561" s="209"/>
      <c r="L561" s="209"/>
      <c r="M561" s="209"/>
      <c r="N561" s="209"/>
      <c r="O561" s="209"/>
      <c r="P561" s="209"/>
    </row>
    <row r="562" spans="3:16" x14ac:dyDescent="0.25">
      <c r="C562" s="123"/>
      <c r="D562" s="142"/>
      <c r="E562" s="142"/>
      <c r="F562" s="208"/>
      <c r="G562" s="181"/>
      <c r="H562" s="209"/>
      <c r="I562" s="209"/>
      <c r="J562" s="209"/>
      <c r="K562" s="209"/>
      <c r="L562" s="209"/>
      <c r="M562" s="209"/>
      <c r="N562" s="209"/>
      <c r="O562" s="209"/>
      <c r="P562" s="209"/>
    </row>
    <row r="563" spans="3:16" x14ac:dyDescent="0.25">
      <c r="C563" s="123"/>
      <c r="D563" s="142"/>
      <c r="E563" s="142"/>
      <c r="F563" s="208"/>
      <c r="G563" s="181"/>
      <c r="H563" s="209"/>
      <c r="I563" s="209"/>
      <c r="J563" s="209"/>
      <c r="K563" s="209"/>
      <c r="L563" s="209"/>
      <c r="M563" s="209"/>
      <c r="N563" s="209"/>
      <c r="O563" s="209"/>
      <c r="P563" s="209"/>
    </row>
    <row r="564" spans="3:16" x14ac:dyDescent="0.25">
      <c r="C564" s="123"/>
      <c r="D564" s="142"/>
      <c r="E564" s="142"/>
      <c r="F564" s="208"/>
      <c r="G564" s="181"/>
      <c r="H564" s="209"/>
      <c r="I564" s="209"/>
      <c r="J564" s="209"/>
      <c r="K564" s="209"/>
      <c r="L564" s="209"/>
      <c r="M564" s="209"/>
      <c r="N564" s="209"/>
      <c r="O564" s="209"/>
      <c r="P564" s="209"/>
    </row>
    <row r="565" spans="3:16" x14ac:dyDescent="0.25">
      <c r="C565" s="123"/>
      <c r="D565" s="142"/>
      <c r="E565" s="142"/>
      <c r="F565" s="208"/>
      <c r="G565" s="181"/>
      <c r="H565" s="209"/>
      <c r="I565" s="209"/>
      <c r="J565" s="209"/>
      <c r="K565" s="209"/>
      <c r="L565" s="209"/>
      <c r="M565" s="209"/>
      <c r="N565" s="209"/>
      <c r="O565" s="209"/>
      <c r="P565" s="209"/>
    </row>
    <row r="566" spans="3:16" x14ac:dyDescent="0.25">
      <c r="C566" s="123"/>
      <c r="D566" s="142"/>
      <c r="E566" s="142"/>
      <c r="F566" s="208"/>
      <c r="G566" s="181"/>
      <c r="H566" s="209"/>
      <c r="I566" s="209"/>
      <c r="J566" s="209"/>
      <c r="K566" s="209"/>
      <c r="L566" s="209"/>
      <c r="M566" s="209"/>
      <c r="N566" s="209"/>
      <c r="O566" s="209"/>
      <c r="P566" s="209"/>
    </row>
    <row r="567" spans="3:16" x14ac:dyDescent="0.25">
      <c r="C567" s="123"/>
      <c r="D567" s="142"/>
      <c r="E567" s="142"/>
      <c r="F567" s="208"/>
      <c r="G567" s="181"/>
      <c r="H567" s="209"/>
      <c r="I567" s="209"/>
      <c r="J567" s="209"/>
      <c r="K567" s="209"/>
      <c r="L567" s="209"/>
      <c r="M567" s="209"/>
      <c r="N567" s="209"/>
      <c r="O567" s="209"/>
      <c r="P567" s="209"/>
    </row>
    <row r="568" spans="3:16" x14ac:dyDescent="0.25">
      <c r="C568" s="123"/>
      <c r="D568" s="142"/>
      <c r="E568" s="142"/>
      <c r="F568" s="208"/>
      <c r="G568" s="181"/>
      <c r="H568" s="209"/>
      <c r="I568" s="209"/>
      <c r="J568" s="209"/>
      <c r="K568" s="209"/>
      <c r="L568" s="209"/>
      <c r="M568" s="209"/>
      <c r="N568" s="209"/>
      <c r="O568" s="209"/>
      <c r="P568" s="209"/>
    </row>
    <row r="569" spans="3:16" x14ac:dyDescent="0.25">
      <c r="C569" s="123"/>
      <c r="D569" s="142"/>
      <c r="E569" s="142"/>
      <c r="F569" s="208"/>
      <c r="G569" s="181"/>
      <c r="H569" s="209"/>
      <c r="I569" s="209"/>
      <c r="J569" s="209"/>
      <c r="K569" s="209"/>
      <c r="L569" s="209"/>
      <c r="M569" s="209"/>
      <c r="N569" s="209"/>
      <c r="O569" s="209"/>
      <c r="P569" s="209"/>
    </row>
    <row r="570" spans="3:16" x14ac:dyDescent="0.25">
      <c r="C570" s="123"/>
      <c r="D570" s="142"/>
      <c r="E570" s="142"/>
      <c r="F570" s="208"/>
      <c r="G570" s="181"/>
      <c r="H570" s="209"/>
      <c r="I570" s="209"/>
      <c r="J570" s="209"/>
      <c r="K570" s="209"/>
      <c r="L570" s="209"/>
      <c r="M570" s="209"/>
      <c r="N570" s="209"/>
      <c r="O570" s="209"/>
      <c r="P570" s="209"/>
    </row>
    <row r="571" spans="3:16" x14ac:dyDescent="0.25">
      <c r="C571" s="123"/>
      <c r="D571" s="142"/>
      <c r="E571" s="142"/>
      <c r="F571" s="208"/>
      <c r="G571" s="181"/>
      <c r="H571" s="209"/>
      <c r="I571" s="209"/>
      <c r="J571" s="209"/>
      <c r="K571" s="209"/>
      <c r="L571" s="209"/>
      <c r="M571" s="209"/>
      <c r="N571" s="209"/>
      <c r="O571" s="209"/>
      <c r="P571" s="209"/>
    </row>
    <row r="572" spans="3:16" x14ac:dyDescent="0.25">
      <c r="C572" s="123"/>
      <c r="D572" s="142"/>
      <c r="E572" s="142"/>
      <c r="F572" s="208"/>
      <c r="G572" s="181"/>
      <c r="H572" s="209"/>
      <c r="I572" s="209"/>
      <c r="J572" s="209"/>
      <c r="K572" s="209"/>
      <c r="L572" s="209"/>
      <c r="M572" s="209"/>
      <c r="N572" s="209"/>
      <c r="O572" s="209"/>
      <c r="P572" s="209"/>
    </row>
    <row r="573" spans="3:16" x14ac:dyDescent="0.25">
      <c r="C573" s="123"/>
      <c r="D573" s="142"/>
      <c r="E573" s="142"/>
      <c r="F573" s="208"/>
      <c r="G573" s="181"/>
      <c r="H573" s="209"/>
      <c r="I573" s="209"/>
      <c r="J573" s="209"/>
      <c r="K573" s="209"/>
      <c r="L573" s="209"/>
      <c r="M573" s="209"/>
      <c r="N573" s="209"/>
      <c r="O573" s="209"/>
      <c r="P573" s="209"/>
    </row>
    <row r="574" spans="3:16" x14ac:dyDescent="0.25">
      <c r="C574" s="123"/>
      <c r="D574" s="142"/>
      <c r="E574" s="142"/>
      <c r="F574" s="208"/>
      <c r="G574" s="181"/>
      <c r="H574" s="209"/>
      <c r="I574" s="209"/>
      <c r="J574" s="209"/>
      <c r="K574" s="209"/>
      <c r="L574" s="209"/>
      <c r="M574" s="209"/>
      <c r="N574" s="209"/>
      <c r="O574" s="209"/>
      <c r="P574" s="209"/>
    </row>
    <row r="575" spans="3:16" x14ac:dyDescent="0.25">
      <c r="C575" s="123"/>
      <c r="D575" s="142"/>
      <c r="E575" s="142"/>
      <c r="F575" s="208"/>
      <c r="G575" s="181"/>
      <c r="H575" s="209"/>
      <c r="I575" s="209"/>
      <c r="J575" s="209"/>
      <c r="K575" s="209"/>
      <c r="L575" s="209"/>
      <c r="M575" s="209"/>
      <c r="N575" s="209"/>
      <c r="O575" s="209"/>
      <c r="P575" s="209"/>
    </row>
    <row r="576" spans="3:16" x14ac:dyDescent="0.25">
      <c r="C576" s="123"/>
      <c r="D576" s="142"/>
      <c r="E576" s="142"/>
      <c r="F576" s="208"/>
      <c r="G576" s="181"/>
      <c r="H576" s="209"/>
      <c r="I576" s="209"/>
      <c r="J576" s="209"/>
      <c r="K576" s="209"/>
      <c r="L576" s="209"/>
      <c r="M576" s="209"/>
      <c r="N576" s="209"/>
      <c r="O576" s="209"/>
      <c r="P576" s="209"/>
    </row>
    <row r="577" spans="3:16" x14ac:dyDescent="0.25">
      <c r="C577" s="123"/>
      <c r="D577" s="142"/>
      <c r="E577" s="142"/>
      <c r="F577" s="208"/>
      <c r="G577" s="181"/>
      <c r="H577" s="209"/>
      <c r="I577" s="209"/>
      <c r="J577" s="209"/>
      <c r="K577" s="209"/>
      <c r="L577" s="209"/>
      <c r="M577" s="209"/>
      <c r="N577" s="209"/>
      <c r="O577" s="209"/>
      <c r="P577" s="209"/>
    </row>
    <row r="578" spans="3:16" x14ac:dyDescent="0.25">
      <c r="C578" s="123"/>
      <c r="D578" s="142"/>
      <c r="E578" s="142"/>
      <c r="F578" s="208"/>
      <c r="G578" s="181"/>
      <c r="H578" s="209"/>
      <c r="I578" s="209"/>
      <c r="J578" s="209"/>
      <c r="K578" s="209"/>
      <c r="L578" s="209"/>
      <c r="M578" s="209"/>
      <c r="N578" s="209"/>
      <c r="O578" s="209"/>
      <c r="P578" s="209"/>
    </row>
    <row r="579" spans="3:16" x14ac:dyDescent="0.25">
      <c r="C579" s="123"/>
      <c r="D579" s="142"/>
      <c r="E579" s="142"/>
      <c r="F579" s="208"/>
      <c r="G579" s="181"/>
      <c r="H579" s="209"/>
      <c r="I579" s="209"/>
      <c r="J579" s="209"/>
      <c r="K579" s="209"/>
      <c r="L579" s="209"/>
      <c r="M579" s="209"/>
      <c r="N579" s="209"/>
      <c r="O579" s="209"/>
      <c r="P579" s="209"/>
    </row>
    <row r="580" spans="3:16" x14ac:dyDescent="0.25">
      <c r="C580" s="123"/>
      <c r="D580" s="142"/>
      <c r="E580" s="142"/>
      <c r="F580" s="208"/>
      <c r="G580" s="181"/>
      <c r="H580" s="209"/>
      <c r="I580" s="209"/>
      <c r="J580" s="209"/>
      <c r="K580" s="209"/>
      <c r="L580" s="209"/>
      <c r="M580" s="209"/>
      <c r="N580" s="209"/>
      <c r="O580" s="209"/>
      <c r="P580" s="209"/>
    </row>
    <row r="581" spans="3:16" x14ac:dyDescent="0.25">
      <c r="C581" s="123"/>
      <c r="D581" s="142"/>
      <c r="E581" s="142"/>
      <c r="F581" s="208"/>
      <c r="G581" s="181"/>
      <c r="H581" s="209"/>
      <c r="I581" s="209"/>
      <c r="J581" s="209"/>
      <c r="K581" s="209"/>
      <c r="L581" s="209"/>
      <c r="M581" s="209"/>
      <c r="N581" s="209"/>
      <c r="O581" s="209"/>
      <c r="P581" s="209"/>
    </row>
    <row r="582" spans="3:16" x14ac:dyDescent="0.25">
      <c r="C582" s="123"/>
      <c r="D582" s="142"/>
      <c r="E582" s="142"/>
      <c r="F582" s="208"/>
      <c r="G582" s="181"/>
      <c r="H582" s="209"/>
      <c r="I582" s="209"/>
      <c r="J582" s="209"/>
      <c r="K582" s="209"/>
      <c r="L582" s="209"/>
      <c r="M582" s="209"/>
      <c r="N582" s="209"/>
      <c r="O582" s="209"/>
      <c r="P582" s="209"/>
    </row>
    <row r="583" spans="3:16" x14ac:dyDescent="0.25">
      <c r="C583" s="123"/>
      <c r="D583" s="142"/>
      <c r="E583" s="142"/>
      <c r="F583" s="208"/>
      <c r="G583" s="181"/>
      <c r="H583" s="209"/>
      <c r="I583" s="209"/>
      <c r="J583" s="209"/>
      <c r="K583" s="209"/>
      <c r="L583" s="209"/>
      <c r="M583" s="209"/>
      <c r="N583" s="209"/>
      <c r="O583" s="209"/>
      <c r="P583" s="209"/>
    </row>
    <row r="584" spans="3:16" x14ac:dyDescent="0.25">
      <c r="C584" s="123"/>
      <c r="D584" s="142"/>
      <c r="E584" s="142"/>
      <c r="F584" s="208"/>
      <c r="G584" s="181"/>
      <c r="H584" s="209"/>
      <c r="I584" s="209"/>
      <c r="J584" s="209"/>
      <c r="K584" s="209"/>
      <c r="L584" s="209"/>
      <c r="M584" s="209"/>
      <c r="N584" s="209"/>
      <c r="O584" s="209"/>
      <c r="P584" s="209"/>
    </row>
    <row r="585" spans="3:16" x14ac:dyDescent="0.25">
      <c r="C585" s="123"/>
      <c r="D585" s="142"/>
      <c r="E585" s="142"/>
      <c r="F585" s="208"/>
      <c r="G585" s="181"/>
      <c r="H585" s="209"/>
      <c r="I585" s="209"/>
      <c r="J585" s="209"/>
      <c r="K585" s="209"/>
      <c r="L585" s="209"/>
      <c r="M585" s="209"/>
      <c r="N585" s="209"/>
      <c r="O585" s="209"/>
      <c r="P585" s="209"/>
    </row>
    <row r="586" spans="3:16" x14ac:dyDescent="0.25">
      <c r="C586" s="123"/>
      <c r="D586" s="142"/>
      <c r="E586" s="142"/>
      <c r="F586" s="208"/>
      <c r="G586" s="181"/>
      <c r="H586" s="209"/>
      <c r="I586" s="209"/>
      <c r="J586" s="209"/>
      <c r="K586" s="209"/>
      <c r="L586" s="209"/>
      <c r="M586" s="209"/>
      <c r="N586" s="209"/>
      <c r="O586" s="209"/>
      <c r="P586" s="209"/>
    </row>
    <row r="587" spans="3:16" x14ac:dyDescent="0.25">
      <c r="C587" s="123"/>
      <c r="D587" s="142"/>
      <c r="E587" s="142"/>
      <c r="F587" s="208"/>
      <c r="G587" s="181"/>
      <c r="H587" s="209"/>
      <c r="I587" s="209"/>
      <c r="J587" s="209"/>
      <c r="K587" s="209"/>
      <c r="L587" s="209"/>
      <c r="M587" s="209"/>
      <c r="N587" s="209"/>
      <c r="O587" s="209"/>
      <c r="P587" s="209"/>
    </row>
    <row r="588" spans="3:16" x14ac:dyDescent="0.25">
      <c r="C588" s="123"/>
      <c r="D588" s="142"/>
      <c r="E588" s="142"/>
      <c r="F588" s="208"/>
      <c r="G588" s="181"/>
      <c r="H588" s="209"/>
      <c r="I588" s="209"/>
      <c r="J588" s="209"/>
      <c r="K588" s="209"/>
      <c r="L588" s="209"/>
      <c r="M588" s="209"/>
      <c r="N588" s="209"/>
      <c r="O588" s="209"/>
      <c r="P588" s="209"/>
    </row>
    <row r="589" spans="3:16" x14ac:dyDescent="0.25">
      <c r="C589" s="123"/>
      <c r="D589" s="142"/>
      <c r="E589" s="142"/>
      <c r="F589" s="208"/>
      <c r="G589" s="181"/>
      <c r="H589" s="209"/>
      <c r="I589" s="209"/>
      <c r="J589" s="209"/>
      <c r="K589" s="209"/>
      <c r="L589" s="209"/>
      <c r="M589" s="209"/>
      <c r="N589" s="209"/>
      <c r="O589" s="209"/>
      <c r="P589" s="209"/>
    </row>
    <row r="590" spans="3:16" x14ac:dyDescent="0.25">
      <c r="C590" s="123"/>
      <c r="D590" s="142"/>
      <c r="E590" s="142"/>
      <c r="F590" s="208"/>
      <c r="G590" s="181"/>
      <c r="H590" s="209"/>
      <c r="I590" s="209"/>
      <c r="J590" s="209"/>
      <c r="K590" s="209"/>
      <c r="L590" s="209"/>
      <c r="M590" s="209"/>
      <c r="N590" s="209"/>
      <c r="O590" s="209"/>
      <c r="P590" s="209"/>
    </row>
    <row r="591" spans="3:16" x14ac:dyDescent="0.25">
      <c r="C591" s="123"/>
      <c r="D591" s="142"/>
      <c r="E591" s="142"/>
      <c r="F591" s="208"/>
      <c r="G591" s="181"/>
      <c r="H591" s="209"/>
      <c r="I591" s="209"/>
      <c r="J591" s="209"/>
      <c r="K591" s="209"/>
      <c r="L591" s="209"/>
      <c r="M591" s="209"/>
      <c r="N591" s="209"/>
      <c r="O591" s="209"/>
      <c r="P591" s="209"/>
    </row>
    <row r="592" spans="3:16" x14ac:dyDescent="0.25">
      <c r="C592" s="123"/>
      <c r="D592" s="142"/>
      <c r="E592" s="142"/>
      <c r="F592" s="208"/>
      <c r="G592" s="181"/>
      <c r="H592" s="209"/>
      <c r="I592" s="209"/>
      <c r="J592" s="209"/>
      <c r="K592" s="209"/>
      <c r="L592" s="209"/>
      <c r="M592" s="209"/>
      <c r="N592" s="209"/>
      <c r="O592" s="209"/>
      <c r="P592" s="209"/>
    </row>
    <row r="593" spans="3:16" x14ac:dyDescent="0.25">
      <c r="C593" s="123"/>
      <c r="D593" s="142"/>
      <c r="E593" s="142"/>
      <c r="F593" s="208"/>
      <c r="G593" s="181"/>
      <c r="H593" s="209"/>
      <c r="I593" s="209"/>
      <c r="J593" s="209"/>
      <c r="K593" s="209"/>
      <c r="L593" s="209"/>
      <c r="M593" s="209"/>
      <c r="N593" s="209"/>
      <c r="O593" s="209"/>
      <c r="P593" s="209"/>
    </row>
    <row r="594" spans="3:16" x14ac:dyDescent="0.25">
      <c r="C594" s="123"/>
      <c r="D594" s="142"/>
      <c r="E594" s="142"/>
      <c r="F594" s="208"/>
      <c r="G594" s="181"/>
      <c r="H594" s="209"/>
      <c r="I594" s="209"/>
      <c r="J594" s="209"/>
      <c r="K594" s="209"/>
      <c r="L594" s="209"/>
      <c r="M594" s="209"/>
      <c r="N594" s="209"/>
      <c r="O594" s="209"/>
      <c r="P594" s="209"/>
    </row>
    <row r="595" spans="3:16" x14ac:dyDescent="0.25">
      <c r="C595" s="123"/>
      <c r="D595" s="142"/>
      <c r="E595" s="142"/>
      <c r="F595" s="208"/>
      <c r="G595" s="181"/>
      <c r="H595" s="209"/>
      <c r="I595" s="209"/>
      <c r="J595" s="209"/>
      <c r="K595" s="209"/>
      <c r="L595" s="209"/>
      <c r="M595" s="209"/>
      <c r="N595" s="209"/>
      <c r="O595" s="209"/>
      <c r="P595" s="209"/>
    </row>
    <row r="596" spans="3:16" x14ac:dyDescent="0.25">
      <c r="C596" s="123"/>
      <c r="D596" s="142"/>
      <c r="E596" s="142"/>
      <c r="F596" s="208"/>
      <c r="G596" s="181"/>
      <c r="H596" s="209"/>
      <c r="I596" s="209"/>
      <c r="J596" s="209"/>
      <c r="K596" s="209"/>
      <c r="L596" s="209"/>
      <c r="M596" s="209"/>
      <c r="N596" s="209"/>
      <c r="O596" s="209"/>
      <c r="P596" s="209"/>
    </row>
    <row r="597" spans="3:16" x14ac:dyDescent="0.25">
      <c r="C597" s="123"/>
      <c r="D597" s="142"/>
      <c r="E597" s="142"/>
      <c r="F597" s="208"/>
      <c r="G597" s="181"/>
      <c r="H597" s="209"/>
      <c r="I597" s="209"/>
      <c r="J597" s="209"/>
      <c r="K597" s="209"/>
      <c r="L597" s="209"/>
      <c r="M597" s="209"/>
      <c r="N597" s="209"/>
      <c r="O597" s="209"/>
      <c r="P597" s="209"/>
    </row>
    <row r="598" spans="3:16" x14ac:dyDescent="0.25">
      <c r="C598" s="123"/>
      <c r="D598" s="142"/>
      <c r="E598" s="142"/>
      <c r="F598" s="208"/>
      <c r="G598" s="181"/>
      <c r="H598" s="209"/>
      <c r="I598" s="209"/>
      <c r="J598" s="209"/>
      <c r="K598" s="209"/>
      <c r="L598" s="209"/>
      <c r="M598" s="209"/>
      <c r="N598" s="209"/>
      <c r="O598" s="209"/>
      <c r="P598" s="209"/>
    </row>
    <row r="599" spans="3:16" x14ac:dyDescent="0.25">
      <c r="C599" s="123"/>
      <c r="D599" s="142"/>
      <c r="E599" s="142"/>
      <c r="F599" s="208"/>
      <c r="G599" s="181"/>
      <c r="H599" s="209"/>
      <c r="I599" s="209"/>
      <c r="J599" s="209"/>
      <c r="K599" s="209"/>
      <c r="L599" s="209"/>
      <c r="M599" s="209"/>
      <c r="N599" s="209"/>
      <c r="O599" s="209"/>
      <c r="P599" s="209"/>
    </row>
    <row r="600" spans="3:16" x14ac:dyDescent="0.25">
      <c r="C600" s="123"/>
      <c r="D600" s="142"/>
      <c r="E600" s="142"/>
      <c r="F600" s="208"/>
      <c r="G600" s="181"/>
      <c r="H600" s="209"/>
      <c r="I600" s="209"/>
      <c r="J600" s="209"/>
      <c r="K600" s="209"/>
      <c r="L600" s="209"/>
      <c r="M600" s="209"/>
      <c r="N600" s="209"/>
      <c r="O600" s="209"/>
      <c r="P600" s="209"/>
    </row>
    <row r="601" spans="3:16" x14ac:dyDescent="0.25">
      <c r="C601" s="123"/>
      <c r="D601" s="142"/>
      <c r="E601" s="142"/>
      <c r="F601" s="208"/>
      <c r="G601" s="181"/>
      <c r="H601" s="209"/>
      <c r="I601" s="209"/>
      <c r="J601" s="209"/>
      <c r="K601" s="209"/>
      <c r="L601" s="209"/>
      <c r="M601" s="209"/>
      <c r="N601" s="209"/>
      <c r="O601" s="209"/>
      <c r="P601" s="209"/>
    </row>
    <row r="602" spans="3:16" x14ac:dyDescent="0.25">
      <c r="C602" s="123"/>
      <c r="D602" s="142"/>
      <c r="E602" s="142"/>
      <c r="F602" s="208"/>
      <c r="G602" s="181"/>
      <c r="H602" s="209"/>
      <c r="I602" s="209"/>
      <c r="J602" s="209"/>
      <c r="K602" s="209"/>
      <c r="L602" s="209"/>
      <c r="M602" s="209"/>
      <c r="N602" s="209"/>
      <c r="O602" s="209"/>
      <c r="P602" s="209"/>
    </row>
    <row r="603" spans="3:16" x14ac:dyDescent="0.25">
      <c r="C603" s="123"/>
      <c r="D603" s="142"/>
      <c r="E603" s="142"/>
      <c r="F603" s="208"/>
      <c r="G603" s="181"/>
      <c r="H603" s="209"/>
      <c r="I603" s="209"/>
      <c r="J603" s="209"/>
      <c r="K603" s="209"/>
      <c r="L603" s="209"/>
      <c r="M603" s="209"/>
      <c r="N603" s="209"/>
      <c r="O603" s="209"/>
      <c r="P603" s="209"/>
    </row>
    <row r="604" spans="3:16" x14ac:dyDescent="0.25">
      <c r="C604" s="123"/>
      <c r="D604" s="142"/>
      <c r="E604" s="142"/>
      <c r="F604" s="208"/>
      <c r="G604" s="181"/>
      <c r="H604" s="209"/>
      <c r="I604" s="209"/>
      <c r="J604" s="209"/>
      <c r="K604" s="209"/>
      <c r="L604" s="209"/>
      <c r="M604" s="209"/>
      <c r="N604" s="209"/>
      <c r="O604" s="209"/>
      <c r="P604" s="209"/>
    </row>
    <row r="605" spans="3:16" x14ac:dyDescent="0.25">
      <c r="C605" s="123"/>
      <c r="D605" s="142"/>
      <c r="E605" s="142"/>
      <c r="F605" s="208"/>
      <c r="G605" s="181"/>
      <c r="H605" s="209"/>
      <c r="I605" s="209"/>
      <c r="J605" s="209"/>
      <c r="K605" s="209"/>
      <c r="L605" s="209"/>
      <c r="M605" s="209"/>
      <c r="N605" s="209"/>
      <c r="O605" s="209"/>
      <c r="P605" s="209"/>
    </row>
    <row r="606" spans="3:16" x14ac:dyDescent="0.25">
      <c r="C606" s="123"/>
      <c r="D606" s="142"/>
      <c r="E606" s="142"/>
      <c r="F606" s="208"/>
      <c r="G606" s="181"/>
      <c r="H606" s="209"/>
      <c r="I606" s="209"/>
      <c r="J606" s="209"/>
      <c r="K606" s="209"/>
      <c r="L606" s="209"/>
      <c r="M606" s="209"/>
      <c r="N606" s="209"/>
      <c r="O606" s="209"/>
      <c r="P606" s="209"/>
    </row>
    <row r="607" spans="3:16" x14ac:dyDescent="0.25">
      <c r="C607" s="123"/>
      <c r="D607" s="142"/>
      <c r="E607" s="142"/>
      <c r="F607" s="208"/>
      <c r="G607" s="181"/>
      <c r="H607" s="209"/>
      <c r="I607" s="209"/>
      <c r="J607" s="209"/>
      <c r="K607" s="209"/>
      <c r="L607" s="209"/>
      <c r="M607" s="209"/>
      <c r="N607" s="209"/>
      <c r="O607" s="209"/>
      <c r="P607" s="209"/>
    </row>
    <row r="608" spans="3:16" x14ac:dyDescent="0.25">
      <c r="C608" s="123"/>
      <c r="D608" s="142"/>
      <c r="E608" s="142"/>
      <c r="F608" s="208"/>
      <c r="G608" s="181"/>
      <c r="H608" s="209"/>
      <c r="I608" s="209"/>
      <c r="J608" s="209"/>
      <c r="K608" s="209"/>
      <c r="L608" s="209"/>
      <c r="M608" s="209"/>
      <c r="N608" s="209"/>
      <c r="O608" s="209"/>
      <c r="P608" s="209"/>
    </row>
    <row r="609" spans="3:16" x14ac:dyDescent="0.25">
      <c r="C609" s="123"/>
      <c r="D609" s="142"/>
      <c r="E609" s="142"/>
      <c r="F609" s="208"/>
      <c r="G609" s="181"/>
      <c r="H609" s="209"/>
      <c r="I609" s="209"/>
      <c r="J609" s="209"/>
      <c r="K609" s="209"/>
      <c r="L609" s="209"/>
      <c r="M609" s="209"/>
      <c r="N609" s="209"/>
      <c r="O609" s="209"/>
      <c r="P609" s="209"/>
    </row>
    <row r="610" spans="3:16" x14ac:dyDescent="0.25">
      <c r="C610" s="123"/>
      <c r="D610" s="142"/>
      <c r="E610" s="142"/>
      <c r="F610" s="208"/>
      <c r="G610" s="181"/>
      <c r="H610" s="209"/>
      <c r="I610" s="209"/>
      <c r="J610" s="209"/>
      <c r="K610" s="209"/>
      <c r="L610" s="209"/>
      <c r="M610" s="209"/>
      <c r="N610" s="209"/>
      <c r="O610" s="209"/>
      <c r="P610" s="209"/>
    </row>
    <row r="611" spans="3:16" x14ac:dyDescent="0.25">
      <c r="C611" s="123"/>
      <c r="D611" s="142"/>
      <c r="E611" s="142"/>
      <c r="F611" s="208"/>
      <c r="G611" s="181"/>
      <c r="H611" s="209"/>
      <c r="I611" s="209"/>
      <c r="J611" s="209"/>
      <c r="K611" s="209"/>
      <c r="L611" s="209"/>
      <c r="M611" s="209"/>
      <c r="N611" s="209"/>
      <c r="O611" s="209"/>
      <c r="P611" s="209"/>
    </row>
    <row r="612" spans="3:16" x14ac:dyDescent="0.25">
      <c r="C612" s="123"/>
      <c r="D612" s="142"/>
      <c r="E612" s="142"/>
      <c r="F612" s="208"/>
      <c r="G612" s="181"/>
      <c r="H612" s="209"/>
      <c r="I612" s="209"/>
      <c r="J612" s="209"/>
      <c r="K612" s="209"/>
      <c r="L612" s="209"/>
      <c r="M612" s="209"/>
      <c r="N612" s="209"/>
      <c r="O612" s="209"/>
      <c r="P612" s="209"/>
    </row>
    <row r="613" spans="3:16" x14ac:dyDescent="0.25">
      <c r="C613" s="123"/>
      <c r="D613" s="142"/>
      <c r="E613" s="142"/>
      <c r="F613" s="208"/>
      <c r="G613" s="181"/>
      <c r="H613" s="209"/>
      <c r="I613" s="209"/>
      <c r="J613" s="209"/>
      <c r="K613" s="209"/>
      <c r="L613" s="209"/>
      <c r="M613" s="209"/>
      <c r="N613" s="209"/>
      <c r="O613" s="209"/>
      <c r="P613" s="209"/>
    </row>
    <row r="614" spans="3:16" x14ac:dyDescent="0.25">
      <c r="C614" s="123"/>
      <c r="D614" s="142"/>
      <c r="E614" s="142"/>
      <c r="F614" s="208"/>
      <c r="G614" s="181"/>
      <c r="H614" s="209"/>
      <c r="I614" s="209"/>
      <c r="J614" s="209"/>
      <c r="K614" s="209"/>
      <c r="L614" s="209"/>
      <c r="M614" s="209"/>
      <c r="N614" s="209"/>
      <c r="O614" s="209"/>
      <c r="P614" s="209"/>
    </row>
    <row r="615" spans="3:16" x14ac:dyDescent="0.25">
      <c r="C615" s="123"/>
      <c r="D615" s="142"/>
      <c r="E615" s="142"/>
      <c r="F615" s="208"/>
      <c r="G615" s="181"/>
      <c r="H615" s="209"/>
      <c r="I615" s="209"/>
      <c r="J615" s="209"/>
      <c r="K615" s="209"/>
      <c r="L615" s="209"/>
      <c r="M615" s="209"/>
      <c r="N615" s="209"/>
      <c r="O615" s="209"/>
      <c r="P615" s="209"/>
    </row>
    <row r="616" spans="3:16" x14ac:dyDescent="0.25">
      <c r="C616" s="123"/>
      <c r="D616" s="142"/>
      <c r="E616" s="142"/>
      <c r="F616" s="208"/>
      <c r="G616" s="181"/>
      <c r="H616" s="209"/>
      <c r="I616" s="209"/>
      <c r="J616" s="209"/>
      <c r="K616" s="209"/>
      <c r="L616" s="209"/>
      <c r="M616" s="209"/>
      <c r="N616" s="209"/>
      <c r="O616" s="209"/>
      <c r="P616" s="209"/>
    </row>
    <row r="617" spans="3:16" x14ac:dyDescent="0.25">
      <c r="C617" s="123"/>
      <c r="D617" s="142"/>
      <c r="E617" s="142"/>
      <c r="F617" s="208"/>
      <c r="G617" s="181"/>
      <c r="H617" s="209"/>
      <c r="I617" s="209"/>
      <c r="J617" s="209"/>
      <c r="K617" s="209"/>
      <c r="L617" s="209"/>
      <c r="M617" s="209"/>
      <c r="N617" s="209"/>
      <c r="O617" s="209"/>
      <c r="P617" s="209"/>
    </row>
    <row r="618" spans="3:16" x14ac:dyDescent="0.25">
      <c r="C618" s="123"/>
      <c r="D618" s="142"/>
      <c r="E618" s="142"/>
      <c r="F618" s="208"/>
      <c r="G618" s="181"/>
      <c r="H618" s="209"/>
      <c r="I618" s="209"/>
      <c r="J618" s="209"/>
      <c r="K618" s="209"/>
      <c r="L618" s="209"/>
      <c r="M618" s="209"/>
      <c r="N618" s="209"/>
      <c r="O618" s="209"/>
      <c r="P618" s="209"/>
    </row>
    <row r="619" spans="3:16" x14ac:dyDescent="0.25">
      <c r="C619" s="123"/>
      <c r="D619" s="142"/>
      <c r="E619" s="142"/>
      <c r="F619" s="208"/>
      <c r="G619" s="181"/>
      <c r="H619" s="209"/>
      <c r="I619" s="209"/>
      <c r="J619" s="209"/>
      <c r="K619" s="209"/>
      <c r="L619" s="209"/>
      <c r="M619" s="209"/>
      <c r="N619" s="209"/>
      <c r="O619" s="209"/>
      <c r="P619" s="209"/>
    </row>
    <row r="620" spans="3:16" x14ac:dyDescent="0.25">
      <c r="C620" s="123"/>
      <c r="D620" s="142"/>
      <c r="E620" s="142"/>
      <c r="F620" s="208"/>
      <c r="G620" s="181"/>
      <c r="H620" s="209"/>
      <c r="I620" s="209"/>
      <c r="J620" s="209"/>
      <c r="K620" s="209"/>
      <c r="L620" s="209"/>
      <c r="M620" s="209"/>
      <c r="N620" s="209"/>
      <c r="O620" s="209"/>
      <c r="P620" s="209"/>
    </row>
    <row r="621" spans="3:16" x14ac:dyDescent="0.25">
      <c r="C621" s="123"/>
      <c r="D621" s="142"/>
      <c r="E621" s="142"/>
      <c r="F621" s="208"/>
      <c r="G621" s="181"/>
      <c r="H621" s="209"/>
      <c r="I621" s="209"/>
      <c r="J621" s="209"/>
      <c r="K621" s="209"/>
      <c r="L621" s="209"/>
      <c r="M621" s="209"/>
      <c r="N621" s="209"/>
      <c r="O621" s="209"/>
      <c r="P621" s="209"/>
    </row>
    <row r="622" spans="3:16" x14ac:dyDescent="0.25">
      <c r="C622" s="123"/>
      <c r="D622" s="142"/>
      <c r="E622" s="142"/>
      <c r="F622" s="208"/>
      <c r="G622" s="181"/>
      <c r="H622" s="209"/>
      <c r="I622" s="209"/>
      <c r="J622" s="209"/>
      <c r="K622" s="209"/>
      <c r="L622" s="209"/>
      <c r="M622" s="209"/>
      <c r="N622" s="209"/>
      <c r="O622" s="209"/>
      <c r="P622" s="209"/>
    </row>
    <row r="623" spans="3:16" x14ac:dyDescent="0.25">
      <c r="C623" s="123"/>
      <c r="D623" s="142"/>
      <c r="E623" s="142"/>
      <c r="F623" s="208"/>
      <c r="G623" s="181"/>
      <c r="H623" s="209"/>
      <c r="I623" s="209"/>
      <c r="J623" s="209"/>
      <c r="K623" s="209"/>
      <c r="L623" s="209"/>
      <c r="M623" s="209"/>
      <c r="N623" s="209"/>
      <c r="O623" s="209"/>
      <c r="P623" s="209"/>
    </row>
    <row r="624" spans="3:16" x14ac:dyDescent="0.25">
      <c r="C624" s="123"/>
      <c r="D624" s="142"/>
      <c r="E624" s="142"/>
      <c r="F624" s="208"/>
      <c r="G624" s="181"/>
      <c r="H624" s="209"/>
      <c r="I624" s="209"/>
      <c r="J624" s="209"/>
      <c r="K624" s="209"/>
      <c r="L624" s="209"/>
      <c r="M624" s="209"/>
      <c r="N624" s="209"/>
      <c r="O624" s="209"/>
      <c r="P624" s="209"/>
    </row>
    <row r="625" spans="3:16" x14ac:dyDescent="0.25">
      <c r="C625" s="123"/>
      <c r="D625" s="142"/>
      <c r="E625" s="142"/>
      <c r="F625" s="208"/>
      <c r="G625" s="181"/>
      <c r="H625" s="209"/>
      <c r="I625" s="209"/>
      <c r="J625" s="209"/>
      <c r="K625" s="209"/>
      <c r="L625" s="209"/>
      <c r="M625" s="209"/>
      <c r="N625" s="209"/>
      <c r="O625" s="209"/>
      <c r="P625" s="209"/>
    </row>
    <row r="626" spans="3:16" x14ac:dyDescent="0.25">
      <c r="C626" s="123"/>
      <c r="D626" s="142"/>
      <c r="E626" s="142"/>
      <c r="F626" s="208"/>
      <c r="G626" s="181"/>
      <c r="H626" s="209"/>
      <c r="I626" s="209"/>
      <c r="J626" s="209"/>
      <c r="K626" s="209"/>
      <c r="L626" s="209"/>
      <c r="M626" s="209"/>
      <c r="N626" s="209"/>
      <c r="O626" s="209"/>
      <c r="P626" s="209"/>
    </row>
    <row r="627" spans="3:16" x14ac:dyDescent="0.25">
      <c r="C627" s="123"/>
      <c r="D627" s="142"/>
      <c r="E627" s="142"/>
      <c r="F627" s="208"/>
      <c r="G627" s="181"/>
      <c r="H627" s="209"/>
      <c r="I627" s="209"/>
      <c r="J627" s="209"/>
      <c r="K627" s="209"/>
      <c r="L627" s="209"/>
      <c r="M627" s="209"/>
      <c r="N627" s="209"/>
      <c r="O627" s="209"/>
      <c r="P627" s="209"/>
    </row>
    <row r="628" spans="3:16" x14ac:dyDescent="0.25">
      <c r="C628" s="123"/>
      <c r="D628" s="142"/>
      <c r="E628" s="142"/>
      <c r="F628" s="208"/>
      <c r="G628" s="181"/>
      <c r="H628" s="209"/>
      <c r="I628" s="209"/>
      <c r="J628" s="209"/>
      <c r="K628" s="209"/>
      <c r="L628" s="209"/>
      <c r="M628" s="209"/>
      <c r="N628" s="209"/>
      <c r="O628" s="209"/>
      <c r="P628" s="209"/>
    </row>
    <row r="629" spans="3:16" x14ac:dyDescent="0.25">
      <c r="C629" s="123"/>
      <c r="D629" s="142"/>
      <c r="E629" s="142"/>
      <c r="F629" s="208"/>
      <c r="G629" s="181"/>
      <c r="H629" s="209"/>
      <c r="I629" s="209"/>
      <c r="J629" s="209"/>
      <c r="K629" s="209"/>
      <c r="L629" s="209"/>
      <c r="M629" s="209"/>
      <c r="N629" s="209"/>
      <c r="O629" s="209"/>
      <c r="P629" s="209"/>
    </row>
    <row r="630" spans="3:16" x14ac:dyDescent="0.25">
      <c r="C630" s="123"/>
      <c r="D630" s="142"/>
      <c r="E630" s="142"/>
      <c r="F630" s="208"/>
      <c r="G630" s="181"/>
      <c r="H630" s="209"/>
      <c r="I630" s="209"/>
      <c r="J630" s="209"/>
      <c r="K630" s="209"/>
      <c r="L630" s="209"/>
      <c r="M630" s="209"/>
      <c r="N630" s="209"/>
      <c r="O630" s="209"/>
      <c r="P630" s="209"/>
    </row>
    <row r="631" spans="3:16" x14ac:dyDescent="0.25">
      <c r="C631" s="123"/>
      <c r="D631" s="142"/>
      <c r="E631" s="142"/>
      <c r="F631" s="208"/>
      <c r="G631" s="181"/>
      <c r="H631" s="209"/>
      <c r="I631" s="209"/>
      <c r="J631" s="209"/>
      <c r="K631" s="209"/>
      <c r="L631" s="209"/>
      <c r="M631" s="209"/>
      <c r="N631" s="209"/>
      <c r="O631" s="209"/>
      <c r="P631" s="209"/>
    </row>
    <row r="632" spans="3:16" x14ac:dyDescent="0.25">
      <c r="C632" s="123"/>
      <c r="D632" s="142"/>
      <c r="E632" s="142"/>
      <c r="F632" s="208"/>
      <c r="G632" s="181"/>
      <c r="H632" s="209"/>
      <c r="I632" s="209"/>
      <c r="J632" s="209"/>
      <c r="K632" s="209"/>
      <c r="L632" s="209"/>
      <c r="M632" s="209"/>
      <c r="N632" s="209"/>
      <c r="O632" s="209"/>
      <c r="P632" s="209"/>
    </row>
    <row r="633" spans="3:16" x14ac:dyDescent="0.25">
      <c r="C633" s="123"/>
      <c r="D633" s="142"/>
      <c r="E633" s="142"/>
      <c r="F633" s="208"/>
      <c r="G633" s="181"/>
      <c r="H633" s="209"/>
      <c r="I633" s="209"/>
      <c r="J633" s="209"/>
      <c r="K633" s="209"/>
      <c r="L633" s="209"/>
      <c r="M633" s="209"/>
      <c r="N633" s="209"/>
      <c r="O633" s="209"/>
      <c r="P633" s="209"/>
    </row>
    <row r="634" spans="3:16" x14ac:dyDescent="0.25">
      <c r="C634" s="123"/>
      <c r="D634" s="142"/>
      <c r="E634" s="142"/>
      <c r="F634" s="208"/>
      <c r="G634" s="181"/>
      <c r="H634" s="209"/>
      <c r="I634" s="209"/>
      <c r="J634" s="209"/>
      <c r="K634" s="209"/>
      <c r="L634" s="209"/>
      <c r="M634" s="209"/>
      <c r="N634" s="209"/>
      <c r="O634" s="209"/>
      <c r="P634" s="209"/>
    </row>
    <row r="635" spans="3:16" x14ac:dyDescent="0.25">
      <c r="C635" s="123"/>
      <c r="D635" s="142"/>
      <c r="E635" s="142"/>
      <c r="F635" s="208"/>
      <c r="G635" s="181"/>
      <c r="H635" s="209"/>
      <c r="I635" s="209"/>
      <c r="J635" s="209"/>
      <c r="K635" s="209"/>
      <c r="L635" s="209"/>
      <c r="M635" s="209"/>
      <c r="N635" s="209"/>
      <c r="O635" s="209"/>
      <c r="P635" s="209"/>
    </row>
    <row r="636" spans="3:16" x14ac:dyDescent="0.25">
      <c r="C636" s="123"/>
      <c r="D636" s="142"/>
      <c r="E636" s="142"/>
      <c r="F636" s="208"/>
      <c r="G636" s="181"/>
      <c r="H636" s="209"/>
      <c r="I636" s="209"/>
      <c r="J636" s="209"/>
      <c r="K636" s="209"/>
      <c r="L636" s="209"/>
      <c r="M636" s="209"/>
      <c r="N636" s="209"/>
      <c r="O636" s="209"/>
      <c r="P636" s="209"/>
    </row>
    <row r="637" spans="3:16" x14ac:dyDescent="0.25">
      <c r="C637" s="123"/>
      <c r="D637" s="142"/>
      <c r="E637" s="142"/>
      <c r="F637" s="208"/>
      <c r="G637" s="181"/>
      <c r="H637" s="209"/>
      <c r="I637" s="209"/>
      <c r="J637" s="209"/>
      <c r="K637" s="209"/>
      <c r="L637" s="209"/>
      <c r="M637" s="209"/>
      <c r="N637" s="209"/>
      <c r="O637" s="209"/>
      <c r="P637" s="209"/>
    </row>
    <row r="638" spans="3:16" x14ac:dyDescent="0.25">
      <c r="C638" s="123"/>
      <c r="D638" s="142"/>
      <c r="E638" s="142"/>
      <c r="F638" s="208"/>
      <c r="G638" s="181"/>
      <c r="H638" s="209"/>
      <c r="I638" s="209"/>
      <c r="J638" s="209"/>
      <c r="K638" s="209"/>
      <c r="L638" s="209"/>
      <c r="M638" s="209"/>
      <c r="N638" s="209"/>
      <c r="O638" s="209"/>
      <c r="P638" s="209"/>
    </row>
    <row r="639" spans="3:16" x14ac:dyDescent="0.25">
      <c r="C639" s="123"/>
      <c r="D639" s="142"/>
      <c r="E639" s="142"/>
      <c r="F639" s="208"/>
      <c r="G639" s="181"/>
      <c r="H639" s="209"/>
      <c r="I639" s="209"/>
      <c r="J639" s="209"/>
      <c r="K639" s="209"/>
      <c r="L639" s="209"/>
      <c r="M639" s="209"/>
      <c r="N639" s="209"/>
      <c r="O639" s="209"/>
      <c r="P639" s="209"/>
    </row>
    <row r="640" spans="3:16" x14ac:dyDescent="0.25">
      <c r="C640" s="123"/>
      <c r="D640" s="142"/>
      <c r="E640" s="142"/>
      <c r="F640" s="208"/>
      <c r="G640" s="181"/>
      <c r="H640" s="209"/>
      <c r="I640" s="209"/>
      <c r="J640" s="209"/>
      <c r="K640" s="209"/>
      <c r="L640" s="209"/>
      <c r="M640" s="209"/>
      <c r="N640" s="209"/>
      <c r="O640" s="209"/>
      <c r="P640" s="209"/>
    </row>
    <row r="641" spans="3:16" x14ac:dyDescent="0.25">
      <c r="C641" s="123"/>
      <c r="D641" s="142"/>
      <c r="E641" s="142"/>
      <c r="F641" s="208"/>
      <c r="G641" s="181"/>
      <c r="H641" s="209"/>
      <c r="I641" s="209"/>
      <c r="J641" s="209"/>
      <c r="K641" s="209"/>
      <c r="L641" s="209"/>
      <c r="M641" s="209"/>
      <c r="N641" s="209"/>
      <c r="O641" s="209"/>
      <c r="P641" s="209"/>
    </row>
    <row r="642" spans="3:16" x14ac:dyDescent="0.25">
      <c r="C642" s="123"/>
      <c r="D642" s="142"/>
      <c r="E642" s="142"/>
      <c r="F642" s="208"/>
      <c r="G642" s="181"/>
      <c r="H642" s="209"/>
      <c r="I642" s="209"/>
      <c r="J642" s="209"/>
      <c r="K642" s="209"/>
      <c r="L642" s="209"/>
      <c r="M642" s="209"/>
      <c r="N642" s="209"/>
      <c r="O642" s="209"/>
      <c r="P642" s="209"/>
    </row>
    <row r="643" spans="3:16" x14ac:dyDescent="0.25">
      <c r="C643" s="123"/>
      <c r="D643" s="142"/>
      <c r="E643" s="142"/>
      <c r="F643" s="208"/>
      <c r="G643" s="181"/>
      <c r="H643" s="209"/>
      <c r="I643" s="209"/>
      <c r="J643" s="209"/>
      <c r="K643" s="209"/>
      <c r="L643" s="209"/>
      <c r="M643" s="209"/>
      <c r="N643" s="209"/>
      <c r="O643" s="209"/>
      <c r="P643" s="209"/>
    </row>
    <row r="644" spans="3:16" x14ac:dyDescent="0.25">
      <c r="C644" s="123"/>
      <c r="D644" s="142"/>
      <c r="E644" s="142"/>
      <c r="F644" s="208"/>
      <c r="G644" s="181"/>
      <c r="H644" s="209"/>
      <c r="I644" s="209"/>
      <c r="J644" s="209"/>
      <c r="K644" s="209"/>
      <c r="L644" s="209"/>
      <c r="M644" s="209"/>
      <c r="N644" s="209"/>
      <c r="O644" s="209"/>
      <c r="P644" s="209"/>
    </row>
    <row r="645" spans="3:16" x14ac:dyDescent="0.25">
      <c r="C645" s="123"/>
      <c r="D645" s="142"/>
      <c r="E645" s="142"/>
      <c r="F645" s="208"/>
      <c r="G645" s="181"/>
      <c r="H645" s="209"/>
      <c r="I645" s="209"/>
      <c r="J645" s="209"/>
      <c r="K645" s="209"/>
      <c r="L645" s="209"/>
      <c r="M645" s="209"/>
      <c r="N645" s="209"/>
      <c r="O645" s="209"/>
      <c r="P645" s="209"/>
    </row>
    <row r="646" spans="3:16" x14ac:dyDescent="0.25">
      <c r="C646" s="123"/>
      <c r="D646" s="142"/>
      <c r="E646" s="142"/>
      <c r="F646" s="208"/>
      <c r="G646" s="181"/>
      <c r="H646" s="209"/>
      <c r="I646" s="209"/>
      <c r="J646" s="209"/>
      <c r="K646" s="209"/>
      <c r="L646" s="209"/>
      <c r="M646" s="209"/>
      <c r="N646" s="209"/>
      <c r="O646" s="209"/>
      <c r="P646" s="209"/>
    </row>
    <row r="647" spans="3:16" x14ac:dyDescent="0.25">
      <c r="C647" s="123"/>
      <c r="D647" s="142"/>
      <c r="E647" s="142"/>
      <c r="F647" s="208"/>
      <c r="G647" s="181"/>
      <c r="H647" s="209"/>
      <c r="I647" s="209"/>
      <c r="J647" s="209"/>
      <c r="K647" s="209"/>
      <c r="L647" s="209"/>
      <c r="M647" s="209"/>
      <c r="N647" s="209"/>
      <c r="O647" s="209"/>
      <c r="P647" s="209"/>
    </row>
    <row r="648" spans="3:16" x14ac:dyDescent="0.25">
      <c r="C648" s="123"/>
      <c r="D648" s="142"/>
      <c r="E648" s="142"/>
      <c r="F648" s="208"/>
      <c r="G648" s="181"/>
      <c r="H648" s="209"/>
      <c r="I648" s="209"/>
      <c r="J648" s="209"/>
      <c r="K648" s="209"/>
      <c r="L648" s="209"/>
      <c r="M648" s="209"/>
      <c r="N648" s="209"/>
      <c r="O648" s="209"/>
      <c r="P648" s="209"/>
    </row>
    <row r="649" spans="3:16" x14ac:dyDescent="0.25">
      <c r="C649" s="123"/>
      <c r="D649" s="142"/>
      <c r="E649" s="142"/>
      <c r="F649" s="208"/>
      <c r="G649" s="181"/>
      <c r="H649" s="209"/>
      <c r="I649" s="209"/>
      <c r="J649" s="209"/>
      <c r="K649" s="209"/>
      <c r="L649" s="209"/>
      <c r="M649" s="209"/>
      <c r="N649" s="209"/>
      <c r="O649" s="209"/>
      <c r="P649" s="209"/>
    </row>
    <row r="650" spans="3:16" x14ac:dyDescent="0.25">
      <c r="C650" s="123"/>
      <c r="D650" s="142"/>
      <c r="E650" s="142"/>
      <c r="F650" s="208"/>
      <c r="G650" s="181"/>
      <c r="H650" s="209"/>
      <c r="I650" s="209"/>
      <c r="J650" s="209"/>
      <c r="K650" s="209"/>
      <c r="L650" s="209"/>
      <c r="M650" s="209"/>
      <c r="N650" s="209"/>
      <c r="O650" s="209"/>
      <c r="P650" s="209"/>
    </row>
    <row r="651" spans="3:16" x14ac:dyDescent="0.25">
      <c r="C651" s="123"/>
      <c r="D651" s="142"/>
      <c r="E651" s="142"/>
      <c r="F651" s="208"/>
      <c r="G651" s="181"/>
      <c r="H651" s="209"/>
      <c r="I651" s="209"/>
      <c r="J651" s="209"/>
      <c r="K651" s="209"/>
      <c r="L651" s="209"/>
      <c r="M651" s="209"/>
      <c r="N651" s="209"/>
      <c r="O651" s="209"/>
      <c r="P651" s="209"/>
    </row>
    <row r="652" spans="3:16" x14ac:dyDescent="0.25">
      <c r="C652" s="123"/>
      <c r="D652" s="142"/>
      <c r="E652" s="142"/>
      <c r="F652" s="208"/>
      <c r="G652" s="181"/>
      <c r="H652" s="209"/>
      <c r="I652" s="209"/>
      <c r="J652" s="209"/>
      <c r="K652" s="209"/>
      <c r="L652" s="209"/>
      <c r="M652" s="209"/>
      <c r="N652" s="209"/>
      <c r="O652" s="209"/>
      <c r="P652" s="209"/>
    </row>
    <row r="653" spans="3:16" x14ac:dyDescent="0.25">
      <c r="C653" s="123"/>
      <c r="D653" s="142"/>
      <c r="E653" s="142"/>
      <c r="F653" s="208"/>
      <c r="G653" s="181"/>
      <c r="H653" s="209"/>
      <c r="I653" s="209"/>
      <c r="J653" s="209"/>
      <c r="K653" s="209"/>
      <c r="L653" s="209"/>
      <c r="M653" s="209"/>
      <c r="N653" s="209"/>
      <c r="O653" s="209"/>
      <c r="P653" s="209"/>
    </row>
    <row r="654" spans="3:16" x14ac:dyDescent="0.25">
      <c r="C654" s="123"/>
      <c r="D654" s="142"/>
      <c r="E654" s="142"/>
      <c r="F654" s="208"/>
      <c r="G654" s="181"/>
      <c r="H654" s="209"/>
      <c r="I654" s="209"/>
      <c r="J654" s="209"/>
      <c r="K654" s="209"/>
      <c r="L654" s="209"/>
      <c r="M654" s="209"/>
      <c r="N654" s="209"/>
      <c r="O654" s="209"/>
      <c r="P654" s="209"/>
    </row>
    <row r="655" spans="3:16" x14ac:dyDescent="0.25">
      <c r="C655" s="123"/>
      <c r="D655" s="142"/>
      <c r="E655" s="142"/>
      <c r="F655" s="208"/>
      <c r="G655" s="181"/>
      <c r="H655" s="209"/>
      <c r="I655" s="209"/>
      <c r="J655" s="209"/>
      <c r="K655" s="209"/>
      <c r="L655" s="209"/>
      <c r="M655" s="209"/>
      <c r="N655" s="209"/>
      <c r="O655" s="209"/>
      <c r="P655" s="209"/>
    </row>
    <row r="656" spans="3:16" x14ac:dyDescent="0.25">
      <c r="C656" s="123"/>
      <c r="D656" s="142"/>
      <c r="E656" s="142"/>
      <c r="F656" s="208"/>
      <c r="G656" s="181"/>
      <c r="H656" s="209"/>
      <c r="I656" s="209"/>
      <c r="J656" s="209"/>
      <c r="K656" s="209"/>
      <c r="L656" s="209"/>
      <c r="M656" s="209"/>
      <c r="N656" s="209"/>
      <c r="O656" s="209"/>
      <c r="P656" s="209"/>
    </row>
    <row r="657" spans="3:16" x14ac:dyDescent="0.25">
      <c r="C657" s="123"/>
      <c r="D657" s="142"/>
      <c r="E657" s="142"/>
      <c r="F657" s="208"/>
      <c r="G657" s="181"/>
      <c r="H657" s="209"/>
      <c r="I657" s="209"/>
      <c r="J657" s="209"/>
      <c r="K657" s="209"/>
      <c r="L657" s="209"/>
      <c r="M657" s="209"/>
      <c r="N657" s="209"/>
      <c r="O657" s="209"/>
      <c r="P657" s="209"/>
    </row>
    <row r="658" spans="3:16" x14ac:dyDescent="0.25">
      <c r="C658" s="123"/>
      <c r="D658" s="142"/>
      <c r="E658" s="142"/>
      <c r="F658" s="208"/>
      <c r="G658" s="181"/>
      <c r="H658" s="209"/>
      <c r="I658" s="209"/>
      <c r="J658" s="209"/>
      <c r="K658" s="209"/>
      <c r="L658" s="209"/>
      <c r="M658" s="209"/>
      <c r="N658" s="209"/>
      <c r="O658" s="209"/>
      <c r="P658" s="209"/>
    </row>
    <row r="659" spans="3:16" x14ac:dyDescent="0.25">
      <c r="C659" s="123"/>
      <c r="D659" s="142"/>
      <c r="E659" s="142"/>
      <c r="F659" s="208"/>
      <c r="G659" s="181"/>
      <c r="H659" s="209"/>
      <c r="I659" s="209"/>
      <c r="J659" s="209"/>
      <c r="K659" s="209"/>
      <c r="L659" s="209"/>
      <c r="M659" s="209"/>
      <c r="N659" s="209"/>
      <c r="O659" s="209"/>
      <c r="P659" s="209"/>
    </row>
    <row r="660" spans="3:16" x14ac:dyDescent="0.25">
      <c r="C660" s="123"/>
      <c r="D660" s="142"/>
      <c r="E660" s="142"/>
      <c r="F660" s="208"/>
      <c r="G660" s="181"/>
      <c r="H660" s="209"/>
      <c r="I660" s="209"/>
      <c r="J660" s="209"/>
      <c r="K660" s="209"/>
      <c r="L660" s="209"/>
      <c r="M660" s="209"/>
      <c r="N660" s="209"/>
      <c r="O660" s="209"/>
      <c r="P660" s="209"/>
    </row>
    <row r="661" spans="3:16" x14ac:dyDescent="0.25">
      <c r="C661" s="123"/>
      <c r="D661" s="142"/>
      <c r="E661" s="142"/>
      <c r="F661" s="208"/>
      <c r="G661" s="181"/>
      <c r="H661" s="209"/>
      <c r="I661" s="209"/>
      <c r="J661" s="209"/>
      <c r="K661" s="209"/>
      <c r="L661" s="209"/>
      <c r="M661" s="209"/>
      <c r="N661" s="209"/>
      <c r="O661" s="209"/>
      <c r="P661" s="209"/>
    </row>
    <row r="662" spans="3:16" x14ac:dyDescent="0.25">
      <c r="C662" s="123"/>
      <c r="D662" s="142"/>
      <c r="E662" s="142"/>
      <c r="F662" s="208"/>
      <c r="G662" s="181"/>
      <c r="H662" s="209"/>
      <c r="I662" s="209"/>
      <c r="J662" s="209"/>
      <c r="K662" s="209"/>
      <c r="L662" s="209"/>
      <c r="M662" s="209"/>
      <c r="N662" s="209"/>
      <c r="O662" s="209"/>
      <c r="P662" s="209"/>
    </row>
    <row r="663" spans="3:16" x14ac:dyDescent="0.25">
      <c r="C663" s="123"/>
      <c r="D663" s="142"/>
      <c r="E663" s="142"/>
      <c r="F663" s="208"/>
      <c r="G663" s="181"/>
      <c r="H663" s="209"/>
      <c r="I663" s="209"/>
      <c r="J663" s="209"/>
      <c r="K663" s="209"/>
      <c r="L663" s="209"/>
      <c r="M663" s="209"/>
      <c r="N663" s="209"/>
      <c r="O663" s="209"/>
      <c r="P663" s="209"/>
    </row>
    <row r="664" spans="3:16" x14ac:dyDescent="0.25">
      <c r="C664" s="123"/>
      <c r="D664" s="142"/>
      <c r="E664" s="142"/>
      <c r="F664" s="208"/>
      <c r="G664" s="181"/>
      <c r="H664" s="209"/>
      <c r="I664" s="209"/>
      <c r="J664" s="209"/>
      <c r="K664" s="209"/>
      <c r="L664" s="209"/>
      <c r="M664" s="209"/>
      <c r="N664" s="209"/>
      <c r="O664" s="209"/>
      <c r="P664" s="209"/>
    </row>
    <row r="665" spans="3:16" x14ac:dyDescent="0.25">
      <c r="C665" s="123"/>
      <c r="D665" s="142"/>
      <c r="E665" s="142"/>
      <c r="F665" s="208"/>
      <c r="G665" s="181"/>
      <c r="H665" s="209"/>
      <c r="I665" s="209"/>
      <c r="J665" s="209"/>
      <c r="K665" s="209"/>
      <c r="L665" s="209"/>
      <c r="M665" s="209"/>
      <c r="N665" s="209"/>
      <c r="O665" s="209"/>
      <c r="P665" s="209"/>
    </row>
    <row r="666" spans="3:16" x14ac:dyDescent="0.25">
      <c r="C666" s="123"/>
      <c r="D666" s="142"/>
      <c r="E666" s="142"/>
      <c r="F666" s="208"/>
      <c r="G666" s="181"/>
      <c r="H666" s="209"/>
      <c r="I666" s="209"/>
      <c r="J666" s="209"/>
      <c r="K666" s="209"/>
      <c r="L666" s="209"/>
      <c r="M666" s="209"/>
      <c r="N666" s="209"/>
      <c r="O666" s="209"/>
      <c r="P666" s="209"/>
    </row>
    <row r="667" spans="3:16" x14ac:dyDescent="0.25">
      <c r="C667" s="123"/>
      <c r="D667" s="142"/>
      <c r="E667" s="142"/>
      <c r="F667" s="208"/>
      <c r="G667" s="181"/>
      <c r="H667" s="209"/>
      <c r="I667" s="209"/>
      <c r="J667" s="209"/>
      <c r="K667" s="209"/>
      <c r="L667" s="209"/>
      <c r="M667" s="209"/>
      <c r="N667" s="209"/>
      <c r="O667" s="209"/>
      <c r="P667" s="209"/>
    </row>
    <row r="668" spans="3:16" x14ac:dyDescent="0.25">
      <c r="C668" s="123"/>
      <c r="D668" s="142"/>
      <c r="E668" s="142"/>
      <c r="F668" s="208"/>
      <c r="G668" s="181"/>
      <c r="H668" s="209"/>
      <c r="I668" s="209"/>
      <c r="J668" s="209"/>
      <c r="K668" s="209"/>
      <c r="L668" s="209"/>
      <c r="M668" s="209"/>
      <c r="N668" s="209"/>
      <c r="O668" s="209"/>
      <c r="P668" s="209"/>
    </row>
    <row r="669" spans="3:16" x14ac:dyDescent="0.25">
      <c r="C669" s="123"/>
      <c r="D669" s="142"/>
      <c r="E669" s="142"/>
      <c r="F669" s="208"/>
      <c r="G669" s="181"/>
      <c r="H669" s="209"/>
      <c r="I669" s="209"/>
      <c r="J669" s="209"/>
      <c r="K669" s="209"/>
      <c r="L669" s="209"/>
      <c r="M669" s="209"/>
      <c r="N669" s="209"/>
      <c r="O669" s="209"/>
      <c r="P669" s="209"/>
    </row>
    <row r="670" spans="3:16" x14ac:dyDescent="0.25">
      <c r="C670" s="123"/>
      <c r="D670" s="142"/>
      <c r="E670" s="142"/>
      <c r="F670" s="208"/>
      <c r="G670" s="181"/>
      <c r="H670" s="209"/>
      <c r="I670" s="209"/>
      <c r="J670" s="209"/>
      <c r="K670" s="209"/>
      <c r="L670" s="209"/>
      <c r="M670" s="209"/>
      <c r="N670" s="209"/>
      <c r="O670" s="209"/>
      <c r="P670" s="209"/>
    </row>
    <row r="671" spans="3:16" x14ac:dyDescent="0.25">
      <c r="C671" s="123"/>
      <c r="D671" s="142"/>
      <c r="E671" s="142"/>
      <c r="F671" s="208"/>
      <c r="G671" s="181"/>
      <c r="H671" s="209"/>
      <c r="I671" s="209"/>
      <c r="J671" s="209"/>
      <c r="K671" s="209"/>
      <c r="L671" s="209"/>
      <c r="M671" s="209"/>
      <c r="N671" s="209"/>
      <c r="O671" s="209"/>
      <c r="P671" s="209"/>
    </row>
    <row r="672" spans="3:16" x14ac:dyDescent="0.25">
      <c r="C672" s="123"/>
      <c r="D672" s="142"/>
      <c r="E672" s="142"/>
      <c r="F672" s="208"/>
      <c r="G672" s="181"/>
      <c r="H672" s="209"/>
      <c r="I672" s="209"/>
      <c r="J672" s="209"/>
      <c r="K672" s="209"/>
      <c r="L672" s="209"/>
      <c r="M672" s="209"/>
      <c r="N672" s="209"/>
      <c r="O672" s="209"/>
      <c r="P672" s="209"/>
    </row>
    <row r="673" spans="3:16" x14ac:dyDescent="0.25">
      <c r="C673" s="123"/>
      <c r="D673" s="142"/>
      <c r="E673" s="142"/>
      <c r="F673" s="208"/>
      <c r="G673" s="181"/>
      <c r="H673" s="209"/>
      <c r="I673" s="209"/>
      <c r="J673" s="209"/>
      <c r="K673" s="209"/>
      <c r="L673" s="209"/>
      <c r="M673" s="209"/>
      <c r="N673" s="209"/>
      <c r="O673" s="209"/>
      <c r="P673" s="209"/>
    </row>
    <row r="674" spans="3:16" x14ac:dyDescent="0.25">
      <c r="C674" s="123"/>
      <c r="D674" s="142"/>
      <c r="E674" s="142"/>
      <c r="F674" s="208"/>
      <c r="G674" s="181"/>
      <c r="H674" s="209"/>
      <c r="I674" s="209"/>
      <c r="J674" s="209"/>
      <c r="K674" s="209"/>
      <c r="L674" s="209"/>
      <c r="M674" s="209"/>
      <c r="N674" s="209"/>
      <c r="O674" s="209"/>
      <c r="P674" s="209"/>
    </row>
    <row r="675" spans="3:16" x14ac:dyDescent="0.25">
      <c r="C675" s="123"/>
      <c r="D675" s="142"/>
      <c r="E675" s="142"/>
      <c r="F675" s="208"/>
      <c r="G675" s="181"/>
      <c r="H675" s="209"/>
      <c r="I675" s="209"/>
      <c r="J675" s="209"/>
      <c r="K675" s="209"/>
      <c r="L675" s="209"/>
      <c r="M675" s="209"/>
      <c r="N675" s="209"/>
      <c r="O675" s="209"/>
      <c r="P675" s="209"/>
    </row>
    <row r="676" spans="3:16" x14ac:dyDescent="0.25">
      <c r="C676" s="123"/>
      <c r="D676" s="142"/>
      <c r="E676" s="142"/>
      <c r="F676" s="208"/>
      <c r="G676" s="181"/>
      <c r="H676" s="209"/>
      <c r="I676" s="209"/>
      <c r="J676" s="209"/>
      <c r="K676" s="209"/>
      <c r="L676" s="209"/>
      <c r="M676" s="209"/>
      <c r="N676" s="209"/>
      <c r="O676" s="209"/>
      <c r="P676" s="209"/>
    </row>
    <row r="677" spans="3:16" x14ac:dyDescent="0.25">
      <c r="C677" s="123"/>
      <c r="D677" s="142"/>
      <c r="E677" s="142"/>
      <c r="F677" s="208"/>
      <c r="G677" s="181"/>
      <c r="H677" s="209"/>
      <c r="I677" s="209"/>
      <c r="J677" s="209"/>
      <c r="K677" s="209"/>
      <c r="L677" s="209"/>
      <c r="M677" s="209"/>
      <c r="N677" s="209"/>
      <c r="O677" s="209"/>
      <c r="P677" s="209"/>
    </row>
    <row r="678" spans="3:16" x14ac:dyDescent="0.25">
      <c r="C678" s="123"/>
      <c r="D678" s="142"/>
      <c r="E678" s="142"/>
      <c r="F678" s="208"/>
      <c r="G678" s="181"/>
      <c r="H678" s="209"/>
      <c r="I678" s="209"/>
      <c r="J678" s="209"/>
      <c r="K678" s="209"/>
      <c r="L678" s="209"/>
      <c r="M678" s="209"/>
      <c r="N678" s="209"/>
      <c r="O678" s="209"/>
      <c r="P678" s="209"/>
    </row>
    <row r="679" spans="3:16" x14ac:dyDescent="0.25">
      <c r="C679" s="123"/>
      <c r="D679" s="142"/>
      <c r="E679" s="142"/>
      <c r="F679" s="208"/>
      <c r="G679" s="181"/>
      <c r="H679" s="209"/>
      <c r="I679" s="209"/>
      <c r="J679" s="209"/>
      <c r="K679" s="209"/>
      <c r="L679" s="209"/>
      <c r="M679" s="209"/>
      <c r="N679" s="209"/>
      <c r="O679" s="209"/>
      <c r="P679" s="209"/>
    </row>
    <row r="680" spans="3:16" x14ac:dyDescent="0.25">
      <c r="C680" s="123"/>
      <c r="D680" s="142"/>
      <c r="E680" s="142"/>
      <c r="F680" s="208"/>
      <c r="G680" s="181"/>
      <c r="H680" s="209"/>
      <c r="I680" s="209"/>
      <c r="J680" s="209"/>
      <c r="K680" s="209"/>
      <c r="L680" s="209"/>
      <c r="M680" s="209"/>
      <c r="N680" s="209"/>
      <c r="O680" s="209"/>
      <c r="P680" s="209"/>
    </row>
    <row r="681" spans="3:16" x14ac:dyDescent="0.25">
      <c r="C681" s="123"/>
      <c r="D681" s="142"/>
      <c r="E681" s="142"/>
      <c r="F681" s="208"/>
      <c r="G681" s="181"/>
      <c r="H681" s="209"/>
      <c r="I681" s="209"/>
      <c r="J681" s="209"/>
      <c r="K681" s="209"/>
      <c r="L681" s="209"/>
      <c r="M681" s="209"/>
      <c r="N681" s="209"/>
      <c r="O681" s="209"/>
      <c r="P681" s="209"/>
    </row>
    <row r="682" spans="3:16" x14ac:dyDescent="0.25">
      <c r="C682" s="123"/>
      <c r="D682" s="142"/>
      <c r="E682" s="142"/>
      <c r="F682" s="208"/>
      <c r="G682" s="181"/>
      <c r="H682" s="209"/>
      <c r="I682" s="209"/>
      <c r="J682" s="209"/>
      <c r="K682" s="209"/>
      <c r="L682" s="209"/>
      <c r="M682" s="209"/>
      <c r="N682" s="209"/>
      <c r="O682" s="209"/>
      <c r="P682" s="209"/>
    </row>
    <row r="683" spans="3:16" x14ac:dyDescent="0.25">
      <c r="C683" s="123"/>
      <c r="D683" s="142"/>
      <c r="E683" s="142"/>
      <c r="F683" s="208"/>
      <c r="G683" s="181"/>
      <c r="H683" s="209"/>
      <c r="I683" s="209"/>
      <c r="J683" s="209"/>
      <c r="K683" s="209"/>
      <c r="L683" s="209"/>
      <c r="M683" s="209"/>
      <c r="N683" s="209"/>
      <c r="O683" s="209"/>
      <c r="P683" s="209"/>
    </row>
    <row r="684" spans="3:16" x14ac:dyDescent="0.25">
      <c r="C684" s="123"/>
      <c r="D684" s="142"/>
      <c r="E684" s="142"/>
      <c r="F684" s="208"/>
      <c r="G684" s="181"/>
      <c r="H684" s="209"/>
      <c r="I684" s="209"/>
      <c r="J684" s="209"/>
      <c r="K684" s="209"/>
      <c r="L684" s="209"/>
      <c r="M684" s="209"/>
      <c r="N684" s="209"/>
      <c r="O684" s="209"/>
      <c r="P684" s="209"/>
    </row>
    <row r="685" spans="3:16" x14ac:dyDescent="0.25">
      <c r="C685" s="123"/>
      <c r="D685" s="142"/>
      <c r="E685" s="142"/>
      <c r="F685" s="208"/>
      <c r="G685" s="181"/>
      <c r="H685" s="209"/>
      <c r="I685" s="209"/>
      <c r="J685" s="209"/>
      <c r="K685" s="209"/>
      <c r="L685" s="209"/>
      <c r="M685" s="209"/>
      <c r="N685" s="209"/>
      <c r="O685" s="209"/>
      <c r="P685" s="209"/>
    </row>
    <row r="686" spans="3:16" x14ac:dyDescent="0.25">
      <c r="C686" s="123"/>
      <c r="D686" s="142"/>
      <c r="E686" s="142"/>
      <c r="F686" s="208"/>
      <c r="G686" s="181"/>
      <c r="H686" s="209"/>
      <c r="I686" s="209"/>
      <c r="J686" s="209"/>
      <c r="K686" s="209"/>
      <c r="L686" s="209"/>
      <c r="M686" s="209"/>
      <c r="N686" s="209"/>
      <c r="O686" s="209"/>
      <c r="P686" s="209"/>
    </row>
    <row r="687" spans="3:16" x14ac:dyDescent="0.25">
      <c r="C687" s="123"/>
      <c r="D687" s="142"/>
      <c r="E687" s="142"/>
      <c r="F687" s="208"/>
      <c r="G687" s="181"/>
      <c r="H687" s="209"/>
      <c r="I687" s="209"/>
      <c r="J687" s="209"/>
      <c r="K687" s="209"/>
      <c r="L687" s="209"/>
      <c r="M687" s="209"/>
      <c r="N687" s="209"/>
      <c r="O687" s="209"/>
      <c r="P687" s="209"/>
    </row>
    <row r="688" spans="3:16" x14ac:dyDescent="0.25">
      <c r="C688" s="123"/>
      <c r="D688" s="142"/>
      <c r="E688" s="142"/>
      <c r="F688" s="208"/>
      <c r="G688" s="181"/>
      <c r="H688" s="209"/>
      <c r="I688" s="209"/>
      <c r="J688" s="209"/>
      <c r="K688" s="209"/>
      <c r="L688" s="209"/>
      <c r="M688" s="209"/>
      <c r="N688" s="209"/>
      <c r="O688" s="209"/>
      <c r="P688" s="209"/>
    </row>
    <row r="689" spans="3:16" x14ac:dyDescent="0.25">
      <c r="C689" s="123"/>
      <c r="D689" s="142"/>
      <c r="E689" s="142"/>
      <c r="F689" s="208"/>
      <c r="G689" s="181"/>
      <c r="H689" s="209"/>
      <c r="I689" s="209"/>
      <c r="J689" s="209"/>
      <c r="K689" s="209"/>
      <c r="L689" s="209"/>
      <c r="M689" s="209"/>
      <c r="N689" s="209"/>
      <c r="O689" s="209"/>
      <c r="P689" s="209"/>
    </row>
    <row r="690" spans="3:16" x14ac:dyDescent="0.25">
      <c r="C690" s="123"/>
      <c r="D690" s="142"/>
      <c r="E690" s="142"/>
      <c r="F690" s="208"/>
      <c r="G690" s="181"/>
      <c r="H690" s="209"/>
      <c r="I690" s="209"/>
      <c r="J690" s="209"/>
      <c r="K690" s="209"/>
      <c r="L690" s="209"/>
      <c r="M690" s="209"/>
      <c r="N690" s="209"/>
      <c r="O690" s="209"/>
      <c r="P690" s="209"/>
    </row>
    <row r="691" spans="3:16" x14ac:dyDescent="0.25">
      <c r="C691" s="123"/>
      <c r="D691" s="142"/>
      <c r="E691" s="142"/>
      <c r="F691" s="208"/>
      <c r="G691" s="181"/>
      <c r="H691" s="209"/>
      <c r="I691" s="209"/>
      <c r="J691" s="209"/>
      <c r="K691" s="209"/>
      <c r="L691" s="209"/>
      <c r="M691" s="209"/>
      <c r="N691" s="209"/>
      <c r="O691" s="209"/>
      <c r="P691" s="209"/>
    </row>
    <row r="692" spans="3:16" x14ac:dyDescent="0.25">
      <c r="C692" s="123"/>
      <c r="D692" s="142"/>
      <c r="E692" s="142"/>
      <c r="F692" s="208"/>
      <c r="G692" s="181"/>
      <c r="H692" s="209"/>
      <c r="I692" s="209"/>
      <c r="J692" s="209"/>
      <c r="K692" s="209"/>
      <c r="L692" s="209"/>
      <c r="M692" s="209"/>
      <c r="N692" s="209"/>
      <c r="O692" s="209"/>
      <c r="P692" s="209"/>
    </row>
    <row r="693" spans="3:16" x14ac:dyDescent="0.25">
      <c r="C693" s="123"/>
      <c r="D693" s="142"/>
      <c r="E693" s="142"/>
      <c r="F693" s="208"/>
      <c r="G693" s="181"/>
      <c r="H693" s="209"/>
      <c r="I693" s="209"/>
      <c r="J693" s="209"/>
      <c r="K693" s="209"/>
      <c r="L693" s="209"/>
      <c r="M693" s="209"/>
      <c r="N693" s="209"/>
      <c r="O693" s="209"/>
      <c r="P693" s="209"/>
    </row>
    <row r="694" spans="3:16" x14ac:dyDescent="0.25">
      <c r="C694" s="123"/>
      <c r="D694" s="142"/>
      <c r="E694" s="142"/>
      <c r="F694" s="208"/>
      <c r="G694" s="181"/>
      <c r="H694" s="209"/>
      <c r="I694" s="209"/>
      <c r="J694" s="209"/>
      <c r="K694" s="209"/>
      <c r="L694" s="209"/>
      <c r="M694" s="209"/>
      <c r="N694" s="209"/>
      <c r="O694" s="209"/>
      <c r="P694" s="209"/>
    </row>
    <row r="695" spans="3:16" x14ac:dyDescent="0.25">
      <c r="C695" s="123"/>
      <c r="D695" s="142"/>
      <c r="E695" s="142"/>
      <c r="F695" s="208"/>
      <c r="G695" s="181"/>
      <c r="H695" s="209"/>
      <c r="I695" s="209"/>
      <c r="J695" s="209"/>
      <c r="K695" s="209"/>
      <c r="L695" s="209"/>
      <c r="M695" s="209"/>
      <c r="N695" s="209"/>
      <c r="O695" s="209"/>
      <c r="P695" s="209"/>
    </row>
    <row r="696" spans="3:16" x14ac:dyDescent="0.25">
      <c r="C696" s="123"/>
      <c r="D696" s="142"/>
      <c r="E696" s="142"/>
      <c r="F696" s="208"/>
      <c r="G696" s="181"/>
      <c r="H696" s="209"/>
      <c r="I696" s="209"/>
      <c r="J696" s="209"/>
      <c r="K696" s="209"/>
      <c r="L696" s="209"/>
      <c r="M696" s="209"/>
      <c r="N696" s="209"/>
      <c r="O696" s="209"/>
      <c r="P696" s="209"/>
    </row>
    <row r="697" spans="3:16" x14ac:dyDescent="0.25">
      <c r="C697" s="123"/>
      <c r="D697" s="142"/>
      <c r="E697" s="142"/>
      <c r="F697" s="208"/>
      <c r="G697" s="181"/>
      <c r="H697" s="209"/>
      <c r="I697" s="209"/>
      <c r="J697" s="209"/>
      <c r="K697" s="209"/>
      <c r="L697" s="209"/>
      <c r="M697" s="209"/>
      <c r="N697" s="209"/>
      <c r="O697" s="209"/>
      <c r="P697" s="209"/>
    </row>
    <row r="698" spans="3:16" x14ac:dyDescent="0.25">
      <c r="C698" s="123"/>
      <c r="D698" s="142"/>
      <c r="E698" s="142"/>
      <c r="F698" s="208"/>
      <c r="G698" s="181"/>
      <c r="H698" s="209"/>
      <c r="I698" s="209"/>
      <c r="J698" s="209"/>
      <c r="K698" s="209"/>
      <c r="L698" s="209"/>
      <c r="M698" s="209"/>
      <c r="N698" s="209"/>
      <c r="O698" s="209"/>
      <c r="P698" s="209"/>
    </row>
    <row r="699" spans="3:16" x14ac:dyDescent="0.25">
      <c r="C699" s="123"/>
      <c r="D699" s="142"/>
      <c r="E699" s="142"/>
      <c r="F699" s="208"/>
      <c r="G699" s="181"/>
      <c r="H699" s="209"/>
      <c r="I699" s="209"/>
      <c r="J699" s="209"/>
      <c r="K699" s="209"/>
      <c r="L699" s="209"/>
      <c r="M699" s="209"/>
      <c r="N699" s="209"/>
      <c r="O699" s="209"/>
      <c r="P699" s="209"/>
    </row>
    <row r="700" spans="3:16" x14ac:dyDescent="0.25">
      <c r="C700" s="123"/>
      <c r="D700" s="142"/>
      <c r="E700" s="142"/>
      <c r="F700" s="208"/>
      <c r="G700" s="181"/>
      <c r="H700" s="209"/>
      <c r="I700" s="209"/>
      <c r="J700" s="209"/>
      <c r="K700" s="209"/>
      <c r="L700" s="209"/>
      <c r="M700" s="209"/>
      <c r="N700" s="209"/>
      <c r="O700" s="209"/>
      <c r="P700" s="209"/>
    </row>
    <row r="701" spans="3:16" x14ac:dyDescent="0.25">
      <c r="C701" s="123"/>
      <c r="D701" s="142"/>
      <c r="E701" s="142"/>
      <c r="F701" s="208"/>
      <c r="G701" s="181"/>
      <c r="H701" s="209"/>
      <c r="I701" s="209"/>
      <c r="J701" s="209"/>
      <c r="K701" s="209"/>
      <c r="L701" s="209"/>
      <c r="M701" s="209"/>
      <c r="N701" s="209"/>
      <c r="O701" s="209"/>
      <c r="P701" s="209"/>
    </row>
    <row r="702" spans="3:16" x14ac:dyDescent="0.25">
      <c r="C702" s="123"/>
      <c r="D702" s="142"/>
      <c r="E702" s="142"/>
      <c r="F702" s="208"/>
      <c r="G702" s="181"/>
      <c r="H702" s="209"/>
      <c r="I702" s="209"/>
      <c r="J702" s="209"/>
      <c r="K702" s="209"/>
      <c r="L702" s="209"/>
      <c r="M702" s="209"/>
      <c r="N702" s="209"/>
      <c r="O702" s="209"/>
      <c r="P702" s="209"/>
    </row>
    <row r="703" spans="3:16" x14ac:dyDescent="0.25">
      <c r="C703" s="123"/>
      <c r="D703" s="142"/>
      <c r="E703" s="142"/>
      <c r="F703" s="208"/>
      <c r="G703" s="181"/>
      <c r="H703" s="209"/>
      <c r="I703" s="209"/>
      <c r="J703" s="209"/>
      <c r="K703" s="209"/>
      <c r="L703" s="209"/>
      <c r="M703" s="209"/>
      <c r="N703" s="209"/>
      <c r="O703" s="209"/>
      <c r="P703" s="209"/>
    </row>
    <row r="704" spans="3:16" x14ac:dyDescent="0.25">
      <c r="C704" s="123"/>
      <c r="D704" s="142"/>
      <c r="E704" s="142"/>
      <c r="F704" s="208"/>
      <c r="G704" s="181"/>
      <c r="H704" s="209"/>
      <c r="I704" s="209"/>
      <c r="J704" s="209"/>
      <c r="K704" s="209"/>
      <c r="L704" s="209"/>
      <c r="M704" s="209"/>
      <c r="N704" s="209"/>
      <c r="O704" s="209"/>
      <c r="P704" s="209"/>
    </row>
    <row r="705" spans="3:16" x14ac:dyDescent="0.25">
      <c r="C705" s="123"/>
      <c r="D705" s="142"/>
      <c r="E705" s="142"/>
      <c r="F705" s="208"/>
      <c r="G705" s="181"/>
      <c r="H705" s="209"/>
      <c r="I705" s="209"/>
      <c r="J705" s="209"/>
      <c r="K705" s="209"/>
      <c r="L705" s="209"/>
      <c r="M705" s="209"/>
      <c r="N705" s="209"/>
      <c r="O705" s="209"/>
      <c r="P705" s="209"/>
    </row>
    <row r="706" spans="3:16" x14ac:dyDescent="0.25">
      <c r="C706" s="123"/>
      <c r="D706" s="142"/>
      <c r="E706" s="142"/>
      <c r="F706" s="208"/>
      <c r="G706" s="181"/>
      <c r="H706" s="209"/>
      <c r="I706" s="209"/>
      <c r="J706" s="209"/>
      <c r="K706" s="209"/>
      <c r="L706" s="209"/>
      <c r="M706" s="209"/>
      <c r="N706" s="209"/>
      <c r="O706" s="209"/>
      <c r="P706" s="209"/>
    </row>
    <row r="707" spans="3:16" x14ac:dyDescent="0.25">
      <c r="C707" s="123"/>
      <c r="D707" s="142"/>
      <c r="E707" s="142"/>
      <c r="F707" s="208"/>
      <c r="G707" s="181"/>
      <c r="H707" s="209"/>
      <c r="I707" s="209"/>
      <c r="J707" s="209"/>
      <c r="K707" s="209"/>
      <c r="L707" s="209"/>
      <c r="M707" s="209"/>
      <c r="N707" s="209"/>
      <c r="O707" s="209"/>
      <c r="P707" s="209"/>
    </row>
    <row r="708" spans="3:16" x14ac:dyDescent="0.25">
      <c r="C708" s="123"/>
      <c r="D708" s="142"/>
      <c r="E708" s="142"/>
      <c r="F708" s="208"/>
      <c r="G708" s="181"/>
      <c r="H708" s="209"/>
      <c r="I708" s="209"/>
      <c r="J708" s="209"/>
      <c r="K708" s="209"/>
      <c r="L708" s="209"/>
      <c r="M708" s="209"/>
      <c r="N708" s="209"/>
      <c r="O708" s="209"/>
      <c r="P708" s="209"/>
    </row>
    <row r="709" spans="3:16" x14ac:dyDescent="0.25">
      <c r="C709" s="123"/>
      <c r="D709" s="142"/>
      <c r="E709" s="142"/>
      <c r="F709" s="208"/>
      <c r="G709" s="181"/>
      <c r="H709" s="209"/>
      <c r="I709" s="209"/>
      <c r="J709" s="209"/>
      <c r="K709" s="209"/>
      <c r="L709" s="209"/>
      <c r="M709" s="209"/>
      <c r="N709" s="209"/>
      <c r="O709" s="209"/>
      <c r="P709" s="209"/>
    </row>
    <row r="710" spans="3:16" x14ac:dyDescent="0.25">
      <c r="C710" s="123"/>
      <c r="D710" s="142"/>
      <c r="E710" s="142"/>
      <c r="F710" s="208"/>
      <c r="G710" s="181"/>
      <c r="H710" s="209"/>
      <c r="I710" s="209"/>
      <c r="J710" s="209"/>
      <c r="K710" s="209"/>
      <c r="L710" s="209"/>
      <c r="M710" s="209"/>
      <c r="N710" s="209"/>
      <c r="O710" s="209"/>
      <c r="P710" s="209"/>
    </row>
    <row r="711" spans="3:16" x14ac:dyDescent="0.25">
      <c r="C711" s="123"/>
      <c r="D711" s="142"/>
      <c r="E711" s="142"/>
      <c r="F711" s="208"/>
      <c r="G711" s="181"/>
      <c r="H711" s="209"/>
      <c r="I711" s="209"/>
      <c r="J711" s="209"/>
      <c r="K711" s="209"/>
      <c r="L711" s="209"/>
      <c r="M711" s="209"/>
      <c r="N711" s="209"/>
      <c r="O711" s="209"/>
      <c r="P711" s="209"/>
    </row>
    <row r="712" spans="3:16" x14ac:dyDescent="0.25">
      <c r="C712" s="123"/>
      <c r="D712" s="142"/>
      <c r="E712" s="142"/>
      <c r="F712" s="208"/>
      <c r="G712" s="181"/>
      <c r="H712" s="209"/>
      <c r="I712" s="209"/>
      <c r="J712" s="209"/>
      <c r="K712" s="209"/>
      <c r="L712" s="209"/>
      <c r="M712" s="209"/>
      <c r="N712" s="209"/>
      <c r="O712" s="209"/>
      <c r="P712" s="209"/>
    </row>
    <row r="713" spans="3:16" x14ac:dyDescent="0.25">
      <c r="C713" s="123"/>
      <c r="D713" s="142"/>
      <c r="E713" s="142"/>
      <c r="F713" s="208"/>
      <c r="G713" s="181"/>
      <c r="H713" s="209"/>
      <c r="I713" s="209"/>
      <c r="J713" s="209"/>
      <c r="K713" s="209"/>
      <c r="L713" s="209"/>
      <c r="M713" s="209"/>
      <c r="N713" s="209"/>
      <c r="O713" s="209"/>
      <c r="P713" s="209"/>
    </row>
    <row r="714" spans="3:16" x14ac:dyDescent="0.25">
      <c r="C714" s="123"/>
      <c r="D714" s="142"/>
      <c r="E714" s="142"/>
      <c r="F714" s="208"/>
      <c r="G714" s="181"/>
      <c r="H714" s="209"/>
      <c r="I714" s="209"/>
      <c r="J714" s="209"/>
      <c r="K714" s="209"/>
      <c r="L714" s="209"/>
      <c r="M714" s="209"/>
      <c r="N714" s="209"/>
      <c r="O714" s="209"/>
      <c r="P714" s="209"/>
    </row>
    <row r="715" spans="3:16" x14ac:dyDescent="0.25">
      <c r="C715" s="123"/>
      <c r="D715" s="142"/>
      <c r="E715" s="142"/>
      <c r="F715" s="208"/>
      <c r="G715" s="181"/>
      <c r="H715" s="209"/>
      <c r="I715" s="209"/>
      <c r="J715" s="209"/>
      <c r="K715" s="209"/>
      <c r="L715" s="209"/>
      <c r="M715" s="209"/>
      <c r="N715" s="209"/>
      <c r="O715" s="209"/>
      <c r="P715" s="209"/>
    </row>
    <row r="716" spans="3:16" x14ac:dyDescent="0.25">
      <c r="C716" s="123"/>
      <c r="D716" s="142"/>
      <c r="E716" s="142"/>
      <c r="F716" s="208"/>
      <c r="G716" s="181"/>
      <c r="H716" s="209"/>
      <c r="I716" s="209"/>
      <c r="J716" s="209"/>
      <c r="K716" s="209"/>
      <c r="L716" s="209"/>
      <c r="M716" s="209"/>
      <c r="N716" s="209"/>
      <c r="O716" s="209"/>
      <c r="P716" s="209"/>
    </row>
    <row r="717" spans="3:16" x14ac:dyDescent="0.25">
      <c r="C717" s="123"/>
      <c r="D717" s="142"/>
      <c r="E717" s="142"/>
      <c r="F717" s="208"/>
      <c r="G717" s="181"/>
      <c r="H717" s="209"/>
      <c r="I717" s="209"/>
      <c r="J717" s="209"/>
      <c r="K717" s="209"/>
      <c r="L717" s="209"/>
      <c r="M717" s="209"/>
      <c r="N717" s="209"/>
      <c r="O717" s="209"/>
      <c r="P717" s="209"/>
    </row>
    <row r="718" spans="3:16" x14ac:dyDescent="0.25">
      <c r="C718" s="123"/>
      <c r="D718" s="142"/>
      <c r="E718" s="142"/>
      <c r="F718" s="208"/>
      <c r="G718" s="181"/>
      <c r="H718" s="209"/>
      <c r="I718" s="209"/>
      <c r="J718" s="209"/>
      <c r="K718" s="209"/>
      <c r="L718" s="209"/>
      <c r="M718" s="209"/>
      <c r="N718" s="209"/>
      <c r="O718" s="209"/>
      <c r="P718" s="209"/>
    </row>
    <row r="719" spans="3:16" x14ac:dyDescent="0.25">
      <c r="C719" s="123"/>
      <c r="D719" s="142"/>
      <c r="E719" s="142"/>
      <c r="F719" s="208"/>
      <c r="G719" s="181"/>
      <c r="H719" s="209"/>
      <c r="I719" s="209"/>
      <c r="J719" s="209"/>
      <c r="K719" s="209"/>
      <c r="L719" s="209"/>
      <c r="M719" s="209"/>
      <c r="N719" s="209"/>
      <c r="O719" s="209"/>
      <c r="P719" s="209"/>
    </row>
    <row r="720" spans="3:16" x14ac:dyDescent="0.25">
      <c r="C720" s="123"/>
      <c r="D720" s="142"/>
      <c r="E720" s="142"/>
      <c r="F720" s="208"/>
      <c r="G720" s="181"/>
      <c r="H720" s="209"/>
      <c r="I720" s="209"/>
      <c r="J720" s="209"/>
      <c r="K720" s="209"/>
      <c r="L720" s="209"/>
      <c r="M720" s="209"/>
      <c r="N720" s="209"/>
      <c r="O720" s="209"/>
      <c r="P720" s="209"/>
    </row>
    <row r="721" spans="3:16" x14ac:dyDescent="0.25">
      <c r="C721" s="123"/>
      <c r="D721" s="142"/>
      <c r="E721" s="142"/>
      <c r="F721" s="208"/>
      <c r="G721" s="181"/>
      <c r="H721" s="209"/>
      <c r="I721" s="209"/>
      <c r="J721" s="209"/>
      <c r="K721" s="209"/>
      <c r="L721" s="209"/>
      <c r="M721" s="209"/>
      <c r="N721" s="209"/>
      <c r="O721" s="209"/>
      <c r="P721" s="209"/>
    </row>
    <row r="722" spans="3:16" x14ac:dyDescent="0.25">
      <c r="C722" s="123"/>
      <c r="D722" s="142"/>
      <c r="E722" s="142"/>
      <c r="F722" s="208"/>
      <c r="G722" s="181"/>
      <c r="H722" s="209"/>
      <c r="I722" s="209"/>
      <c r="J722" s="209"/>
      <c r="K722" s="209"/>
      <c r="L722" s="209"/>
      <c r="M722" s="209"/>
      <c r="N722" s="209"/>
      <c r="O722" s="209"/>
      <c r="P722" s="209"/>
    </row>
    <row r="723" spans="3:16" x14ac:dyDescent="0.25">
      <c r="C723" s="123"/>
      <c r="D723" s="142"/>
      <c r="E723" s="142"/>
      <c r="F723" s="208"/>
      <c r="G723" s="181"/>
      <c r="H723" s="209"/>
      <c r="I723" s="209"/>
      <c r="J723" s="209"/>
      <c r="K723" s="209"/>
      <c r="L723" s="209"/>
      <c r="M723" s="209"/>
      <c r="N723" s="209"/>
      <c r="O723" s="209"/>
      <c r="P723" s="209"/>
    </row>
    <row r="724" spans="3:16" x14ac:dyDescent="0.25">
      <c r="C724" s="123"/>
      <c r="D724" s="142"/>
      <c r="E724" s="142"/>
      <c r="F724" s="208"/>
      <c r="G724" s="181"/>
      <c r="H724" s="209"/>
      <c r="I724" s="209"/>
      <c r="J724" s="209"/>
      <c r="K724" s="209"/>
      <c r="L724" s="209"/>
      <c r="M724" s="209"/>
      <c r="N724" s="209"/>
      <c r="O724" s="209"/>
      <c r="P724" s="209"/>
    </row>
    <row r="725" spans="3:16" x14ac:dyDescent="0.25">
      <c r="C725" s="123"/>
      <c r="D725" s="142"/>
      <c r="E725" s="142"/>
      <c r="F725" s="208"/>
      <c r="G725" s="181"/>
      <c r="H725" s="209"/>
      <c r="I725" s="209"/>
      <c r="J725" s="209"/>
      <c r="K725" s="209"/>
      <c r="L725" s="209"/>
      <c r="M725" s="209"/>
      <c r="N725" s="209"/>
      <c r="O725" s="209"/>
      <c r="P725" s="209"/>
    </row>
    <row r="726" spans="3:16" x14ac:dyDescent="0.25">
      <c r="C726" s="123"/>
      <c r="D726" s="142"/>
      <c r="E726" s="142"/>
      <c r="F726" s="208"/>
      <c r="G726" s="181"/>
      <c r="H726" s="209"/>
      <c r="I726" s="209"/>
      <c r="J726" s="209"/>
      <c r="K726" s="209"/>
      <c r="L726" s="209"/>
      <c r="M726" s="209"/>
      <c r="N726" s="209"/>
      <c r="O726" s="209"/>
      <c r="P726" s="209"/>
    </row>
    <row r="727" spans="3:16" x14ac:dyDescent="0.25">
      <c r="C727" s="123"/>
      <c r="D727" s="142"/>
      <c r="E727" s="142"/>
      <c r="F727" s="208"/>
      <c r="G727" s="181"/>
      <c r="H727" s="209"/>
      <c r="I727" s="209"/>
      <c r="J727" s="209"/>
      <c r="K727" s="209"/>
      <c r="L727" s="209"/>
      <c r="M727" s="209"/>
      <c r="N727" s="209"/>
      <c r="O727" s="209"/>
      <c r="P727" s="209"/>
    </row>
    <row r="728" spans="3:16" x14ac:dyDescent="0.25">
      <c r="C728" s="123"/>
      <c r="D728" s="142"/>
      <c r="E728" s="142"/>
      <c r="F728" s="208"/>
      <c r="G728" s="181"/>
      <c r="H728" s="209"/>
      <c r="I728" s="209"/>
      <c r="J728" s="209"/>
      <c r="K728" s="209"/>
      <c r="L728" s="209"/>
      <c r="M728" s="209"/>
      <c r="N728" s="209"/>
      <c r="O728" s="209"/>
      <c r="P728" s="209"/>
    </row>
    <row r="729" spans="3:16" x14ac:dyDescent="0.25">
      <c r="C729" s="123"/>
      <c r="D729" s="142"/>
      <c r="E729" s="142"/>
      <c r="F729" s="208"/>
      <c r="G729" s="181"/>
      <c r="H729" s="209"/>
      <c r="I729" s="209"/>
      <c r="J729" s="209"/>
      <c r="K729" s="209"/>
      <c r="L729" s="209"/>
      <c r="M729" s="209"/>
      <c r="N729" s="209"/>
      <c r="O729" s="209"/>
      <c r="P729" s="209"/>
    </row>
    <row r="730" spans="3:16" x14ac:dyDescent="0.25">
      <c r="C730" s="123"/>
      <c r="D730" s="142"/>
      <c r="E730" s="142"/>
      <c r="F730" s="208"/>
      <c r="G730" s="181"/>
      <c r="H730" s="209"/>
      <c r="I730" s="209"/>
      <c r="J730" s="209"/>
      <c r="K730" s="209"/>
      <c r="L730" s="209"/>
      <c r="M730" s="209"/>
      <c r="N730" s="209"/>
      <c r="O730" s="209"/>
      <c r="P730" s="209"/>
    </row>
    <row r="731" spans="3:16" x14ac:dyDescent="0.25">
      <c r="C731" s="123"/>
      <c r="D731" s="142"/>
      <c r="E731" s="142"/>
      <c r="F731" s="208"/>
      <c r="G731" s="181"/>
      <c r="H731" s="209"/>
      <c r="I731" s="209"/>
      <c r="J731" s="209"/>
      <c r="K731" s="209"/>
      <c r="L731" s="209"/>
      <c r="M731" s="209"/>
      <c r="N731" s="209"/>
      <c r="O731" s="209"/>
      <c r="P731" s="209"/>
    </row>
    <row r="732" spans="3:16" x14ac:dyDescent="0.25">
      <c r="C732" s="123"/>
      <c r="D732" s="142"/>
      <c r="E732" s="142"/>
      <c r="F732" s="208"/>
      <c r="G732" s="181"/>
      <c r="H732" s="209"/>
      <c r="I732" s="209"/>
      <c r="J732" s="209"/>
      <c r="K732" s="209"/>
      <c r="L732" s="209"/>
      <c r="M732" s="209"/>
      <c r="N732" s="209"/>
      <c r="O732" s="209"/>
      <c r="P732" s="209"/>
    </row>
    <row r="733" spans="3:16" x14ac:dyDescent="0.25">
      <c r="C733" s="123"/>
      <c r="D733" s="142"/>
      <c r="E733" s="142"/>
      <c r="F733" s="208"/>
      <c r="G733" s="181"/>
      <c r="H733" s="209"/>
      <c r="I733" s="209"/>
      <c r="J733" s="209"/>
      <c r="K733" s="209"/>
      <c r="L733" s="209"/>
      <c r="M733" s="209"/>
      <c r="N733" s="209"/>
      <c r="O733" s="209"/>
      <c r="P733" s="209"/>
    </row>
    <row r="734" spans="3:16" x14ac:dyDescent="0.25">
      <c r="C734" s="123"/>
      <c r="D734" s="142"/>
      <c r="E734" s="142"/>
      <c r="F734" s="208"/>
      <c r="G734" s="181"/>
      <c r="H734" s="209"/>
      <c r="I734" s="209"/>
      <c r="J734" s="209"/>
      <c r="K734" s="209"/>
      <c r="L734" s="209"/>
      <c r="M734" s="209"/>
      <c r="N734" s="209"/>
      <c r="O734" s="209"/>
      <c r="P734" s="209"/>
    </row>
    <row r="735" spans="3:16" x14ac:dyDescent="0.25">
      <c r="C735" s="123"/>
      <c r="D735" s="142"/>
      <c r="E735" s="142"/>
      <c r="F735" s="208"/>
      <c r="G735" s="181"/>
      <c r="H735" s="209"/>
      <c r="I735" s="209"/>
      <c r="J735" s="209"/>
      <c r="K735" s="209"/>
      <c r="L735" s="209"/>
      <c r="M735" s="209"/>
      <c r="N735" s="209"/>
      <c r="O735" s="209"/>
      <c r="P735" s="209"/>
    </row>
    <row r="736" spans="3:16" x14ac:dyDescent="0.25">
      <c r="C736" s="123"/>
      <c r="D736" s="142"/>
      <c r="E736" s="142"/>
      <c r="F736" s="208"/>
      <c r="G736" s="181"/>
      <c r="H736" s="209"/>
      <c r="I736" s="209"/>
      <c r="J736" s="209"/>
      <c r="K736" s="209"/>
      <c r="L736" s="209"/>
      <c r="M736" s="209"/>
      <c r="N736" s="209"/>
      <c r="O736" s="209"/>
      <c r="P736" s="209"/>
    </row>
    <row r="737" spans="3:16" x14ac:dyDescent="0.25">
      <c r="C737" s="123"/>
      <c r="D737" s="142"/>
      <c r="E737" s="142"/>
      <c r="F737" s="208"/>
      <c r="G737" s="181"/>
      <c r="H737" s="209"/>
      <c r="I737" s="209"/>
      <c r="J737" s="209"/>
      <c r="K737" s="209"/>
      <c r="L737" s="209"/>
      <c r="M737" s="209"/>
      <c r="N737" s="209"/>
      <c r="O737" s="209"/>
      <c r="P737" s="209"/>
    </row>
    <row r="738" spans="3:16" x14ac:dyDescent="0.25">
      <c r="C738" s="123"/>
      <c r="D738" s="142"/>
      <c r="E738" s="142"/>
      <c r="F738" s="208"/>
      <c r="G738" s="181"/>
      <c r="H738" s="209"/>
      <c r="I738" s="209"/>
      <c r="J738" s="209"/>
      <c r="K738" s="209"/>
      <c r="L738" s="209"/>
      <c r="M738" s="209"/>
      <c r="N738" s="209"/>
      <c r="O738" s="209"/>
      <c r="P738" s="209"/>
    </row>
    <row r="739" spans="3:16" x14ac:dyDescent="0.25">
      <c r="C739" s="123"/>
      <c r="D739" s="142"/>
      <c r="E739" s="142"/>
      <c r="F739" s="208"/>
      <c r="G739" s="181"/>
      <c r="H739" s="209"/>
      <c r="I739" s="209"/>
      <c r="J739" s="209"/>
      <c r="K739" s="209"/>
      <c r="L739" s="209"/>
      <c r="M739" s="209"/>
      <c r="N739" s="209"/>
      <c r="O739" s="209"/>
      <c r="P739" s="209"/>
    </row>
    <row r="740" spans="3:16" x14ac:dyDescent="0.25">
      <c r="C740" s="123"/>
      <c r="D740" s="142"/>
      <c r="E740" s="142"/>
      <c r="F740" s="208"/>
      <c r="G740" s="181"/>
      <c r="H740" s="209"/>
      <c r="I740" s="209"/>
      <c r="J740" s="209"/>
      <c r="K740" s="209"/>
      <c r="L740" s="209"/>
      <c r="M740" s="209"/>
      <c r="N740" s="209"/>
      <c r="O740" s="209"/>
      <c r="P740" s="209"/>
    </row>
    <row r="741" spans="3:16" x14ac:dyDescent="0.25">
      <c r="C741" s="123"/>
      <c r="D741" s="142"/>
      <c r="E741" s="142"/>
      <c r="F741" s="208"/>
      <c r="G741" s="181"/>
      <c r="H741" s="209"/>
      <c r="I741" s="209"/>
      <c r="J741" s="209"/>
      <c r="K741" s="209"/>
      <c r="L741" s="209"/>
      <c r="M741" s="209"/>
      <c r="N741" s="209"/>
      <c r="O741" s="209"/>
      <c r="P741" s="209"/>
    </row>
    <row r="742" spans="3:16" x14ac:dyDescent="0.25">
      <c r="C742" s="123"/>
      <c r="D742" s="142"/>
      <c r="E742" s="142"/>
      <c r="F742" s="208"/>
      <c r="G742" s="181"/>
      <c r="H742" s="209"/>
      <c r="I742" s="209"/>
      <c r="J742" s="209"/>
      <c r="K742" s="209"/>
      <c r="L742" s="209"/>
      <c r="M742" s="209"/>
      <c r="N742" s="209"/>
      <c r="O742" s="209"/>
      <c r="P742" s="209"/>
    </row>
    <row r="743" spans="3:16" x14ac:dyDescent="0.25">
      <c r="C743" s="123"/>
      <c r="D743" s="142"/>
      <c r="E743" s="142"/>
      <c r="F743" s="208"/>
      <c r="G743" s="181"/>
      <c r="H743" s="209"/>
      <c r="I743" s="209"/>
      <c r="J743" s="209"/>
      <c r="K743" s="209"/>
      <c r="L743" s="209"/>
      <c r="M743" s="209"/>
      <c r="N743" s="209"/>
      <c r="O743" s="209"/>
      <c r="P743" s="209"/>
    </row>
    <row r="744" spans="3:16" x14ac:dyDescent="0.25">
      <c r="C744" s="123"/>
      <c r="D744" s="142"/>
      <c r="E744" s="142"/>
      <c r="F744" s="208"/>
      <c r="G744" s="181"/>
      <c r="H744" s="209"/>
      <c r="I744" s="209"/>
      <c r="J744" s="209"/>
      <c r="K744" s="209"/>
      <c r="L744" s="209"/>
      <c r="M744" s="209"/>
      <c r="N744" s="209"/>
      <c r="O744" s="209"/>
      <c r="P744" s="209"/>
    </row>
    <row r="745" spans="3:16" x14ac:dyDescent="0.25">
      <c r="C745" s="123"/>
      <c r="D745" s="142"/>
      <c r="E745" s="142"/>
      <c r="F745" s="208"/>
      <c r="G745" s="181"/>
      <c r="H745" s="209"/>
      <c r="I745" s="209"/>
      <c r="J745" s="209"/>
      <c r="K745" s="209"/>
      <c r="L745" s="209"/>
      <c r="M745" s="209"/>
      <c r="N745" s="209"/>
      <c r="O745" s="209"/>
      <c r="P745" s="209"/>
    </row>
    <row r="746" spans="3:16" x14ac:dyDescent="0.25">
      <c r="C746" s="123"/>
      <c r="D746" s="142"/>
      <c r="E746" s="142"/>
      <c r="F746" s="208"/>
      <c r="G746" s="181"/>
      <c r="H746" s="209"/>
      <c r="I746" s="209"/>
      <c r="J746" s="209"/>
      <c r="K746" s="209"/>
      <c r="L746" s="209"/>
      <c r="M746" s="209"/>
      <c r="N746" s="209"/>
      <c r="O746" s="209"/>
      <c r="P746" s="209"/>
    </row>
    <row r="747" spans="3:16" x14ac:dyDescent="0.25">
      <c r="C747" s="123"/>
      <c r="D747" s="142"/>
      <c r="E747" s="142"/>
      <c r="F747" s="208"/>
      <c r="G747" s="181"/>
      <c r="H747" s="209"/>
      <c r="I747" s="209"/>
      <c r="J747" s="209"/>
      <c r="K747" s="209"/>
      <c r="L747" s="209"/>
      <c r="M747" s="209"/>
      <c r="N747" s="209"/>
      <c r="O747" s="209"/>
      <c r="P747" s="209"/>
    </row>
    <row r="748" spans="3:16" x14ac:dyDescent="0.25">
      <c r="C748" s="123"/>
      <c r="D748" s="142"/>
      <c r="E748" s="142"/>
      <c r="F748" s="208"/>
      <c r="G748" s="181"/>
      <c r="H748" s="209"/>
      <c r="I748" s="209"/>
      <c r="J748" s="209"/>
      <c r="K748" s="209"/>
      <c r="L748" s="209"/>
      <c r="M748" s="209"/>
      <c r="N748" s="209"/>
      <c r="O748" s="209"/>
      <c r="P748" s="209"/>
    </row>
    <row r="749" spans="3:16" x14ac:dyDescent="0.25">
      <c r="C749" s="123"/>
      <c r="D749" s="142"/>
      <c r="E749" s="142"/>
      <c r="F749" s="208"/>
      <c r="G749" s="181"/>
      <c r="H749" s="209"/>
      <c r="I749" s="209"/>
      <c r="J749" s="209"/>
      <c r="K749" s="209"/>
      <c r="L749" s="209"/>
      <c r="M749" s="209"/>
      <c r="N749" s="209"/>
      <c r="O749" s="209"/>
      <c r="P749" s="209"/>
    </row>
    <row r="750" spans="3:16" x14ac:dyDescent="0.25">
      <c r="C750" s="123"/>
      <c r="D750" s="142"/>
      <c r="E750" s="142"/>
      <c r="F750" s="208"/>
      <c r="G750" s="181"/>
      <c r="H750" s="209"/>
      <c r="I750" s="209"/>
      <c r="J750" s="209"/>
      <c r="K750" s="209"/>
      <c r="L750" s="209"/>
      <c r="M750" s="209"/>
      <c r="N750" s="209"/>
      <c r="O750" s="209"/>
      <c r="P750" s="209"/>
    </row>
    <row r="751" spans="3:16" x14ac:dyDescent="0.25">
      <c r="C751" s="123"/>
      <c r="D751" s="142"/>
      <c r="E751" s="142"/>
      <c r="F751" s="208"/>
      <c r="G751" s="181"/>
      <c r="H751" s="209"/>
      <c r="I751" s="209"/>
      <c r="J751" s="209"/>
      <c r="K751" s="209"/>
      <c r="L751" s="209"/>
      <c r="M751" s="209"/>
      <c r="N751" s="209"/>
      <c r="O751" s="209"/>
      <c r="P751" s="209"/>
    </row>
    <row r="752" spans="3:16" x14ac:dyDescent="0.25">
      <c r="C752" s="123"/>
      <c r="D752" s="142"/>
      <c r="E752" s="142"/>
      <c r="F752" s="208"/>
      <c r="G752" s="181"/>
      <c r="H752" s="209"/>
      <c r="I752" s="209"/>
      <c r="J752" s="209"/>
      <c r="K752" s="209"/>
      <c r="L752" s="209"/>
      <c r="M752" s="209"/>
      <c r="N752" s="209"/>
      <c r="O752" s="209"/>
      <c r="P752" s="209"/>
    </row>
    <row r="753" spans="3:16" x14ac:dyDescent="0.25">
      <c r="C753" s="123"/>
      <c r="D753" s="142"/>
      <c r="E753" s="142"/>
      <c r="F753" s="208"/>
      <c r="G753" s="181"/>
      <c r="H753" s="209"/>
      <c r="I753" s="209"/>
      <c r="J753" s="209"/>
      <c r="K753" s="209"/>
      <c r="L753" s="209"/>
      <c r="M753" s="209"/>
      <c r="N753" s="209"/>
      <c r="O753" s="209"/>
      <c r="P753" s="209"/>
    </row>
    <row r="754" spans="3:16" x14ac:dyDescent="0.25">
      <c r="C754" s="123"/>
      <c r="D754" s="142"/>
      <c r="E754" s="142"/>
      <c r="F754" s="208"/>
      <c r="G754" s="181"/>
      <c r="H754" s="209"/>
      <c r="I754" s="209"/>
      <c r="J754" s="209"/>
      <c r="K754" s="209"/>
      <c r="L754" s="209"/>
      <c r="M754" s="209"/>
      <c r="N754" s="209"/>
      <c r="O754" s="209"/>
      <c r="P754" s="209"/>
    </row>
    <row r="755" spans="3:16" x14ac:dyDescent="0.25">
      <c r="C755" s="123"/>
      <c r="D755" s="142"/>
      <c r="E755" s="142"/>
      <c r="F755" s="208"/>
      <c r="G755" s="181"/>
      <c r="H755" s="209"/>
      <c r="I755" s="209"/>
      <c r="J755" s="209"/>
      <c r="K755" s="209"/>
      <c r="L755" s="209"/>
      <c r="M755" s="209"/>
      <c r="N755" s="209"/>
      <c r="O755" s="209"/>
      <c r="P755" s="209"/>
    </row>
    <row r="756" spans="3:16" x14ac:dyDescent="0.25">
      <c r="C756" s="123"/>
      <c r="D756" s="142"/>
      <c r="E756" s="142"/>
      <c r="F756" s="208"/>
      <c r="G756" s="181"/>
      <c r="H756" s="209"/>
      <c r="I756" s="209"/>
      <c r="J756" s="209"/>
      <c r="K756" s="209"/>
      <c r="L756" s="209"/>
      <c r="M756" s="209"/>
      <c r="N756" s="209"/>
      <c r="O756" s="209"/>
      <c r="P756" s="209"/>
    </row>
    <row r="757" spans="3:16" x14ac:dyDescent="0.25">
      <c r="C757" s="123"/>
      <c r="D757" s="142"/>
      <c r="E757" s="142"/>
      <c r="F757" s="208"/>
      <c r="G757" s="181"/>
      <c r="H757" s="209"/>
      <c r="I757" s="209"/>
      <c r="J757" s="209"/>
      <c r="K757" s="209"/>
      <c r="L757" s="209"/>
      <c r="M757" s="209"/>
      <c r="N757" s="209"/>
      <c r="O757" s="209"/>
      <c r="P757" s="209"/>
    </row>
    <row r="758" spans="3:16" x14ac:dyDescent="0.25">
      <c r="C758" s="123"/>
      <c r="D758" s="142"/>
      <c r="E758" s="142"/>
      <c r="F758" s="208"/>
      <c r="G758" s="181"/>
      <c r="H758" s="209"/>
      <c r="I758" s="209"/>
      <c r="J758" s="209"/>
      <c r="K758" s="209"/>
      <c r="L758" s="209"/>
      <c r="M758" s="209"/>
      <c r="N758" s="209"/>
      <c r="O758" s="209"/>
      <c r="P758" s="209"/>
    </row>
    <row r="759" spans="3:16" x14ac:dyDescent="0.25">
      <c r="C759" s="123"/>
      <c r="D759" s="142"/>
      <c r="E759" s="142"/>
      <c r="F759" s="208"/>
      <c r="G759" s="181"/>
      <c r="H759" s="209"/>
      <c r="I759" s="209"/>
      <c r="J759" s="209"/>
      <c r="K759" s="209"/>
      <c r="L759" s="209"/>
      <c r="M759" s="209"/>
      <c r="N759" s="209"/>
      <c r="O759" s="209"/>
      <c r="P759" s="209"/>
    </row>
    <row r="760" spans="3:16" x14ac:dyDescent="0.25">
      <c r="C760" s="123"/>
      <c r="D760" s="142"/>
      <c r="E760" s="142"/>
      <c r="F760" s="208"/>
      <c r="G760" s="181"/>
      <c r="H760" s="209"/>
      <c r="I760" s="209"/>
      <c r="J760" s="209"/>
      <c r="K760" s="209"/>
      <c r="L760" s="209"/>
      <c r="M760" s="209"/>
      <c r="N760" s="209"/>
      <c r="O760" s="209"/>
      <c r="P760" s="209"/>
    </row>
    <row r="761" spans="3:16" x14ac:dyDescent="0.25">
      <c r="C761" s="123"/>
      <c r="D761" s="142"/>
      <c r="E761" s="142"/>
      <c r="F761" s="208"/>
      <c r="G761" s="181"/>
      <c r="H761" s="209"/>
      <c r="I761" s="209"/>
      <c r="J761" s="209"/>
      <c r="K761" s="209"/>
      <c r="L761" s="209"/>
      <c r="M761" s="209"/>
      <c r="N761" s="209"/>
      <c r="O761" s="209"/>
      <c r="P761" s="209"/>
    </row>
    <row r="762" spans="3:16" x14ac:dyDescent="0.25">
      <c r="C762" s="123"/>
      <c r="D762" s="142"/>
      <c r="E762" s="142"/>
      <c r="F762" s="208"/>
      <c r="G762" s="181"/>
      <c r="H762" s="209"/>
      <c r="I762" s="209"/>
      <c r="J762" s="209"/>
      <c r="K762" s="209"/>
      <c r="L762" s="209"/>
      <c r="M762" s="209"/>
      <c r="N762" s="209"/>
      <c r="O762" s="209"/>
      <c r="P762" s="209"/>
    </row>
    <row r="763" spans="3:16" x14ac:dyDescent="0.25">
      <c r="C763" s="123"/>
      <c r="D763" s="142"/>
      <c r="E763" s="142"/>
      <c r="F763" s="208"/>
      <c r="G763" s="181"/>
      <c r="H763" s="209"/>
      <c r="I763" s="209"/>
      <c r="J763" s="209"/>
      <c r="K763" s="209"/>
      <c r="L763" s="209"/>
      <c r="M763" s="209"/>
      <c r="N763" s="209"/>
      <c r="O763" s="209"/>
      <c r="P763" s="209"/>
    </row>
    <row r="764" spans="3:16" x14ac:dyDescent="0.25">
      <c r="C764" s="123"/>
      <c r="D764" s="142"/>
      <c r="E764" s="142"/>
      <c r="F764" s="208"/>
      <c r="G764" s="181"/>
      <c r="H764" s="209"/>
      <c r="I764" s="209"/>
      <c r="J764" s="209"/>
      <c r="K764" s="209"/>
      <c r="L764" s="209"/>
      <c r="M764" s="209"/>
      <c r="N764" s="209"/>
      <c r="O764" s="209"/>
      <c r="P764" s="209"/>
    </row>
    <row r="765" spans="3:16" x14ac:dyDescent="0.25">
      <c r="C765" s="123"/>
      <c r="D765" s="142"/>
      <c r="E765" s="142"/>
      <c r="F765" s="208"/>
      <c r="G765" s="181"/>
      <c r="H765" s="209"/>
      <c r="I765" s="209"/>
      <c r="J765" s="209"/>
      <c r="K765" s="209"/>
      <c r="L765" s="209"/>
      <c r="M765" s="209"/>
      <c r="N765" s="209"/>
      <c r="O765" s="209"/>
      <c r="P765" s="209"/>
    </row>
    <row r="766" spans="3:16" x14ac:dyDescent="0.25">
      <c r="C766" s="123"/>
      <c r="D766" s="142"/>
      <c r="E766" s="142"/>
      <c r="F766" s="208"/>
      <c r="G766" s="181"/>
      <c r="H766" s="209"/>
      <c r="I766" s="209"/>
      <c r="J766" s="209"/>
      <c r="K766" s="209"/>
      <c r="L766" s="209"/>
      <c r="M766" s="209"/>
      <c r="N766" s="209"/>
      <c r="O766" s="209"/>
      <c r="P766" s="209"/>
    </row>
    <row r="767" spans="3:16" x14ac:dyDescent="0.25">
      <c r="C767" s="123"/>
      <c r="D767" s="142"/>
      <c r="E767" s="142"/>
      <c r="F767" s="208"/>
      <c r="G767" s="181"/>
      <c r="H767" s="209"/>
      <c r="I767" s="209"/>
      <c r="J767" s="209"/>
      <c r="K767" s="209"/>
      <c r="L767" s="209"/>
      <c r="M767" s="209"/>
      <c r="N767" s="209"/>
      <c r="O767" s="209"/>
      <c r="P767" s="209"/>
    </row>
    <row r="768" spans="3:16" x14ac:dyDescent="0.25">
      <c r="C768" s="123"/>
      <c r="D768" s="142"/>
      <c r="E768" s="142"/>
      <c r="F768" s="208"/>
      <c r="G768" s="181"/>
      <c r="H768" s="209"/>
      <c r="I768" s="209"/>
      <c r="J768" s="209"/>
      <c r="K768" s="209"/>
      <c r="L768" s="209"/>
      <c r="M768" s="209"/>
      <c r="N768" s="209"/>
      <c r="O768" s="209"/>
      <c r="P768" s="209"/>
    </row>
    <row r="769" spans="3:16" x14ac:dyDescent="0.25">
      <c r="C769" s="123"/>
      <c r="D769" s="142"/>
      <c r="E769" s="142"/>
      <c r="F769" s="208"/>
      <c r="G769" s="181"/>
      <c r="H769" s="209"/>
      <c r="I769" s="209"/>
      <c r="J769" s="209"/>
      <c r="K769" s="209"/>
      <c r="L769" s="209"/>
      <c r="M769" s="209"/>
      <c r="N769" s="209"/>
      <c r="O769" s="209"/>
      <c r="P769" s="209"/>
    </row>
    <row r="770" spans="3:16" x14ac:dyDescent="0.25">
      <c r="C770" s="123"/>
      <c r="D770" s="142"/>
      <c r="E770" s="142"/>
      <c r="F770" s="208"/>
      <c r="G770" s="181"/>
      <c r="H770" s="209"/>
      <c r="I770" s="209"/>
      <c r="J770" s="209"/>
      <c r="K770" s="209"/>
      <c r="L770" s="209"/>
      <c r="M770" s="209"/>
      <c r="N770" s="209"/>
      <c r="O770" s="209"/>
      <c r="P770" s="209"/>
    </row>
    <row r="771" spans="3:16" x14ac:dyDescent="0.25">
      <c r="C771" s="123"/>
      <c r="D771" s="142"/>
      <c r="E771" s="142"/>
      <c r="F771" s="208"/>
      <c r="G771" s="181"/>
      <c r="H771" s="209"/>
      <c r="I771" s="209"/>
      <c r="J771" s="209"/>
      <c r="K771" s="209"/>
      <c r="L771" s="209"/>
      <c r="M771" s="209"/>
      <c r="N771" s="209"/>
      <c r="O771" s="209"/>
      <c r="P771" s="209"/>
    </row>
    <row r="772" spans="3:16" x14ac:dyDescent="0.25">
      <c r="C772" s="123"/>
      <c r="D772" s="142"/>
      <c r="E772" s="142"/>
      <c r="F772" s="208"/>
      <c r="G772" s="181"/>
      <c r="H772" s="209"/>
      <c r="I772" s="209"/>
      <c r="J772" s="209"/>
      <c r="K772" s="209"/>
      <c r="L772" s="209"/>
      <c r="M772" s="209"/>
      <c r="N772" s="209"/>
      <c r="O772" s="209"/>
      <c r="P772" s="209"/>
    </row>
    <row r="773" spans="3:16" x14ac:dyDescent="0.25">
      <c r="C773" s="123"/>
      <c r="D773" s="142"/>
      <c r="E773" s="142"/>
      <c r="F773" s="208"/>
      <c r="G773" s="181"/>
      <c r="H773" s="209"/>
      <c r="I773" s="209"/>
      <c r="J773" s="209"/>
      <c r="K773" s="209"/>
      <c r="L773" s="209"/>
      <c r="M773" s="209"/>
      <c r="N773" s="209"/>
      <c r="O773" s="209"/>
      <c r="P773" s="209"/>
    </row>
    <row r="774" spans="3:16" x14ac:dyDescent="0.25">
      <c r="C774" s="123"/>
      <c r="D774" s="142"/>
      <c r="E774" s="142"/>
      <c r="F774" s="208"/>
      <c r="G774" s="181"/>
      <c r="H774" s="209"/>
      <c r="I774" s="209"/>
      <c r="J774" s="209"/>
      <c r="K774" s="209"/>
      <c r="L774" s="209"/>
      <c r="M774" s="209"/>
      <c r="N774" s="209"/>
      <c r="O774" s="209"/>
      <c r="P774" s="209"/>
    </row>
    <row r="775" spans="3:16" x14ac:dyDescent="0.25">
      <c r="C775" s="123"/>
      <c r="D775" s="142"/>
      <c r="E775" s="142"/>
      <c r="F775" s="208"/>
      <c r="G775" s="181"/>
      <c r="H775" s="209"/>
      <c r="I775" s="209"/>
      <c r="J775" s="209"/>
      <c r="K775" s="209"/>
      <c r="L775" s="209"/>
      <c r="M775" s="209"/>
      <c r="N775" s="209"/>
      <c r="O775" s="209"/>
      <c r="P775" s="209"/>
    </row>
    <row r="776" spans="3:16" x14ac:dyDescent="0.25">
      <c r="C776" s="123"/>
      <c r="D776" s="142"/>
      <c r="E776" s="142"/>
      <c r="F776" s="208"/>
      <c r="G776" s="181"/>
      <c r="H776" s="209"/>
      <c r="I776" s="209"/>
      <c r="J776" s="209"/>
      <c r="K776" s="209"/>
      <c r="L776" s="209"/>
      <c r="M776" s="209"/>
      <c r="N776" s="209"/>
      <c r="O776" s="209"/>
      <c r="P776" s="209"/>
    </row>
    <row r="777" spans="3:16" x14ac:dyDescent="0.25">
      <c r="C777" s="123"/>
      <c r="D777" s="142"/>
      <c r="E777" s="142"/>
      <c r="F777" s="208"/>
      <c r="G777" s="181"/>
      <c r="H777" s="209"/>
      <c r="I777" s="209"/>
      <c r="J777" s="209"/>
      <c r="K777" s="209"/>
      <c r="L777" s="209"/>
      <c r="M777" s="209"/>
      <c r="N777" s="209"/>
      <c r="O777" s="209"/>
      <c r="P777" s="209"/>
    </row>
    <row r="778" spans="3:16" x14ac:dyDescent="0.25">
      <c r="C778" s="123"/>
      <c r="D778" s="142"/>
      <c r="E778" s="142"/>
      <c r="F778" s="208"/>
      <c r="G778" s="181"/>
      <c r="H778" s="209"/>
      <c r="I778" s="209"/>
      <c r="J778" s="209"/>
      <c r="K778" s="209"/>
      <c r="L778" s="209"/>
      <c r="M778" s="209"/>
      <c r="N778" s="209"/>
      <c r="O778" s="209"/>
      <c r="P778" s="209"/>
    </row>
    <row r="779" spans="3:16" x14ac:dyDescent="0.25">
      <c r="C779" s="123"/>
      <c r="D779" s="142"/>
      <c r="E779" s="142"/>
      <c r="F779" s="208"/>
      <c r="G779" s="181"/>
      <c r="H779" s="209"/>
      <c r="I779" s="209"/>
      <c r="J779" s="209"/>
      <c r="K779" s="209"/>
      <c r="L779" s="209"/>
      <c r="M779" s="209"/>
      <c r="N779" s="209"/>
      <c r="O779" s="209"/>
      <c r="P779" s="209"/>
    </row>
    <row r="780" spans="3:16" x14ac:dyDescent="0.25">
      <c r="C780" s="123"/>
      <c r="D780" s="142"/>
      <c r="E780" s="142"/>
      <c r="F780" s="208"/>
      <c r="G780" s="181"/>
      <c r="H780" s="209"/>
      <c r="I780" s="209"/>
      <c r="J780" s="209"/>
      <c r="K780" s="209"/>
      <c r="L780" s="209"/>
      <c r="M780" s="209"/>
      <c r="N780" s="209"/>
      <c r="O780" s="209"/>
      <c r="P780" s="209"/>
    </row>
    <row r="781" spans="3:16" x14ac:dyDescent="0.25">
      <c r="C781" s="123"/>
      <c r="D781" s="142"/>
      <c r="E781" s="142"/>
      <c r="F781" s="208"/>
      <c r="G781" s="181"/>
      <c r="H781" s="209"/>
      <c r="I781" s="209"/>
      <c r="J781" s="209"/>
      <c r="K781" s="209"/>
      <c r="L781" s="209"/>
      <c r="M781" s="209"/>
      <c r="N781" s="209"/>
      <c r="O781" s="209"/>
      <c r="P781" s="209"/>
    </row>
    <row r="782" spans="3:16" x14ac:dyDescent="0.25">
      <c r="C782" s="123"/>
      <c r="D782" s="142"/>
      <c r="E782" s="142"/>
      <c r="F782" s="208"/>
      <c r="G782" s="181"/>
      <c r="H782" s="209"/>
      <c r="I782" s="209"/>
      <c r="J782" s="209"/>
      <c r="K782" s="209"/>
      <c r="L782" s="209"/>
      <c r="M782" s="209"/>
      <c r="N782" s="209"/>
      <c r="O782" s="209"/>
      <c r="P782" s="209"/>
    </row>
    <row r="783" spans="3:16" x14ac:dyDescent="0.25">
      <c r="C783" s="123"/>
      <c r="D783" s="142"/>
      <c r="E783" s="142"/>
      <c r="F783" s="208"/>
      <c r="G783" s="181"/>
      <c r="H783" s="209"/>
      <c r="I783" s="209"/>
      <c r="J783" s="209"/>
      <c r="K783" s="209"/>
      <c r="L783" s="209"/>
      <c r="M783" s="209"/>
      <c r="N783" s="209"/>
      <c r="O783" s="209"/>
      <c r="P783" s="209"/>
    </row>
    <row r="784" spans="3:16" x14ac:dyDescent="0.25">
      <c r="C784" s="123"/>
      <c r="D784" s="142"/>
      <c r="E784" s="142"/>
      <c r="F784" s="208"/>
      <c r="G784" s="181"/>
      <c r="H784" s="209"/>
      <c r="I784" s="209"/>
      <c r="J784" s="209"/>
      <c r="K784" s="209"/>
      <c r="L784" s="209"/>
      <c r="M784" s="209"/>
      <c r="N784" s="209"/>
      <c r="O784" s="209"/>
      <c r="P784" s="209"/>
    </row>
    <row r="785" spans="3:16" x14ac:dyDescent="0.25">
      <c r="C785" s="123"/>
      <c r="D785" s="142"/>
      <c r="E785" s="142"/>
      <c r="F785" s="208"/>
      <c r="G785" s="181"/>
      <c r="H785" s="209"/>
      <c r="I785" s="209"/>
      <c r="J785" s="209"/>
      <c r="K785" s="209"/>
      <c r="L785" s="209"/>
      <c r="M785" s="209"/>
      <c r="N785" s="209"/>
      <c r="O785" s="209"/>
      <c r="P785" s="209"/>
    </row>
    <row r="786" spans="3:16" x14ac:dyDescent="0.25">
      <c r="C786" s="123"/>
      <c r="D786" s="142"/>
      <c r="E786" s="142"/>
      <c r="F786" s="208"/>
      <c r="G786" s="181"/>
      <c r="H786" s="209"/>
      <c r="I786" s="209"/>
      <c r="J786" s="209"/>
      <c r="K786" s="209"/>
      <c r="L786" s="209"/>
      <c r="M786" s="209"/>
      <c r="N786" s="209"/>
      <c r="O786" s="209"/>
      <c r="P786" s="209"/>
    </row>
    <row r="787" spans="3:16" x14ac:dyDescent="0.25">
      <c r="C787" s="123"/>
      <c r="D787" s="142"/>
      <c r="E787" s="142"/>
      <c r="F787" s="208"/>
      <c r="G787" s="181"/>
      <c r="H787" s="209"/>
      <c r="I787" s="209"/>
      <c r="J787" s="209"/>
      <c r="K787" s="209"/>
      <c r="L787" s="209"/>
      <c r="M787" s="209"/>
      <c r="N787" s="209"/>
      <c r="O787" s="209"/>
      <c r="P787" s="209"/>
    </row>
    <row r="788" spans="3:16" x14ac:dyDescent="0.25">
      <c r="C788" s="123"/>
      <c r="D788" s="142"/>
      <c r="E788" s="142"/>
      <c r="F788" s="208"/>
      <c r="G788" s="181"/>
      <c r="H788" s="209"/>
      <c r="I788" s="209"/>
      <c r="J788" s="209"/>
      <c r="K788" s="209"/>
      <c r="L788" s="209"/>
      <c r="M788" s="209"/>
      <c r="N788" s="209"/>
      <c r="O788" s="209"/>
      <c r="P788" s="209"/>
    </row>
    <row r="789" spans="3:16" x14ac:dyDescent="0.25">
      <c r="C789" s="123"/>
      <c r="D789" s="142"/>
      <c r="E789" s="142"/>
      <c r="F789" s="208"/>
      <c r="G789" s="181"/>
      <c r="H789" s="209"/>
      <c r="I789" s="209"/>
      <c r="J789" s="209"/>
      <c r="K789" s="209"/>
      <c r="L789" s="209"/>
      <c r="M789" s="209"/>
      <c r="N789" s="209"/>
      <c r="O789" s="209"/>
      <c r="P789" s="209"/>
    </row>
    <row r="790" spans="3:16" x14ac:dyDescent="0.25">
      <c r="C790" s="123"/>
      <c r="D790" s="142"/>
      <c r="E790" s="142"/>
      <c r="F790" s="208"/>
      <c r="G790" s="181"/>
      <c r="H790" s="209"/>
      <c r="I790" s="209"/>
      <c r="J790" s="209"/>
      <c r="K790" s="209"/>
      <c r="L790" s="209"/>
      <c r="M790" s="209"/>
      <c r="N790" s="209"/>
      <c r="O790" s="209"/>
      <c r="P790" s="209"/>
    </row>
    <row r="791" spans="3:16" x14ac:dyDescent="0.25">
      <c r="C791" s="123"/>
      <c r="D791" s="142"/>
      <c r="E791" s="142"/>
      <c r="F791" s="208"/>
      <c r="G791" s="181"/>
      <c r="H791" s="209"/>
      <c r="I791" s="209"/>
      <c r="J791" s="209"/>
      <c r="K791" s="209"/>
      <c r="L791" s="209"/>
      <c r="M791" s="209"/>
      <c r="N791" s="209"/>
      <c r="O791" s="209"/>
      <c r="P791" s="209"/>
    </row>
    <row r="792" spans="3:16" x14ac:dyDescent="0.25">
      <c r="C792" s="123"/>
      <c r="D792" s="142"/>
      <c r="E792" s="142"/>
      <c r="F792" s="208"/>
      <c r="G792" s="181"/>
      <c r="H792" s="209"/>
      <c r="I792" s="209"/>
      <c r="J792" s="209"/>
      <c r="K792" s="209"/>
      <c r="L792" s="209"/>
      <c r="M792" s="209"/>
      <c r="N792" s="209"/>
      <c r="O792" s="209"/>
      <c r="P792" s="209"/>
    </row>
    <row r="793" spans="3:16" x14ac:dyDescent="0.25">
      <c r="C793" s="123"/>
      <c r="D793" s="142"/>
      <c r="E793" s="142"/>
      <c r="F793" s="208"/>
      <c r="G793" s="181"/>
      <c r="H793" s="209"/>
      <c r="I793" s="209"/>
      <c r="J793" s="209"/>
      <c r="K793" s="209"/>
      <c r="L793" s="209"/>
      <c r="M793" s="209"/>
      <c r="N793" s="209"/>
      <c r="O793" s="209"/>
      <c r="P793" s="209"/>
    </row>
    <row r="794" spans="3:16" x14ac:dyDescent="0.25">
      <c r="C794" s="123"/>
      <c r="D794" s="142"/>
      <c r="E794" s="142"/>
      <c r="F794" s="208"/>
      <c r="G794" s="181"/>
      <c r="H794" s="209"/>
      <c r="I794" s="209"/>
      <c r="J794" s="209"/>
      <c r="K794" s="209"/>
      <c r="L794" s="209"/>
      <c r="M794" s="209"/>
      <c r="N794" s="209"/>
      <c r="O794" s="209"/>
      <c r="P794" s="209"/>
    </row>
    <row r="795" spans="3:16" x14ac:dyDescent="0.25">
      <c r="C795" s="123"/>
      <c r="D795" s="142"/>
      <c r="E795" s="142"/>
      <c r="F795" s="208"/>
      <c r="G795" s="181"/>
      <c r="H795" s="209"/>
      <c r="I795" s="209"/>
      <c r="J795" s="209"/>
      <c r="K795" s="209"/>
      <c r="L795" s="209"/>
      <c r="M795" s="209"/>
      <c r="N795" s="209"/>
      <c r="O795" s="209"/>
      <c r="P795" s="209"/>
    </row>
    <row r="796" spans="3:16" x14ac:dyDescent="0.25">
      <c r="C796" s="123"/>
      <c r="D796" s="142"/>
      <c r="E796" s="142"/>
      <c r="F796" s="208"/>
      <c r="G796" s="181"/>
      <c r="H796" s="209"/>
      <c r="I796" s="209"/>
      <c r="J796" s="209"/>
      <c r="K796" s="209"/>
      <c r="L796" s="209"/>
      <c r="M796" s="209"/>
      <c r="N796" s="209"/>
      <c r="O796" s="209"/>
      <c r="P796" s="209"/>
    </row>
    <row r="797" spans="3:16" x14ac:dyDescent="0.25">
      <c r="C797" s="123"/>
      <c r="D797" s="142"/>
      <c r="E797" s="142"/>
      <c r="F797" s="208"/>
      <c r="G797" s="181"/>
      <c r="H797" s="209"/>
      <c r="I797" s="209"/>
      <c r="J797" s="209"/>
      <c r="K797" s="209"/>
      <c r="L797" s="209"/>
      <c r="M797" s="209"/>
      <c r="N797" s="209"/>
      <c r="O797" s="209"/>
      <c r="P797" s="209"/>
    </row>
    <row r="798" spans="3:16" x14ac:dyDescent="0.25">
      <c r="C798" s="123"/>
      <c r="D798" s="142"/>
      <c r="E798" s="142"/>
      <c r="F798" s="208"/>
      <c r="G798" s="181"/>
      <c r="H798" s="209"/>
      <c r="I798" s="209"/>
      <c r="J798" s="209"/>
      <c r="K798" s="209"/>
      <c r="L798" s="209"/>
      <c r="M798" s="209"/>
      <c r="N798" s="209"/>
      <c r="O798" s="209"/>
      <c r="P798" s="209"/>
    </row>
    <row r="799" spans="3:16" x14ac:dyDescent="0.25">
      <c r="C799" s="123"/>
      <c r="D799" s="142"/>
      <c r="E799" s="142"/>
      <c r="F799" s="208"/>
      <c r="G799" s="181"/>
      <c r="H799" s="209"/>
      <c r="I799" s="209"/>
      <c r="J799" s="209"/>
      <c r="K799" s="209"/>
      <c r="L799" s="209"/>
      <c r="M799" s="209"/>
      <c r="N799" s="209"/>
      <c r="O799" s="209"/>
      <c r="P799" s="209"/>
    </row>
    <row r="800" spans="3:16" x14ac:dyDescent="0.25">
      <c r="C800" s="123"/>
      <c r="D800" s="142"/>
      <c r="E800" s="142"/>
      <c r="F800" s="208"/>
      <c r="G800" s="181"/>
      <c r="H800" s="209"/>
      <c r="I800" s="209"/>
      <c r="J800" s="209"/>
      <c r="K800" s="209"/>
      <c r="L800" s="209"/>
      <c r="M800" s="209"/>
      <c r="N800" s="209"/>
      <c r="O800" s="209"/>
      <c r="P800" s="209"/>
    </row>
    <row r="801" spans="3:16" x14ac:dyDescent="0.25">
      <c r="C801" s="123"/>
      <c r="D801" s="142"/>
      <c r="E801" s="142"/>
      <c r="F801" s="208"/>
      <c r="G801" s="181"/>
      <c r="H801" s="209"/>
      <c r="I801" s="209"/>
      <c r="J801" s="209"/>
      <c r="K801" s="209"/>
      <c r="L801" s="209"/>
      <c r="M801" s="209"/>
      <c r="N801" s="209"/>
      <c r="O801" s="209"/>
      <c r="P801" s="209"/>
    </row>
    <row r="802" spans="3:16" x14ac:dyDescent="0.25">
      <c r="C802" s="123"/>
      <c r="D802" s="142"/>
      <c r="E802" s="142"/>
      <c r="F802" s="208"/>
      <c r="G802" s="181"/>
      <c r="H802" s="209"/>
      <c r="I802" s="209"/>
      <c r="J802" s="209"/>
      <c r="K802" s="209"/>
      <c r="L802" s="209"/>
      <c r="M802" s="209"/>
      <c r="N802" s="209"/>
      <c r="O802" s="209"/>
      <c r="P802" s="209"/>
    </row>
    <row r="803" spans="3:16" x14ac:dyDescent="0.25">
      <c r="C803" s="123"/>
      <c r="D803" s="142"/>
      <c r="E803" s="142"/>
      <c r="F803" s="208"/>
      <c r="G803" s="181"/>
      <c r="H803" s="209"/>
      <c r="I803" s="209"/>
      <c r="J803" s="209"/>
      <c r="K803" s="209"/>
      <c r="L803" s="209"/>
      <c r="M803" s="209"/>
      <c r="N803" s="209"/>
      <c r="O803" s="209"/>
      <c r="P803" s="209"/>
    </row>
    <row r="804" spans="3:16" x14ac:dyDescent="0.25">
      <c r="C804" s="123"/>
      <c r="D804" s="142"/>
      <c r="E804" s="142"/>
      <c r="F804" s="208"/>
      <c r="G804" s="181"/>
      <c r="H804" s="209"/>
      <c r="I804" s="209"/>
      <c r="J804" s="209"/>
      <c r="K804" s="209"/>
      <c r="L804" s="209"/>
      <c r="M804" s="209"/>
      <c r="N804" s="209"/>
      <c r="O804" s="209"/>
      <c r="P804" s="209"/>
    </row>
    <row r="805" spans="3:16" x14ac:dyDescent="0.25">
      <c r="C805" s="123"/>
      <c r="D805" s="142"/>
      <c r="E805" s="142"/>
      <c r="F805" s="208"/>
      <c r="G805" s="181"/>
      <c r="H805" s="209"/>
      <c r="I805" s="209"/>
      <c r="J805" s="209"/>
      <c r="K805" s="209"/>
      <c r="L805" s="209"/>
      <c r="M805" s="209"/>
      <c r="N805" s="209"/>
      <c r="O805" s="209"/>
      <c r="P805" s="209"/>
    </row>
    <row r="806" spans="3:16" x14ac:dyDescent="0.25">
      <c r="C806" s="123"/>
      <c r="D806" s="142"/>
      <c r="E806" s="142"/>
      <c r="F806" s="208"/>
      <c r="G806" s="181"/>
      <c r="H806" s="209"/>
      <c r="I806" s="209"/>
      <c r="J806" s="209"/>
      <c r="K806" s="209"/>
      <c r="L806" s="209"/>
      <c r="M806" s="209"/>
      <c r="N806" s="209"/>
      <c r="O806" s="209"/>
      <c r="P806" s="209"/>
    </row>
    <row r="807" spans="3:16" x14ac:dyDescent="0.25">
      <c r="C807" s="123"/>
      <c r="D807" s="142"/>
      <c r="E807" s="142"/>
      <c r="F807" s="208"/>
      <c r="G807" s="181"/>
      <c r="H807" s="209"/>
      <c r="I807" s="209"/>
      <c r="J807" s="209"/>
      <c r="K807" s="209"/>
      <c r="L807" s="209"/>
      <c r="M807" s="209"/>
      <c r="N807" s="209"/>
      <c r="O807" s="209"/>
      <c r="P807" s="209"/>
    </row>
    <row r="808" spans="3:16" x14ac:dyDescent="0.25">
      <c r="C808" s="123"/>
      <c r="D808" s="142"/>
      <c r="E808" s="142"/>
      <c r="F808" s="208"/>
      <c r="G808" s="181"/>
      <c r="H808" s="209"/>
      <c r="I808" s="209"/>
      <c r="J808" s="209"/>
      <c r="K808" s="209"/>
      <c r="L808" s="209"/>
      <c r="M808" s="209"/>
      <c r="N808" s="209"/>
      <c r="O808" s="209"/>
      <c r="P808" s="209"/>
    </row>
    <row r="809" spans="3:16" x14ac:dyDescent="0.25">
      <c r="C809" s="123"/>
      <c r="D809" s="142"/>
      <c r="E809" s="142"/>
      <c r="F809" s="208"/>
      <c r="G809" s="181"/>
      <c r="H809" s="209"/>
      <c r="I809" s="209"/>
      <c r="J809" s="209"/>
      <c r="K809" s="209"/>
      <c r="L809" s="209"/>
      <c r="M809" s="209"/>
      <c r="N809" s="209"/>
      <c r="O809" s="209"/>
      <c r="P809" s="209"/>
    </row>
    <row r="810" spans="3:16" x14ac:dyDescent="0.25">
      <c r="C810" s="123"/>
      <c r="D810" s="142"/>
      <c r="E810" s="142"/>
      <c r="F810" s="208"/>
      <c r="G810" s="181"/>
      <c r="H810" s="209"/>
      <c r="I810" s="209"/>
      <c r="J810" s="209"/>
      <c r="K810" s="209"/>
      <c r="L810" s="209"/>
      <c r="M810" s="209"/>
      <c r="N810" s="209"/>
      <c r="O810" s="209"/>
      <c r="P810" s="209"/>
    </row>
    <row r="811" spans="3:16" x14ac:dyDescent="0.25">
      <c r="C811" s="123"/>
      <c r="D811" s="142"/>
      <c r="E811" s="142"/>
      <c r="F811" s="208"/>
      <c r="G811" s="181"/>
      <c r="H811" s="209"/>
      <c r="I811" s="209"/>
      <c r="J811" s="209"/>
      <c r="K811" s="209"/>
      <c r="L811" s="209"/>
      <c r="M811" s="209"/>
      <c r="N811" s="209"/>
      <c r="O811" s="209"/>
      <c r="P811" s="209"/>
    </row>
    <row r="812" spans="3:16" x14ac:dyDescent="0.25">
      <c r="C812" s="123"/>
      <c r="D812" s="142"/>
      <c r="E812" s="142"/>
      <c r="F812" s="208"/>
      <c r="G812" s="181"/>
      <c r="H812" s="209"/>
      <c r="I812" s="209"/>
      <c r="J812" s="209"/>
      <c r="K812" s="209"/>
      <c r="L812" s="209"/>
      <c r="M812" s="209"/>
      <c r="N812" s="209"/>
      <c r="O812" s="209"/>
      <c r="P812" s="209"/>
    </row>
    <row r="813" spans="3:16" x14ac:dyDescent="0.25">
      <c r="C813" s="123"/>
      <c r="D813" s="142"/>
      <c r="E813" s="142"/>
      <c r="F813" s="208"/>
      <c r="G813" s="181"/>
      <c r="H813" s="209"/>
      <c r="I813" s="209"/>
      <c r="J813" s="209"/>
      <c r="K813" s="209"/>
      <c r="L813" s="209"/>
      <c r="M813" s="209"/>
      <c r="N813" s="209"/>
      <c r="O813" s="209"/>
      <c r="P813" s="209"/>
    </row>
    <row r="814" spans="3:16" x14ac:dyDescent="0.25">
      <c r="C814" s="123"/>
      <c r="D814" s="142"/>
      <c r="E814" s="142"/>
      <c r="F814" s="208"/>
      <c r="G814" s="181"/>
      <c r="H814" s="209"/>
      <c r="I814" s="209"/>
      <c r="J814" s="209"/>
      <c r="K814" s="209"/>
      <c r="L814" s="209"/>
      <c r="M814" s="209"/>
      <c r="N814" s="209"/>
      <c r="O814" s="209"/>
      <c r="P814" s="209"/>
    </row>
    <row r="815" spans="3:16" x14ac:dyDescent="0.25">
      <c r="C815" s="123"/>
      <c r="D815" s="142"/>
      <c r="E815" s="142"/>
      <c r="F815" s="208"/>
      <c r="G815" s="181"/>
      <c r="H815" s="209"/>
      <c r="I815" s="209"/>
      <c r="J815" s="209"/>
      <c r="K815" s="209"/>
      <c r="L815" s="209"/>
      <c r="M815" s="209"/>
      <c r="N815" s="209"/>
      <c r="O815" s="209"/>
      <c r="P815" s="209"/>
    </row>
    <row r="816" spans="3:16" x14ac:dyDescent="0.25">
      <c r="C816" s="123"/>
      <c r="D816" s="142"/>
      <c r="E816" s="142"/>
      <c r="F816" s="208"/>
      <c r="G816" s="181"/>
      <c r="H816" s="209"/>
      <c r="I816" s="209"/>
      <c r="J816" s="209"/>
      <c r="K816" s="209"/>
      <c r="L816" s="209"/>
      <c r="M816" s="209"/>
      <c r="N816" s="209"/>
      <c r="O816" s="209"/>
      <c r="P816" s="209"/>
    </row>
    <row r="817" spans="3:16" x14ac:dyDescent="0.25">
      <c r="C817" s="123"/>
      <c r="D817" s="142"/>
      <c r="E817" s="142"/>
      <c r="F817" s="208"/>
      <c r="G817" s="181"/>
      <c r="H817" s="209"/>
      <c r="I817" s="209"/>
      <c r="J817" s="209"/>
      <c r="K817" s="209"/>
      <c r="L817" s="209"/>
      <c r="M817" s="209"/>
      <c r="N817" s="209"/>
      <c r="O817" s="209"/>
      <c r="P817" s="209"/>
    </row>
    <row r="818" spans="3:16" x14ac:dyDescent="0.25">
      <c r="C818" s="123"/>
      <c r="D818" s="142"/>
      <c r="E818" s="142"/>
      <c r="F818" s="208"/>
      <c r="G818" s="181"/>
      <c r="H818" s="209"/>
      <c r="I818" s="209"/>
      <c r="J818" s="209"/>
      <c r="K818" s="209"/>
      <c r="L818" s="209"/>
      <c r="M818" s="209"/>
      <c r="N818" s="209"/>
      <c r="O818" s="209"/>
      <c r="P818" s="209"/>
    </row>
    <row r="819" spans="3:16" x14ac:dyDescent="0.25">
      <c r="C819" s="123"/>
      <c r="D819" s="142"/>
      <c r="E819" s="142"/>
      <c r="F819" s="208"/>
      <c r="G819" s="181"/>
      <c r="H819" s="209"/>
      <c r="I819" s="209"/>
      <c r="J819" s="209"/>
      <c r="K819" s="209"/>
      <c r="L819" s="209"/>
      <c r="M819" s="209"/>
      <c r="N819" s="209"/>
      <c r="O819" s="209"/>
      <c r="P819" s="209"/>
    </row>
    <row r="820" spans="3:16" x14ac:dyDescent="0.25">
      <c r="C820" s="123"/>
      <c r="D820" s="142"/>
      <c r="E820" s="142"/>
      <c r="F820" s="208"/>
      <c r="G820" s="181"/>
      <c r="H820" s="209"/>
      <c r="I820" s="209"/>
      <c r="J820" s="209"/>
      <c r="K820" s="209"/>
      <c r="L820" s="209"/>
      <c r="M820" s="209"/>
      <c r="N820" s="209"/>
      <c r="O820" s="209"/>
      <c r="P820" s="209"/>
    </row>
    <row r="821" spans="3:16" x14ac:dyDescent="0.25">
      <c r="C821" s="123"/>
      <c r="D821" s="142"/>
      <c r="E821" s="142"/>
      <c r="F821" s="208"/>
      <c r="G821" s="181"/>
      <c r="H821" s="209"/>
      <c r="I821" s="209"/>
      <c r="J821" s="209"/>
      <c r="K821" s="209"/>
      <c r="L821" s="209"/>
      <c r="M821" s="209"/>
      <c r="N821" s="209"/>
      <c r="O821" s="209"/>
      <c r="P821" s="209"/>
    </row>
    <row r="822" spans="3:16" x14ac:dyDescent="0.25">
      <c r="C822" s="123"/>
      <c r="D822" s="142"/>
      <c r="E822" s="142"/>
      <c r="F822" s="208"/>
      <c r="G822" s="181"/>
      <c r="H822" s="209"/>
      <c r="I822" s="209"/>
      <c r="J822" s="209"/>
      <c r="K822" s="209"/>
      <c r="L822" s="209"/>
      <c r="M822" s="209"/>
      <c r="N822" s="209"/>
      <c r="O822" s="209"/>
      <c r="P822" s="209"/>
    </row>
    <row r="823" spans="3:16" x14ac:dyDescent="0.25">
      <c r="C823" s="123"/>
      <c r="D823" s="142"/>
      <c r="E823" s="142"/>
      <c r="F823" s="208"/>
      <c r="G823" s="181"/>
      <c r="H823" s="209"/>
      <c r="I823" s="209"/>
      <c r="J823" s="209"/>
      <c r="K823" s="209"/>
      <c r="L823" s="209"/>
      <c r="M823" s="209"/>
      <c r="N823" s="209"/>
      <c r="O823" s="209"/>
      <c r="P823" s="209"/>
    </row>
    <row r="824" spans="3:16" x14ac:dyDescent="0.25">
      <c r="C824" s="123"/>
      <c r="D824" s="142"/>
      <c r="E824" s="142"/>
      <c r="F824" s="208"/>
      <c r="G824" s="181"/>
      <c r="H824" s="209"/>
      <c r="I824" s="209"/>
      <c r="J824" s="209"/>
      <c r="K824" s="209"/>
      <c r="L824" s="209"/>
      <c r="M824" s="209"/>
      <c r="N824" s="209"/>
      <c r="O824" s="209"/>
      <c r="P824" s="209"/>
    </row>
    <row r="825" spans="3:16" x14ac:dyDescent="0.25">
      <c r="C825" s="123"/>
      <c r="D825" s="142"/>
      <c r="E825" s="142"/>
      <c r="F825" s="208"/>
      <c r="G825" s="181"/>
      <c r="H825" s="209"/>
      <c r="I825" s="209"/>
      <c r="J825" s="209"/>
      <c r="K825" s="209"/>
      <c r="L825" s="209"/>
      <c r="M825" s="209"/>
      <c r="N825" s="209"/>
      <c r="O825" s="209"/>
      <c r="P825" s="209"/>
    </row>
    <row r="826" spans="3:16" x14ac:dyDescent="0.25">
      <c r="C826" s="123"/>
      <c r="D826" s="142"/>
      <c r="E826" s="142"/>
      <c r="F826" s="208"/>
      <c r="G826" s="181"/>
      <c r="H826" s="209"/>
      <c r="I826" s="209"/>
      <c r="J826" s="209"/>
      <c r="K826" s="209"/>
      <c r="L826" s="209"/>
      <c r="M826" s="209"/>
      <c r="N826" s="209"/>
      <c r="O826" s="209"/>
      <c r="P826" s="209"/>
    </row>
    <row r="827" spans="3:16" x14ac:dyDescent="0.25">
      <c r="C827" s="123"/>
      <c r="D827" s="142"/>
      <c r="E827" s="142"/>
      <c r="F827" s="208"/>
      <c r="G827" s="181"/>
      <c r="H827" s="209"/>
      <c r="I827" s="209"/>
      <c r="J827" s="209"/>
      <c r="K827" s="209"/>
      <c r="L827" s="209"/>
      <c r="M827" s="209"/>
      <c r="N827" s="209"/>
      <c r="O827" s="209"/>
      <c r="P827" s="209"/>
    </row>
    <row r="828" spans="3:16" x14ac:dyDescent="0.25">
      <c r="C828" s="123"/>
      <c r="D828" s="142"/>
      <c r="E828" s="142"/>
      <c r="F828" s="208"/>
      <c r="G828" s="181"/>
      <c r="H828" s="209"/>
      <c r="I828" s="209"/>
      <c r="J828" s="209"/>
      <c r="K828" s="209"/>
      <c r="L828" s="209"/>
      <c r="M828" s="209"/>
      <c r="N828" s="209"/>
      <c r="O828" s="209"/>
      <c r="P828" s="209"/>
    </row>
    <row r="829" spans="3:16" x14ac:dyDescent="0.25">
      <c r="C829" s="123"/>
      <c r="D829" s="142"/>
      <c r="E829" s="142"/>
      <c r="F829" s="208"/>
      <c r="G829" s="181"/>
      <c r="H829" s="209"/>
      <c r="I829" s="209"/>
      <c r="J829" s="209"/>
      <c r="K829" s="209"/>
      <c r="L829" s="209"/>
      <c r="M829" s="209"/>
      <c r="N829" s="209"/>
      <c r="O829" s="209"/>
      <c r="P829" s="209"/>
    </row>
    <row r="830" spans="3:16" x14ac:dyDescent="0.25">
      <c r="C830" s="123"/>
      <c r="D830" s="142"/>
      <c r="E830" s="142"/>
      <c r="F830" s="208"/>
      <c r="G830" s="181"/>
      <c r="H830" s="209"/>
      <c r="I830" s="209"/>
      <c r="J830" s="209"/>
      <c r="K830" s="209"/>
      <c r="L830" s="209"/>
      <c r="M830" s="209"/>
      <c r="N830" s="209"/>
      <c r="O830" s="209"/>
      <c r="P830" s="209"/>
    </row>
    <row r="831" spans="3:16" x14ac:dyDescent="0.25">
      <c r="C831" s="123"/>
      <c r="D831" s="142"/>
      <c r="E831" s="142"/>
      <c r="F831" s="208"/>
      <c r="G831" s="181"/>
      <c r="H831" s="209"/>
      <c r="I831" s="209"/>
      <c r="J831" s="209"/>
      <c r="K831" s="209"/>
      <c r="L831" s="209"/>
      <c r="M831" s="209"/>
      <c r="N831" s="209"/>
      <c r="O831" s="209"/>
      <c r="P831" s="209"/>
    </row>
    <row r="832" spans="3:16" x14ac:dyDescent="0.25">
      <c r="C832" s="123"/>
      <c r="D832" s="142"/>
      <c r="E832" s="142"/>
      <c r="F832" s="208"/>
      <c r="G832" s="181"/>
      <c r="H832" s="209"/>
      <c r="I832" s="209"/>
      <c r="J832" s="209"/>
      <c r="K832" s="209"/>
      <c r="L832" s="209"/>
      <c r="M832" s="209"/>
      <c r="N832" s="209"/>
      <c r="O832" s="209"/>
      <c r="P832" s="209"/>
    </row>
    <row r="833" spans="3:16" x14ac:dyDescent="0.25">
      <c r="C833" s="123"/>
      <c r="D833" s="142"/>
      <c r="E833" s="142"/>
      <c r="F833" s="208"/>
      <c r="G833" s="181"/>
      <c r="H833" s="209"/>
      <c r="I833" s="209"/>
      <c r="J833" s="209"/>
      <c r="K833" s="209"/>
      <c r="L833" s="209"/>
      <c r="M833" s="209"/>
      <c r="N833" s="209"/>
      <c r="O833" s="209"/>
      <c r="P833" s="209"/>
    </row>
    <row r="834" spans="3:16" x14ac:dyDescent="0.25">
      <c r="C834" s="123"/>
      <c r="D834" s="142"/>
      <c r="E834" s="142"/>
      <c r="F834" s="208"/>
      <c r="G834" s="181"/>
      <c r="H834" s="209"/>
      <c r="I834" s="209"/>
      <c r="J834" s="209"/>
      <c r="K834" s="209"/>
      <c r="L834" s="209"/>
      <c r="M834" s="209"/>
      <c r="N834" s="209"/>
      <c r="O834" s="209"/>
      <c r="P834" s="209"/>
    </row>
    <row r="835" spans="3:16" x14ac:dyDescent="0.25">
      <c r="C835" s="123"/>
      <c r="D835" s="142"/>
      <c r="E835" s="142"/>
      <c r="F835" s="208"/>
      <c r="G835" s="181"/>
      <c r="H835" s="209"/>
      <c r="I835" s="209"/>
      <c r="J835" s="209"/>
      <c r="K835" s="209"/>
      <c r="L835" s="209"/>
      <c r="M835" s="209"/>
      <c r="N835" s="209"/>
      <c r="O835" s="209"/>
      <c r="P835" s="209"/>
    </row>
    <row r="836" spans="3:16" x14ac:dyDescent="0.25">
      <c r="C836" s="123"/>
      <c r="D836" s="142"/>
      <c r="E836" s="142"/>
      <c r="F836" s="208"/>
      <c r="G836" s="181"/>
      <c r="H836" s="209"/>
      <c r="I836" s="209"/>
      <c r="J836" s="209"/>
      <c r="K836" s="209"/>
      <c r="L836" s="209"/>
      <c r="M836" s="209"/>
      <c r="N836" s="209"/>
      <c r="O836" s="209"/>
      <c r="P836" s="209"/>
    </row>
    <row r="837" spans="3:16" x14ac:dyDescent="0.25">
      <c r="C837" s="123"/>
      <c r="D837" s="142"/>
      <c r="E837" s="142"/>
      <c r="F837" s="208"/>
      <c r="G837" s="181"/>
      <c r="H837" s="209"/>
      <c r="I837" s="209"/>
      <c r="J837" s="209"/>
      <c r="K837" s="209"/>
      <c r="L837" s="209"/>
      <c r="M837" s="209"/>
      <c r="N837" s="209"/>
      <c r="O837" s="209"/>
      <c r="P837" s="209"/>
    </row>
    <row r="838" spans="3:16" x14ac:dyDescent="0.25">
      <c r="C838" s="123"/>
      <c r="D838" s="142"/>
      <c r="E838" s="142"/>
      <c r="F838" s="208"/>
      <c r="G838" s="181"/>
      <c r="H838" s="209"/>
      <c r="I838" s="209"/>
      <c r="J838" s="209"/>
      <c r="K838" s="209"/>
      <c r="L838" s="209"/>
      <c r="M838" s="209"/>
      <c r="N838" s="209"/>
      <c r="O838" s="209"/>
      <c r="P838" s="209"/>
    </row>
    <row r="839" spans="3:16" x14ac:dyDescent="0.25">
      <c r="C839" s="123"/>
      <c r="D839" s="142"/>
      <c r="E839" s="142"/>
      <c r="F839" s="208"/>
      <c r="G839" s="181"/>
      <c r="H839" s="209"/>
      <c r="I839" s="209"/>
      <c r="J839" s="209"/>
      <c r="K839" s="209"/>
      <c r="L839" s="209"/>
      <c r="M839" s="209"/>
      <c r="N839" s="209"/>
      <c r="O839" s="209"/>
      <c r="P839" s="209"/>
    </row>
    <row r="840" spans="3:16" x14ac:dyDescent="0.25">
      <c r="C840" s="123"/>
      <c r="D840" s="142"/>
      <c r="E840" s="142"/>
      <c r="F840" s="208"/>
      <c r="G840" s="181"/>
      <c r="H840" s="209"/>
      <c r="I840" s="209"/>
      <c r="J840" s="209"/>
      <c r="K840" s="209"/>
      <c r="L840" s="209"/>
      <c r="M840" s="209"/>
      <c r="N840" s="209"/>
      <c r="O840" s="209"/>
      <c r="P840" s="209"/>
    </row>
    <row r="841" spans="3:16" x14ac:dyDescent="0.25">
      <c r="C841" s="123"/>
      <c r="D841" s="142"/>
      <c r="E841" s="142"/>
      <c r="F841" s="208"/>
      <c r="G841" s="181"/>
      <c r="H841" s="209"/>
      <c r="I841" s="209"/>
      <c r="J841" s="209"/>
      <c r="K841" s="209"/>
      <c r="L841" s="209"/>
      <c r="M841" s="209"/>
      <c r="N841" s="209"/>
      <c r="O841" s="209"/>
      <c r="P841" s="209"/>
    </row>
    <row r="842" spans="3:16" x14ac:dyDescent="0.25">
      <c r="C842" s="123"/>
      <c r="D842" s="142"/>
      <c r="E842" s="142"/>
      <c r="F842" s="208"/>
      <c r="G842" s="181"/>
      <c r="H842" s="209"/>
      <c r="I842" s="209"/>
      <c r="J842" s="209"/>
      <c r="K842" s="209"/>
      <c r="L842" s="209"/>
      <c r="M842" s="209"/>
      <c r="N842" s="209"/>
      <c r="O842" s="209"/>
      <c r="P842" s="209"/>
    </row>
    <row r="843" spans="3:16" x14ac:dyDescent="0.25">
      <c r="C843" s="123"/>
      <c r="D843" s="142"/>
      <c r="E843" s="142"/>
      <c r="F843" s="208"/>
      <c r="G843" s="181"/>
      <c r="H843" s="209"/>
      <c r="I843" s="209"/>
      <c r="J843" s="209"/>
      <c r="K843" s="209"/>
      <c r="L843" s="209"/>
      <c r="M843" s="209"/>
      <c r="N843" s="209"/>
      <c r="O843" s="209"/>
      <c r="P843" s="209"/>
    </row>
    <row r="844" spans="3:16" x14ac:dyDescent="0.25">
      <c r="C844" s="123"/>
      <c r="D844" s="142"/>
      <c r="E844" s="142"/>
      <c r="F844" s="208"/>
      <c r="G844" s="181"/>
      <c r="H844" s="209"/>
      <c r="I844" s="209"/>
      <c r="J844" s="209"/>
      <c r="K844" s="209"/>
      <c r="L844" s="209"/>
      <c r="M844" s="209"/>
      <c r="N844" s="209"/>
      <c r="O844" s="209"/>
      <c r="P844" s="209"/>
    </row>
    <row r="845" spans="3:16" x14ac:dyDescent="0.25">
      <c r="C845" s="123"/>
      <c r="D845" s="142"/>
      <c r="E845" s="142"/>
      <c r="F845" s="208"/>
      <c r="G845" s="181"/>
      <c r="H845" s="209"/>
      <c r="I845" s="209"/>
      <c r="J845" s="209"/>
      <c r="K845" s="209"/>
      <c r="L845" s="209"/>
      <c r="M845" s="209"/>
      <c r="N845" s="209"/>
      <c r="O845" s="209"/>
      <c r="P845" s="209"/>
    </row>
    <row r="846" spans="3:16" x14ac:dyDescent="0.25">
      <c r="C846" s="123"/>
      <c r="D846" s="142"/>
      <c r="E846" s="142"/>
      <c r="F846" s="208"/>
      <c r="G846" s="181"/>
      <c r="H846" s="209"/>
      <c r="I846" s="209"/>
      <c r="J846" s="209"/>
      <c r="K846" s="209"/>
      <c r="L846" s="209"/>
      <c r="M846" s="209"/>
      <c r="N846" s="209"/>
      <c r="O846" s="209"/>
      <c r="P846" s="209"/>
    </row>
    <row r="847" spans="3:16" x14ac:dyDescent="0.25">
      <c r="C847" s="123"/>
      <c r="D847" s="142"/>
      <c r="E847" s="142"/>
      <c r="F847" s="208"/>
      <c r="G847" s="181"/>
      <c r="H847" s="209"/>
      <c r="I847" s="209"/>
      <c r="J847" s="209"/>
      <c r="K847" s="209"/>
      <c r="L847" s="209"/>
      <c r="M847" s="209"/>
      <c r="N847" s="209"/>
      <c r="O847" s="209"/>
      <c r="P847" s="209"/>
    </row>
    <row r="848" spans="3:16" x14ac:dyDescent="0.25">
      <c r="C848" s="123"/>
      <c r="D848" s="142"/>
      <c r="E848" s="142"/>
      <c r="F848" s="208"/>
      <c r="G848" s="181"/>
      <c r="H848" s="209"/>
      <c r="I848" s="209"/>
      <c r="J848" s="209"/>
      <c r="K848" s="209"/>
      <c r="L848" s="209"/>
      <c r="M848" s="209"/>
      <c r="N848" s="209"/>
      <c r="O848" s="209"/>
      <c r="P848" s="209"/>
    </row>
    <row r="849" spans="3:16" x14ac:dyDescent="0.25">
      <c r="C849" s="123"/>
      <c r="D849" s="142"/>
      <c r="E849" s="142"/>
      <c r="F849" s="208"/>
      <c r="G849" s="181"/>
      <c r="H849" s="209"/>
      <c r="I849" s="209"/>
      <c r="J849" s="209"/>
      <c r="K849" s="209"/>
      <c r="L849" s="209"/>
      <c r="M849" s="209"/>
      <c r="N849" s="209"/>
      <c r="O849" s="209"/>
      <c r="P849" s="209"/>
    </row>
    <row r="850" spans="3:16" x14ac:dyDescent="0.25">
      <c r="C850" s="123"/>
      <c r="D850" s="142"/>
      <c r="E850" s="142"/>
      <c r="F850" s="208"/>
      <c r="G850" s="181"/>
      <c r="H850" s="209"/>
      <c r="I850" s="209"/>
      <c r="J850" s="209"/>
      <c r="K850" s="209"/>
      <c r="L850" s="209"/>
      <c r="M850" s="209"/>
      <c r="N850" s="209"/>
      <c r="O850" s="209"/>
      <c r="P850" s="209"/>
    </row>
    <row r="851" spans="3:16" x14ac:dyDescent="0.25">
      <c r="C851" s="123"/>
      <c r="D851" s="142"/>
      <c r="E851" s="142"/>
      <c r="F851" s="208"/>
      <c r="G851" s="181"/>
      <c r="H851" s="209"/>
      <c r="I851" s="209"/>
      <c r="J851" s="209"/>
      <c r="K851" s="209"/>
      <c r="L851" s="209"/>
      <c r="M851" s="209"/>
      <c r="N851" s="209"/>
      <c r="O851" s="209"/>
      <c r="P851" s="209"/>
    </row>
    <row r="852" spans="3:16" x14ac:dyDescent="0.25">
      <c r="C852" s="123"/>
      <c r="D852" s="142"/>
      <c r="E852" s="142"/>
      <c r="F852" s="208"/>
      <c r="G852" s="181"/>
      <c r="H852" s="209"/>
      <c r="I852" s="209"/>
      <c r="J852" s="209"/>
      <c r="K852" s="209"/>
      <c r="L852" s="209"/>
      <c r="M852" s="209"/>
      <c r="N852" s="209"/>
      <c r="O852" s="209"/>
      <c r="P852" s="209"/>
    </row>
    <row r="853" spans="3:16" x14ac:dyDescent="0.25">
      <c r="C853" s="123"/>
      <c r="D853" s="142"/>
      <c r="E853" s="142"/>
      <c r="F853" s="208"/>
      <c r="G853" s="181"/>
      <c r="H853" s="209"/>
      <c r="I853" s="209"/>
      <c r="J853" s="209"/>
      <c r="K853" s="209"/>
      <c r="L853" s="209"/>
      <c r="M853" s="209"/>
      <c r="N853" s="209"/>
      <c r="O853" s="209"/>
      <c r="P853" s="209"/>
    </row>
    <row r="854" spans="3:16" x14ac:dyDescent="0.25">
      <c r="C854" s="123"/>
      <c r="D854" s="142"/>
      <c r="E854" s="142"/>
      <c r="F854" s="208"/>
      <c r="G854" s="181"/>
      <c r="H854" s="209"/>
      <c r="I854" s="209"/>
      <c r="J854" s="209"/>
      <c r="K854" s="209"/>
      <c r="L854" s="209"/>
      <c r="M854" s="209"/>
      <c r="N854" s="209"/>
      <c r="O854" s="209"/>
      <c r="P854" s="209"/>
    </row>
    <row r="855" spans="3:16" x14ac:dyDescent="0.25">
      <c r="C855" s="123"/>
      <c r="D855" s="142"/>
      <c r="E855" s="142"/>
      <c r="F855" s="208"/>
      <c r="G855" s="181"/>
      <c r="H855" s="209"/>
      <c r="I855" s="209"/>
      <c r="J855" s="209"/>
      <c r="K855" s="209"/>
      <c r="L855" s="209"/>
      <c r="M855" s="209"/>
      <c r="N855" s="209"/>
      <c r="O855" s="209"/>
      <c r="P855" s="209"/>
    </row>
    <row r="856" spans="3:16" x14ac:dyDescent="0.25">
      <c r="C856" s="123"/>
      <c r="D856" s="142"/>
      <c r="E856" s="142"/>
      <c r="F856" s="208"/>
      <c r="G856" s="181"/>
      <c r="H856" s="209"/>
      <c r="I856" s="209"/>
      <c r="J856" s="209"/>
      <c r="K856" s="209"/>
      <c r="L856" s="209"/>
      <c r="M856" s="209"/>
      <c r="N856" s="209"/>
      <c r="O856" s="209"/>
      <c r="P856" s="209"/>
    </row>
    <row r="857" spans="3:16" x14ac:dyDescent="0.25">
      <c r="C857" s="123"/>
      <c r="D857" s="142"/>
      <c r="E857" s="142"/>
      <c r="F857" s="208"/>
      <c r="G857" s="181"/>
      <c r="H857" s="209"/>
      <c r="I857" s="209"/>
      <c r="J857" s="209"/>
      <c r="K857" s="209"/>
      <c r="L857" s="209"/>
      <c r="M857" s="209"/>
      <c r="N857" s="209"/>
      <c r="O857" s="209"/>
      <c r="P857" s="209"/>
    </row>
    <row r="858" spans="3:16" x14ac:dyDescent="0.25">
      <c r="C858" s="123"/>
      <c r="D858" s="142"/>
      <c r="E858" s="142"/>
      <c r="F858" s="208"/>
      <c r="G858" s="181"/>
      <c r="H858" s="209"/>
      <c r="I858" s="209"/>
      <c r="J858" s="209"/>
      <c r="K858" s="209"/>
      <c r="L858" s="209"/>
      <c r="M858" s="209"/>
      <c r="N858" s="209"/>
      <c r="O858" s="209"/>
      <c r="P858" s="209"/>
    </row>
    <row r="859" spans="3:16" x14ac:dyDescent="0.25">
      <c r="C859" s="123"/>
      <c r="D859" s="142"/>
      <c r="E859" s="142"/>
      <c r="F859" s="208"/>
      <c r="G859" s="181"/>
      <c r="H859" s="209"/>
      <c r="I859" s="209"/>
      <c r="J859" s="209"/>
      <c r="K859" s="209"/>
      <c r="L859" s="209"/>
      <c r="M859" s="209"/>
      <c r="N859" s="209"/>
      <c r="O859" s="209"/>
      <c r="P859" s="209"/>
    </row>
    <row r="860" spans="3:16" x14ac:dyDescent="0.25">
      <c r="C860" s="123"/>
      <c r="D860" s="142"/>
      <c r="E860" s="142"/>
      <c r="F860" s="208"/>
      <c r="G860" s="181"/>
      <c r="H860" s="209"/>
      <c r="I860" s="209"/>
      <c r="J860" s="209"/>
      <c r="K860" s="209"/>
      <c r="L860" s="209"/>
      <c r="M860" s="209"/>
      <c r="N860" s="209"/>
      <c r="O860" s="209"/>
      <c r="P860" s="209"/>
    </row>
    <row r="861" spans="3:16" x14ac:dyDescent="0.25">
      <c r="C861" s="123"/>
      <c r="D861" s="142"/>
      <c r="E861" s="142"/>
      <c r="F861" s="208"/>
      <c r="G861" s="181"/>
      <c r="H861" s="209"/>
      <c r="I861" s="209"/>
      <c r="J861" s="209"/>
      <c r="K861" s="209"/>
      <c r="L861" s="209"/>
      <c r="M861" s="209"/>
      <c r="N861" s="209"/>
      <c r="O861" s="209"/>
      <c r="P861" s="209"/>
    </row>
    <row r="862" spans="3:16" x14ac:dyDescent="0.25">
      <c r="C862" s="123"/>
      <c r="D862" s="142"/>
      <c r="E862" s="142"/>
      <c r="F862" s="208"/>
      <c r="G862" s="181"/>
      <c r="H862" s="209"/>
      <c r="I862" s="209"/>
      <c r="J862" s="209"/>
      <c r="K862" s="209"/>
      <c r="L862" s="209"/>
      <c r="M862" s="209"/>
      <c r="N862" s="209"/>
      <c r="O862" s="209"/>
      <c r="P862" s="209"/>
    </row>
    <row r="863" spans="3:16" x14ac:dyDescent="0.25">
      <c r="C863" s="123"/>
      <c r="D863" s="142"/>
      <c r="E863" s="142"/>
      <c r="F863" s="208"/>
      <c r="G863" s="181"/>
      <c r="H863" s="209"/>
      <c r="I863" s="209"/>
      <c r="J863" s="209"/>
      <c r="K863" s="209"/>
      <c r="L863" s="209"/>
      <c r="M863" s="209"/>
      <c r="N863" s="209"/>
      <c r="O863" s="209"/>
      <c r="P863" s="209"/>
    </row>
    <row r="864" spans="3:16" x14ac:dyDescent="0.25">
      <c r="C864" s="123"/>
      <c r="D864" s="142"/>
      <c r="E864" s="142"/>
      <c r="F864" s="208"/>
      <c r="G864" s="181"/>
      <c r="H864" s="209"/>
      <c r="I864" s="209"/>
      <c r="J864" s="209"/>
      <c r="K864" s="209"/>
      <c r="L864" s="209"/>
      <c r="M864" s="209"/>
      <c r="N864" s="209"/>
      <c r="O864" s="209"/>
      <c r="P864" s="209"/>
    </row>
    <row r="865" spans="3:16" x14ac:dyDescent="0.25">
      <c r="C865" s="123"/>
      <c r="D865" s="142"/>
      <c r="E865" s="142"/>
      <c r="F865" s="208"/>
      <c r="G865" s="181"/>
      <c r="H865" s="209"/>
      <c r="I865" s="209"/>
      <c r="J865" s="209"/>
      <c r="K865" s="209"/>
      <c r="L865" s="209"/>
      <c r="M865" s="209"/>
      <c r="N865" s="209"/>
      <c r="O865" s="209"/>
      <c r="P865" s="209"/>
    </row>
    <row r="866" spans="3:16" x14ac:dyDescent="0.25">
      <c r="C866" s="123"/>
      <c r="D866" s="142"/>
      <c r="E866" s="142"/>
      <c r="F866" s="208"/>
      <c r="G866" s="181"/>
      <c r="H866" s="209"/>
      <c r="I866" s="209"/>
      <c r="J866" s="209"/>
      <c r="K866" s="209"/>
      <c r="L866" s="209"/>
      <c r="M866" s="209"/>
      <c r="N866" s="209"/>
      <c r="O866" s="209"/>
      <c r="P866" s="209"/>
    </row>
    <row r="867" spans="3:16" x14ac:dyDescent="0.25">
      <c r="C867" s="123"/>
      <c r="D867" s="142"/>
      <c r="E867" s="142"/>
      <c r="F867" s="208"/>
      <c r="G867" s="181"/>
      <c r="H867" s="209"/>
      <c r="I867" s="209"/>
      <c r="J867" s="209"/>
      <c r="K867" s="209"/>
      <c r="L867" s="209"/>
      <c r="M867" s="209"/>
      <c r="N867" s="209"/>
      <c r="O867" s="209"/>
      <c r="P867" s="209"/>
    </row>
    <row r="868" spans="3:16" x14ac:dyDescent="0.25">
      <c r="C868" s="123"/>
      <c r="D868" s="142"/>
      <c r="E868" s="142"/>
      <c r="F868" s="208"/>
      <c r="G868" s="181"/>
      <c r="H868" s="209"/>
      <c r="I868" s="209"/>
      <c r="J868" s="209"/>
      <c r="K868" s="209"/>
      <c r="L868" s="209"/>
      <c r="M868" s="209"/>
      <c r="N868" s="209"/>
      <c r="O868" s="209"/>
      <c r="P868" s="209"/>
    </row>
    <row r="869" spans="3:16" x14ac:dyDescent="0.25">
      <c r="C869" s="123"/>
      <c r="D869" s="142"/>
      <c r="E869" s="142"/>
      <c r="F869" s="208"/>
      <c r="G869" s="181"/>
      <c r="H869" s="209"/>
      <c r="I869" s="209"/>
      <c r="J869" s="209"/>
      <c r="K869" s="209"/>
      <c r="L869" s="209"/>
      <c r="M869" s="209"/>
      <c r="N869" s="209"/>
      <c r="O869" s="209"/>
      <c r="P869" s="209"/>
    </row>
    <row r="870" spans="3:16" x14ac:dyDescent="0.25">
      <c r="C870" s="123"/>
      <c r="D870" s="142"/>
      <c r="E870" s="142"/>
      <c r="F870" s="208"/>
      <c r="G870" s="181"/>
      <c r="H870" s="209"/>
      <c r="I870" s="209"/>
      <c r="J870" s="209"/>
      <c r="K870" s="209"/>
      <c r="L870" s="209"/>
      <c r="M870" s="209"/>
      <c r="N870" s="209"/>
      <c r="O870" s="209"/>
      <c r="P870" s="209"/>
    </row>
    <row r="871" spans="3:16" x14ac:dyDescent="0.25">
      <c r="C871" s="123"/>
      <c r="D871" s="142"/>
      <c r="E871" s="142"/>
      <c r="F871" s="208"/>
      <c r="G871" s="181"/>
      <c r="H871" s="209"/>
      <c r="I871" s="209"/>
      <c r="J871" s="209"/>
      <c r="K871" s="209"/>
      <c r="L871" s="209"/>
      <c r="M871" s="209"/>
      <c r="N871" s="209"/>
      <c r="O871" s="209"/>
      <c r="P871" s="209"/>
    </row>
    <row r="872" spans="3:16" x14ac:dyDescent="0.25">
      <c r="C872" s="123"/>
      <c r="D872" s="142"/>
      <c r="E872" s="142"/>
      <c r="F872" s="208"/>
      <c r="G872" s="181"/>
      <c r="H872" s="209"/>
      <c r="I872" s="209"/>
      <c r="J872" s="209"/>
      <c r="K872" s="209"/>
      <c r="L872" s="209"/>
      <c r="M872" s="209"/>
      <c r="N872" s="209"/>
      <c r="O872" s="209"/>
      <c r="P872" s="209"/>
    </row>
    <row r="873" spans="3:16" x14ac:dyDescent="0.25">
      <c r="C873" s="123"/>
      <c r="D873" s="142"/>
      <c r="E873" s="142"/>
      <c r="F873" s="208"/>
      <c r="G873" s="181"/>
      <c r="H873" s="209"/>
      <c r="I873" s="209"/>
      <c r="J873" s="209"/>
      <c r="K873" s="209"/>
      <c r="L873" s="209"/>
      <c r="M873" s="209"/>
      <c r="N873" s="209"/>
      <c r="O873" s="209"/>
      <c r="P873" s="209"/>
    </row>
    <row r="874" spans="3:16" x14ac:dyDescent="0.25">
      <c r="C874" s="123"/>
      <c r="D874" s="142"/>
      <c r="E874" s="142"/>
      <c r="F874" s="208"/>
      <c r="G874" s="181"/>
      <c r="H874" s="209"/>
      <c r="I874" s="209"/>
      <c r="J874" s="209"/>
      <c r="K874" s="209"/>
      <c r="L874" s="209"/>
      <c r="M874" s="209"/>
      <c r="N874" s="209"/>
      <c r="O874" s="209"/>
      <c r="P874" s="209"/>
    </row>
    <row r="875" spans="3:16" x14ac:dyDescent="0.25">
      <c r="C875" s="123"/>
      <c r="D875" s="142"/>
      <c r="E875" s="142"/>
      <c r="F875" s="208"/>
      <c r="G875" s="181"/>
      <c r="H875" s="209"/>
      <c r="I875" s="209"/>
      <c r="J875" s="209"/>
      <c r="K875" s="209"/>
      <c r="L875" s="209"/>
      <c r="M875" s="209"/>
      <c r="N875" s="209"/>
      <c r="O875" s="209"/>
      <c r="P875" s="209"/>
    </row>
    <row r="876" spans="3:16" x14ac:dyDescent="0.25">
      <c r="C876" s="123"/>
      <c r="D876" s="142"/>
      <c r="E876" s="142"/>
      <c r="F876" s="208"/>
      <c r="G876" s="181"/>
      <c r="H876" s="209"/>
      <c r="I876" s="209"/>
      <c r="J876" s="209"/>
      <c r="K876" s="209"/>
      <c r="L876" s="209"/>
      <c r="M876" s="209"/>
      <c r="N876" s="209"/>
      <c r="O876" s="209"/>
      <c r="P876" s="209"/>
    </row>
    <row r="877" spans="3:16" x14ac:dyDescent="0.25">
      <c r="C877" s="123"/>
      <c r="D877" s="142"/>
      <c r="E877" s="142"/>
      <c r="F877" s="208"/>
      <c r="G877" s="181"/>
      <c r="H877" s="209"/>
      <c r="I877" s="209"/>
      <c r="J877" s="209"/>
      <c r="K877" s="209"/>
      <c r="L877" s="209"/>
      <c r="M877" s="209"/>
      <c r="N877" s="209"/>
      <c r="O877" s="209"/>
      <c r="P877" s="209"/>
    </row>
    <row r="878" spans="3:16" x14ac:dyDescent="0.25">
      <c r="C878" s="123"/>
      <c r="D878" s="142"/>
      <c r="E878" s="142"/>
      <c r="F878" s="208"/>
      <c r="G878" s="181"/>
      <c r="H878" s="209"/>
      <c r="I878" s="209"/>
      <c r="J878" s="209"/>
      <c r="K878" s="209"/>
      <c r="L878" s="209"/>
      <c r="M878" s="209"/>
      <c r="N878" s="209"/>
      <c r="O878" s="209"/>
      <c r="P878" s="209"/>
    </row>
    <row r="879" spans="3:16" x14ac:dyDescent="0.25">
      <c r="C879" s="123"/>
      <c r="D879" s="142"/>
      <c r="E879" s="142"/>
      <c r="F879" s="208"/>
      <c r="G879" s="181"/>
      <c r="H879" s="209"/>
      <c r="I879" s="209"/>
      <c r="J879" s="209"/>
      <c r="K879" s="209"/>
      <c r="L879" s="209"/>
      <c r="M879" s="209"/>
      <c r="N879" s="209"/>
      <c r="O879" s="209"/>
      <c r="P879" s="209"/>
    </row>
    <row r="880" spans="3:16" x14ac:dyDescent="0.25">
      <c r="C880" s="123"/>
      <c r="D880" s="142"/>
      <c r="E880" s="142"/>
      <c r="F880" s="208"/>
      <c r="G880" s="181"/>
      <c r="H880" s="209"/>
      <c r="I880" s="209"/>
      <c r="J880" s="209"/>
      <c r="K880" s="209"/>
      <c r="L880" s="209"/>
      <c r="M880" s="209"/>
      <c r="N880" s="209"/>
      <c r="O880" s="209"/>
      <c r="P880" s="209"/>
    </row>
    <row r="881" spans="3:16" x14ac:dyDescent="0.25">
      <c r="C881" s="123"/>
      <c r="D881" s="142"/>
      <c r="E881" s="142"/>
      <c r="F881" s="208"/>
      <c r="G881" s="181"/>
      <c r="H881" s="209"/>
      <c r="I881" s="209"/>
      <c r="J881" s="209"/>
      <c r="K881" s="209"/>
      <c r="L881" s="209"/>
      <c r="M881" s="209"/>
      <c r="N881" s="209"/>
      <c r="O881" s="209"/>
      <c r="P881" s="209"/>
    </row>
    <row r="882" spans="3:16" x14ac:dyDescent="0.25">
      <c r="C882" s="123"/>
      <c r="D882" s="142"/>
      <c r="E882" s="142"/>
      <c r="F882" s="208"/>
      <c r="G882" s="181"/>
      <c r="H882" s="209"/>
      <c r="I882" s="209"/>
      <c r="J882" s="209"/>
      <c r="K882" s="209"/>
      <c r="L882" s="209"/>
      <c r="M882" s="209"/>
      <c r="N882" s="209"/>
      <c r="O882" s="209"/>
      <c r="P882" s="209"/>
    </row>
    <row r="883" spans="3:16" x14ac:dyDescent="0.25">
      <c r="C883" s="123"/>
      <c r="D883" s="142"/>
      <c r="E883" s="142"/>
      <c r="F883" s="208"/>
      <c r="G883" s="181"/>
      <c r="H883" s="209"/>
      <c r="I883" s="209"/>
      <c r="J883" s="209"/>
      <c r="K883" s="209"/>
      <c r="L883" s="209"/>
      <c r="M883" s="209"/>
      <c r="N883" s="209"/>
      <c r="O883" s="209"/>
      <c r="P883" s="209"/>
    </row>
    <row r="884" spans="3:16" x14ac:dyDescent="0.25">
      <c r="C884" s="123"/>
      <c r="D884" s="142"/>
      <c r="E884" s="142"/>
      <c r="F884" s="208"/>
      <c r="G884" s="181"/>
      <c r="H884" s="209"/>
      <c r="I884" s="209"/>
      <c r="J884" s="209"/>
      <c r="K884" s="209"/>
      <c r="L884" s="209"/>
      <c r="M884" s="209"/>
      <c r="N884" s="209"/>
      <c r="O884" s="209"/>
      <c r="P884" s="209"/>
    </row>
    <row r="885" spans="3:16" x14ac:dyDescent="0.25">
      <c r="C885" s="123"/>
      <c r="D885" s="142"/>
      <c r="E885" s="142"/>
      <c r="F885" s="208"/>
      <c r="G885" s="181"/>
      <c r="H885" s="209"/>
      <c r="I885" s="209"/>
      <c r="J885" s="209"/>
      <c r="K885" s="209"/>
      <c r="L885" s="209"/>
      <c r="M885" s="209"/>
      <c r="N885" s="209"/>
      <c r="O885" s="209"/>
      <c r="P885" s="209"/>
    </row>
    <row r="886" spans="3:16" x14ac:dyDescent="0.25">
      <c r="C886" s="123"/>
      <c r="D886" s="142"/>
      <c r="E886" s="142"/>
      <c r="F886" s="208"/>
      <c r="G886" s="181"/>
      <c r="H886" s="209"/>
      <c r="I886" s="209"/>
      <c r="J886" s="209"/>
      <c r="K886" s="209"/>
      <c r="L886" s="209"/>
      <c r="M886" s="209"/>
      <c r="N886" s="209"/>
      <c r="O886" s="209"/>
      <c r="P886" s="209"/>
    </row>
    <row r="887" spans="3:16" x14ac:dyDescent="0.25">
      <c r="C887" s="123"/>
      <c r="D887" s="142"/>
      <c r="E887" s="142"/>
      <c r="F887" s="208"/>
      <c r="G887" s="181"/>
      <c r="H887" s="209"/>
      <c r="I887" s="209"/>
      <c r="J887" s="209"/>
      <c r="K887" s="209"/>
      <c r="L887" s="209"/>
      <c r="M887" s="209"/>
      <c r="N887" s="209"/>
      <c r="O887" s="209"/>
      <c r="P887" s="209"/>
    </row>
    <row r="888" spans="3:16" x14ac:dyDescent="0.25">
      <c r="C888" s="123"/>
      <c r="D888" s="142"/>
      <c r="E888" s="142"/>
      <c r="F888" s="208"/>
      <c r="G888" s="181"/>
      <c r="H888" s="209"/>
      <c r="I888" s="209"/>
      <c r="J888" s="209"/>
      <c r="K888" s="209"/>
      <c r="L888" s="209"/>
      <c r="M888" s="209"/>
      <c r="N888" s="209"/>
      <c r="O888" s="209"/>
      <c r="P888" s="209"/>
    </row>
    <row r="889" spans="3:16" x14ac:dyDescent="0.25">
      <c r="C889" s="123"/>
      <c r="D889" s="142"/>
      <c r="E889" s="142"/>
      <c r="F889" s="208"/>
      <c r="G889" s="181"/>
      <c r="H889" s="209"/>
      <c r="I889" s="209"/>
      <c r="J889" s="209"/>
      <c r="K889" s="209"/>
      <c r="L889" s="209"/>
      <c r="M889" s="209"/>
      <c r="N889" s="209"/>
      <c r="O889" s="209"/>
      <c r="P889" s="209"/>
    </row>
    <row r="890" spans="3:16" x14ac:dyDescent="0.25">
      <c r="C890" s="123"/>
      <c r="D890" s="142"/>
      <c r="E890" s="142"/>
      <c r="F890" s="208"/>
      <c r="G890" s="181"/>
      <c r="H890" s="209"/>
      <c r="I890" s="209"/>
      <c r="J890" s="209"/>
      <c r="K890" s="209"/>
      <c r="L890" s="209"/>
      <c r="M890" s="209"/>
      <c r="N890" s="209"/>
      <c r="O890" s="209"/>
      <c r="P890" s="209"/>
    </row>
    <row r="891" spans="3:16" x14ac:dyDescent="0.25">
      <c r="C891" s="123"/>
      <c r="D891" s="142"/>
      <c r="E891" s="142"/>
      <c r="F891" s="208"/>
      <c r="G891" s="181"/>
      <c r="H891" s="209"/>
      <c r="I891" s="209"/>
      <c r="J891" s="209"/>
      <c r="K891" s="209"/>
      <c r="L891" s="209"/>
      <c r="M891" s="209"/>
      <c r="N891" s="209"/>
      <c r="O891" s="209"/>
      <c r="P891" s="209"/>
    </row>
    <row r="892" spans="3:16" x14ac:dyDescent="0.25">
      <c r="C892" s="123"/>
      <c r="D892" s="142"/>
      <c r="E892" s="142"/>
      <c r="F892" s="208"/>
      <c r="G892" s="181"/>
      <c r="H892" s="209"/>
      <c r="I892" s="209"/>
      <c r="J892" s="209"/>
      <c r="K892" s="209"/>
      <c r="L892" s="209"/>
      <c r="M892" s="209"/>
      <c r="N892" s="209"/>
      <c r="O892" s="209"/>
      <c r="P892" s="209"/>
    </row>
    <row r="893" spans="3:16" x14ac:dyDescent="0.25">
      <c r="C893" s="123"/>
      <c r="D893" s="142"/>
      <c r="E893" s="142"/>
      <c r="F893" s="208"/>
      <c r="G893" s="181"/>
      <c r="H893" s="209"/>
      <c r="I893" s="209"/>
      <c r="J893" s="209"/>
      <c r="K893" s="209"/>
      <c r="L893" s="209"/>
      <c r="M893" s="209"/>
      <c r="N893" s="209"/>
      <c r="O893" s="209"/>
      <c r="P893" s="209"/>
    </row>
    <row r="894" spans="3:16" x14ac:dyDescent="0.25">
      <c r="C894" s="123"/>
      <c r="D894" s="142"/>
      <c r="E894" s="142"/>
      <c r="F894" s="208"/>
      <c r="G894" s="181"/>
      <c r="H894" s="209"/>
      <c r="I894" s="209"/>
      <c r="J894" s="209"/>
      <c r="K894" s="209"/>
      <c r="L894" s="209"/>
      <c r="M894" s="209"/>
      <c r="N894" s="209"/>
      <c r="O894" s="209"/>
      <c r="P894" s="209"/>
    </row>
    <row r="895" spans="3:16" x14ac:dyDescent="0.25">
      <c r="C895" s="123"/>
      <c r="D895" s="142"/>
      <c r="E895" s="142"/>
      <c r="F895" s="208"/>
      <c r="G895" s="181"/>
      <c r="H895" s="209"/>
      <c r="I895" s="209"/>
      <c r="J895" s="209"/>
      <c r="K895" s="209"/>
      <c r="L895" s="209"/>
      <c r="M895" s="209"/>
      <c r="N895" s="209"/>
      <c r="O895" s="209"/>
      <c r="P895" s="209"/>
    </row>
    <row r="896" spans="3:16" x14ac:dyDescent="0.25">
      <c r="C896" s="123"/>
      <c r="D896" s="142"/>
      <c r="E896" s="142"/>
      <c r="F896" s="208"/>
      <c r="G896" s="181"/>
      <c r="H896" s="209"/>
      <c r="I896" s="209"/>
      <c r="J896" s="209"/>
      <c r="K896" s="209"/>
      <c r="L896" s="209"/>
      <c r="M896" s="209"/>
      <c r="N896" s="209"/>
      <c r="O896" s="209"/>
      <c r="P896" s="209"/>
    </row>
    <row r="897" spans="3:16" x14ac:dyDescent="0.25">
      <c r="C897" s="123"/>
      <c r="D897" s="142"/>
      <c r="E897" s="142"/>
      <c r="F897" s="208"/>
      <c r="G897" s="181"/>
      <c r="H897" s="209"/>
      <c r="I897" s="209"/>
      <c r="J897" s="209"/>
      <c r="K897" s="209"/>
      <c r="L897" s="209"/>
      <c r="M897" s="209"/>
      <c r="N897" s="209"/>
      <c r="O897" s="209"/>
      <c r="P897" s="209"/>
    </row>
    <row r="898" spans="3:16" x14ac:dyDescent="0.25">
      <c r="C898" s="123"/>
      <c r="D898" s="142"/>
      <c r="E898" s="142"/>
      <c r="F898" s="208"/>
      <c r="G898" s="181"/>
      <c r="H898" s="209"/>
      <c r="I898" s="209"/>
      <c r="J898" s="209"/>
      <c r="K898" s="209"/>
      <c r="L898" s="209"/>
      <c r="M898" s="209"/>
      <c r="N898" s="209"/>
      <c r="O898" s="209"/>
      <c r="P898" s="209"/>
    </row>
    <row r="899" spans="3:16" x14ac:dyDescent="0.25">
      <c r="C899" s="123"/>
      <c r="D899" s="142"/>
      <c r="E899" s="142"/>
      <c r="F899" s="208"/>
      <c r="G899" s="181"/>
      <c r="H899" s="209"/>
      <c r="I899" s="209"/>
      <c r="J899" s="209"/>
      <c r="K899" s="209"/>
      <c r="L899" s="209"/>
      <c r="M899" s="209"/>
      <c r="N899" s="209"/>
      <c r="O899" s="209"/>
      <c r="P899" s="209"/>
    </row>
    <row r="900" spans="3:16" x14ac:dyDescent="0.25">
      <c r="C900" s="123"/>
      <c r="D900" s="142"/>
      <c r="E900" s="142"/>
      <c r="F900" s="208"/>
      <c r="G900" s="181"/>
      <c r="H900" s="209"/>
      <c r="I900" s="209"/>
      <c r="J900" s="209"/>
      <c r="K900" s="209"/>
      <c r="L900" s="209"/>
      <c r="M900" s="209"/>
      <c r="N900" s="209"/>
      <c r="O900" s="209"/>
      <c r="P900" s="209"/>
    </row>
    <row r="901" spans="3:16" x14ac:dyDescent="0.25">
      <c r="C901" s="123"/>
      <c r="D901" s="142"/>
      <c r="E901" s="142"/>
      <c r="F901" s="208"/>
      <c r="G901" s="181"/>
      <c r="H901" s="209"/>
      <c r="I901" s="209"/>
      <c r="J901" s="209"/>
      <c r="K901" s="209"/>
      <c r="L901" s="209"/>
      <c r="M901" s="209"/>
      <c r="N901" s="209"/>
      <c r="O901" s="209"/>
      <c r="P901" s="209"/>
    </row>
    <row r="902" spans="3:16" x14ac:dyDescent="0.25">
      <c r="C902" s="123"/>
      <c r="D902" s="142"/>
      <c r="E902" s="142"/>
      <c r="F902" s="208"/>
      <c r="G902" s="181"/>
      <c r="H902" s="209"/>
      <c r="I902" s="209"/>
      <c r="J902" s="209"/>
      <c r="K902" s="209"/>
      <c r="L902" s="209"/>
      <c r="M902" s="209"/>
      <c r="N902" s="209"/>
      <c r="O902" s="209"/>
      <c r="P902" s="209"/>
    </row>
    <row r="903" spans="3:16" x14ac:dyDescent="0.25">
      <c r="C903" s="123"/>
      <c r="D903" s="142"/>
      <c r="E903" s="142"/>
      <c r="F903" s="208"/>
      <c r="G903" s="181"/>
      <c r="H903" s="209"/>
      <c r="I903" s="209"/>
      <c r="J903" s="209"/>
      <c r="K903" s="209"/>
      <c r="L903" s="209"/>
      <c r="M903" s="209"/>
      <c r="N903" s="209"/>
      <c r="O903" s="209"/>
      <c r="P903" s="209"/>
    </row>
    <row r="904" spans="3:16" x14ac:dyDescent="0.25">
      <c r="C904" s="123"/>
      <c r="D904" s="142"/>
      <c r="E904" s="142"/>
      <c r="F904" s="208"/>
      <c r="G904" s="181"/>
      <c r="H904" s="209"/>
      <c r="I904" s="209"/>
      <c r="J904" s="209"/>
      <c r="K904" s="209"/>
      <c r="L904" s="209"/>
      <c r="M904" s="209"/>
      <c r="N904" s="209"/>
      <c r="O904" s="209"/>
      <c r="P904" s="209"/>
    </row>
    <row r="905" spans="3:16" x14ac:dyDescent="0.25">
      <c r="C905" s="123"/>
      <c r="D905" s="142"/>
      <c r="E905" s="142"/>
      <c r="F905" s="208"/>
      <c r="G905" s="181"/>
      <c r="H905" s="209"/>
      <c r="I905" s="209"/>
      <c r="J905" s="209"/>
      <c r="K905" s="209"/>
      <c r="L905" s="209"/>
      <c r="M905" s="209"/>
      <c r="N905" s="209"/>
      <c r="O905" s="209"/>
      <c r="P905" s="209"/>
    </row>
    <row r="906" spans="3:16" x14ac:dyDescent="0.25">
      <c r="C906" s="123"/>
      <c r="D906" s="142"/>
      <c r="E906" s="142"/>
      <c r="F906" s="208"/>
      <c r="G906" s="181"/>
      <c r="H906" s="209"/>
      <c r="I906" s="209"/>
      <c r="J906" s="209"/>
      <c r="K906" s="209"/>
      <c r="L906" s="209"/>
      <c r="M906" s="209"/>
      <c r="N906" s="209"/>
      <c r="O906" s="209"/>
      <c r="P906" s="209"/>
    </row>
    <row r="907" spans="3:16" x14ac:dyDescent="0.25">
      <c r="C907" s="123"/>
      <c r="D907" s="142"/>
      <c r="E907" s="142"/>
      <c r="F907" s="208"/>
      <c r="G907" s="181"/>
      <c r="H907" s="209"/>
      <c r="I907" s="209"/>
      <c r="J907" s="209"/>
      <c r="K907" s="209"/>
      <c r="L907" s="209"/>
      <c r="M907" s="209"/>
      <c r="N907" s="209"/>
      <c r="O907" s="209"/>
      <c r="P907" s="209"/>
    </row>
    <row r="908" spans="3:16" x14ac:dyDescent="0.25">
      <c r="C908" s="123"/>
      <c r="D908" s="142"/>
      <c r="E908" s="142"/>
      <c r="F908" s="208"/>
      <c r="G908" s="181"/>
      <c r="H908" s="209"/>
      <c r="I908" s="209"/>
      <c r="J908" s="209"/>
      <c r="K908" s="209"/>
      <c r="L908" s="209"/>
      <c r="M908" s="209"/>
      <c r="N908" s="209"/>
      <c r="O908" s="209"/>
      <c r="P908" s="209"/>
    </row>
    <row r="909" spans="3:16" x14ac:dyDescent="0.25">
      <c r="C909" s="123"/>
      <c r="D909" s="142"/>
      <c r="E909" s="142"/>
      <c r="F909" s="208"/>
      <c r="G909" s="181"/>
      <c r="H909" s="209"/>
      <c r="I909" s="209"/>
      <c r="J909" s="209"/>
      <c r="K909" s="209"/>
      <c r="L909" s="209"/>
      <c r="M909" s="209"/>
      <c r="N909" s="209"/>
      <c r="O909" s="209"/>
      <c r="P909" s="209"/>
    </row>
    <row r="910" spans="3:16" x14ac:dyDescent="0.25">
      <c r="C910" s="123"/>
      <c r="D910" s="142"/>
      <c r="E910" s="142"/>
      <c r="F910" s="208"/>
      <c r="G910" s="181"/>
      <c r="H910" s="209"/>
      <c r="I910" s="209"/>
      <c r="J910" s="209"/>
      <c r="K910" s="209"/>
      <c r="L910" s="209"/>
      <c r="M910" s="209"/>
      <c r="N910" s="209"/>
      <c r="O910" s="209"/>
      <c r="P910" s="209"/>
    </row>
    <row r="911" spans="3:16" x14ac:dyDescent="0.25">
      <c r="C911" s="123"/>
      <c r="D911" s="142"/>
      <c r="E911" s="142"/>
      <c r="F911" s="208"/>
      <c r="G911" s="181"/>
      <c r="H911" s="209"/>
      <c r="I911" s="209"/>
      <c r="J911" s="209"/>
      <c r="K911" s="209"/>
      <c r="L911" s="209"/>
      <c r="M911" s="209"/>
      <c r="N911" s="209"/>
      <c r="O911" s="209"/>
      <c r="P911" s="209"/>
    </row>
    <row r="912" spans="3:16" x14ac:dyDescent="0.25">
      <c r="C912" s="123"/>
      <c r="D912" s="142"/>
      <c r="E912" s="142"/>
      <c r="F912" s="208"/>
      <c r="G912" s="181"/>
      <c r="H912" s="209"/>
      <c r="I912" s="209"/>
      <c r="J912" s="209"/>
      <c r="K912" s="209"/>
      <c r="L912" s="209"/>
      <c r="M912" s="209"/>
      <c r="N912" s="209"/>
      <c r="O912" s="209"/>
      <c r="P912" s="209"/>
    </row>
    <row r="913" spans="3:16" x14ac:dyDescent="0.25">
      <c r="C913" s="123"/>
      <c r="D913" s="142"/>
      <c r="E913" s="142"/>
      <c r="F913" s="208"/>
      <c r="G913" s="181"/>
      <c r="H913" s="209"/>
      <c r="I913" s="209"/>
      <c r="J913" s="209"/>
      <c r="K913" s="209"/>
      <c r="L913" s="209"/>
      <c r="M913" s="209"/>
      <c r="N913" s="209"/>
      <c r="O913" s="209"/>
      <c r="P913" s="209"/>
    </row>
    <row r="914" spans="3:16" x14ac:dyDescent="0.25">
      <c r="C914" s="123"/>
      <c r="D914" s="142"/>
      <c r="E914" s="142"/>
      <c r="F914" s="208"/>
      <c r="G914" s="181"/>
      <c r="H914" s="209"/>
      <c r="I914" s="209"/>
      <c r="J914" s="209"/>
      <c r="K914" s="209"/>
      <c r="L914" s="209"/>
      <c r="M914" s="209"/>
      <c r="N914" s="209"/>
      <c r="O914" s="209"/>
      <c r="P914" s="209"/>
    </row>
    <row r="915" spans="3:16" x14ac:dyDescent="0.25">
      <c r="C915" s="123"/>
      <c r="D915" s="142"/>
      <c r="E915" s="142"/>
      <c r="F915" s="208"/>
      <c r="G915" s="181"/>
      <c r="H915" s="209"/>
      <c r="I915" s="209"/>
      <c r="J915" s="209"/>
      <c r="K915" s="209"/>
      <c r="L915" s="209"/>
      <c r="M915" s="209"/>
      <c r="N915" s="209"/>
      <c r="O915" s="209"/>
      <c r="P915" s="209"/>
    </row>
    <row r="916" spans="3:16" x14ac:dyDescent="0.25">
      <c r="C916" s="123"/>
      <c r="D916" s="142"/>
      <c r="E916" s="142"/>
      <c r="F916" s="208"/>
      <c r="G916" s="181"/>
      <c r="H916" s="209"/>
      <c r="I916" s="209"/>
      <c r="J916" s="209"/>
      <c r="K916" s="209"/>
      <c r="L916" s="209"/>
      <c r="M916" s="209"/>
      <c r="N916" s="209"/>
      <c r="O916" s="209"/>
      <c r="P916" s="209"/>
    </row>
    <row r="917" spans="3:16" x14ac:dyDescent="0.25">
      <c r="C917" s="123"/>
      <c r="D917" s="142"/>
      <c r="E917" s="142"/>
      <c r="F917" s="208"/>
      <c r="G917" s="181"/>
      <c r="H917" s="209"/>
      <c r="I917" s="209"/>
      <c r="J917" s="209"/>
      <c r="K917" s="209"/>
      <c r="L917" s="209"/>
      <c r="M917" s="209"/>
      <c r="N917" s="209"/>
      <c r="O917" s="209"/>
      <c r="P917" s="209"/>
    </row>
    <row r="918" spans="3:16" x14ac:dyDescent="0.25">
      <c r="C918" s="123"/>
      <c r="D918" s="142"/>
      <c r="E918" s="142"/>
      <c r="F918" s="208"/>
      <c r="G918" s="181"/>
      <c r="H918" s="209"/>
      <c r="I918" s="209"/>
      <c r="J918" s="209"/>
      <c r="K918" s="209"/>
      <c r="L918" s="209"/>
      <c r="M918" s="209"/>
      <c r="N918" s="209"/>
      <c r="O918" s="209"/>
      <c r="P918" s="209"/>
    </row>
    <row r="919" spans="3:16" x14ac:dyDescent="0.25">
      <c r="C919" s="123"/>
      <c r="D919" s="142"/>
      <c r="E919" s="142"/>
      <c r="F919" s="208"/>
      <c r="G919" s="181"/>
      <c r="H919" s="209"/>
      <c r="I919" s="209"/>
      <c r="J919" s="209"/>
      <c r="K919" s="209"/>
      <c r="L919" s="209"/>
      <c r="M919" s="209"/>
      <c r="N919" s="209"/>
      <c r="O919" s="209"/>
      <c r="P919" s="209"/>
    </row>
    <row r="920" spans="3:16" x14ac:dyDescent="0.25">
      <c r="C920" s="123"/>
      <c r="D920" s="142"/>
      <c r="E920" s="142"/>
      <c r="F920" s="208"/>
      <c r="G920" s="181"/>
      <c r="H920" s="209"/>
      <c r="I920" s="209"/>
      <c r="J920" s="209"/>
      <c r="K920" s="209"/>
      <c r="L920" s="209"/>
      <c r="M920" s="209"/>
      <c r="N920" s="209"/>
      <c r="O920" s="209"/>
      <c r="P920" s="209"/>
    </row>
    <row r="921" spans="3:16" x14ac:dyDescent="0.25">
      <c r="C921" s="123"/>
      <c r="D921" s="142"/>
      <c r="E921" s="142"/>
      <c r="F921" s="208"/>
      <c r="G921" s="181"/>
      <c r="H921" s="209"/>
      <c r="I921" s="209"/>
      <c r="J921" s="209"/>
      <c r="K921" s="209"/>
      <c r="L921" s="209"/>
      <c r="M921" s="209"/>
      <c r="N921" s="209"/>
      <c r="O921" s="209"/>
      <c r="P921" s="209"/>
    </row>
    <row r="922" spans="3:16" x14ac:dyDescent="0.25">
      <c r="C922" s="123"/>
      <c r="D922" s="142"/>
      <c r="E922" s="142"/>
      <c r="F922" s="208"/>
      <c r="G922" s="181"/>
      <c r="H922" s="209"/>
      <c r="I922" s="209"/>
      <c r="J922" s="209"/>
      <c r="K922" s="209"/>
      <c r="L922" s="209"/>
      <c r="M922" s="209"/>
      <c r="N922" s="209"/>
      <c r="O922" s="209"/>
      <c r="P922" s="209"/>
    </row>
    <row r="923" spans="3:16" x14ac:dyDescent="0.25">
      <c r="C923" s="123"/>
      <c r="D923" s="142"/>
      <c r="E923" s="142"/>
      <c r="F923" s="208"/>
      <c r="G923" s="181"/>
      <c r="H923" s="209"/>
      <c r="I923" s="209"/>
      <c r="J923" s="209"/>
      <c r="K923" s="209"/>
      <c r="L923" s="209"/>
      <c r="M923" s="209"/>
      <c r="N923" s="209"/>
      <c r="O923" s="209"/>
      <c r="P923" s="209"/>
    </row>
    <row r="924" spans="3:16" x14ac:dyDescent="0.25">
      <c r="C924" s="123"/>
      <c r="D924" s="142"/>
      <c r="E924" s="142"/>
      <c r="F924" s="208"/>
      <c r="G924" s="181"/>
      <c r="H924" s="209"/>
      <c r="I924" s="209"/>
      <c r="J924" s="209"/>
      <c r="K924" s="209"/>
      <c r="L924" s="209"/>
      <c r="M924" s="209"/>
      <c r="N924" s="209"/>
      <c r="O924" s="209"/>
      <c r="P924" s="209"/>
    </row>
    <row r="925" spans="3:16" x14ac:dyDescent="0.25">
      <c r="C925" s="123"/>
      <c r="D925" s="142"/>
      <c r="E925" s="142"/>
      <c r="F925" s="208"/>
      <c r="G925" s="181"/>
      <c r="H925" s="209"/>
      <c r="I925" s="209"/>
      <c r="J925" s="209"/>
      <c r="K925" s="209"/>
      <c r="L925" s="209"/>
      <c r="M925" s="209"/>
      <c r="N925" s="209"/>
      <c r="O925" s="209"/>
      <c r="P925" s="209"/>
    </row>
    <row r="926" spans="3:16" x14ac:dyDescent="0.25">
      <c r="C926" s="123"/>
      <c r="D926" s="142"/>
      <c r="E926" s="142"/>
      <c r="F926" s="208"/>
      <c r="G926" s="181"/>
      <c r="H926" s="209"/>
      <c r="I926" s="209"/>
      <c r="J926" s="209"/>
      <c r="K926" s="209"/>
      <c r="L926" s="209"/>
      <c r="M926" s="209"/>
      <c r="N926" s="209"/>
      <c r="O926" s="209"/>
      <c r="P926" s="209"/>
    </row>
    <row r="927" spans="3:16" x14ac:dyDescent="0.25">
      <c r="C927" s="123"/>
      <c r="D927" s="142"/>
      <c r="E927" s="142"/>
      <c r="F927" s="208"/>
      <c r="G927" s="181"/>
      <c r="H927" s="209"/>
      <c r="I927" s="209"/>
      <c r="J927" s="209"/>
      <c r="K927" s="209"/>
      <c r="L927" s="209"/>
      <c r="M927" s="209"/>
      <c r="N927" s="209"/>
      <c r="O927" s="209"/>
      <c r="P927" s="209"/>
    </row>
    <row r="928" spans="3:16" x14ac:dyDescent="0.25">
      <c r="C928" s="123"/>
      <c r="D928" s="142"/>
      <c r="E928" s="142"/>
      <c r="F928" s="208"/>
      <c r="G928" s="181"/>
      <c r="H928" s="209"/>
      <c r="I928" s="209"/>
      <c r="J928" s="209"/>
      <c r="K928" s="209"/>
      <c r="L928" s="209"/>
      <c r="M928" s="209"/>
      <c r="N928" s="209"/>
      <c r="O928" s="209"/>
      <c r="P928" s="209"/>
    </row>
    <row r="929" spans="3:16" x14ac:dyDescent="0.25">
      <c r="C929" s="123"/>
      <c r="D929" s="142"/>
      <c r="E929" s="142"/>
      <c r="F929" s="208"/>
      <c r="G929" s="181"/>
      <c r="H929" s="209"/>
      <c r="I929" s="209"/>
      <c r="J929" s="209"/>
      <c r="K929" s="209"/>
      <c r="L929" s="209"/>
      <c r="M929" s="209"/>
      <c r="N929" s="209"/>
      <c r="O929" s="209"/>
      <c r="P929" s="209"/>
    </row>
    <row r="930" spans="3:16" x14ac:dyDescent="0.25">
      <c r="C930" s="123"/>
      <c r="D930" s="142"/>
      <c r="E930" s="142"/>
      <c r="F930" s="208"/>
      <c r="G930" s="181"/>
      <c r="H930" s="209"/>
      <c r="I930" s="209"/>
      <c r="J930" s="209"/>
      <c r="K930" s="209"/>
      <c r="L930" s="209"/>
      <c r="M930" s="209"/>
      <c r="N930" s="209"/>
      <c r="O930" s="209"/>
      <c r="P930" s="209"/>
    </row>
    <row r="931" spans="3:16" x14ac:dyDescent="0.25">
      <c r="C931" s="123"/>
      <c r="D931" s="142"/>
      <c r="E931" s="142"/>
      <c r="F931" s="208"/>
      <c r="G931" s="181"/>
      <c r="H931" s="209"/>
      <c r="I931" s="209"/>
      <c r="J931" s="209"/>
      <c r="K931" s="209"/>
      <c r="L931" s="209"/>
      <c r="M931" s="209"/>
      <c r="N931" s="209"/>
      <c r="O931" s="209"/>
      <c r="P931" s="209"/>
    </row>
    <row r="932" spans="3:16" x14ac:dyDescent="0.25">
      <c r="C932" s="123"/>
      <c r="D932" s="142"/>
      <c r="E932" s="142"/>
      <c r="F932" s="208"/>
      <c r="G932" s="181"/>
      <c r="H932" s="209"/>
      <c r="I932" s="209"/>
      <c r="J932" s="209"/>
      <c r="K932" s="209"/>
      <c r="L932" s="209"/>
      <c r="M932" s="209"/>
      <c r="N932" s="209"/>
      <c r="O932" s="209"/>
      <c r="P932" s="209"/>
    </row>
    <row r="933" spans="3:16" x14ac:dyDescent="0.25">
      <c r="C933" s="123"/>
      <c r="D933" s="142"/>
      <c r="E933" s="142"/>
      <c r="F933" s="208"/>
      <c r="G933" s="181"/>
      <c r="H933" s="209"/>
      <c r="I933" s="209"/>
      <c r="J933" s="209"/>
      <c r="K933" s="209"/>
      <c r="L933" s="209"/>
      <c r="M933" s="209"/>
      <c r="N933" s="209"/>
      <c r="O933" s="209"/>
      <c r="P933" s="209"/>
    </row>
    <row r="934" spans="3:16" x14ac:dyDescent="0.25">
      <c r="C934" s="123"/>
      <c r="D934" s="142"/>
      <c r="E934" s="142"/>
      <c r="F934" s="208"/>
      <c r="G934" s="181"/>
      <c r="H934" s="209"/>
      <c r="I934" s="209"/>
      <c r="J934" s="209"/>
      <c r="K934" s="209"/>
      <c r="L934" s="209"/>
      <c r="M934" s="209"/>
      <c r="N934" s="209"/>
      <c r="O934" s="209"/>
      <c r="P934" s="209"/>
    </row>
    <row r="935" spans="3:16" x14ac:dyDescent="0.25">
      <c r="C935" s="123"/>
      <c r="D935" s="142"/>
      <c r="E935" s="142"/>
      <c r="F935" s="208"/>
      <c r="G935" s="181"/>
      <c r="H935" s="209"/>
      <c r="I935" s="209"/>
      <c r="J935" s="209"/>
      <c r="K935" s="209"/>
      <c r="L935" s="209"/>
      <c r="M935" s="209"/>
      <c r="N935" s="209"/>
      <c r="O935" s="209"/>
      <c r="P935" s="209"/>
    </row>
    <row r="936" spans="3:16" x14ac:dyDescent="0.25">
      <c r="C936" s="123"/>
      <c r="D936" s="142"/>
      <c r="E936" s="142"/>
      <c r="F936" s="208"/>
      <c r="G936" s="181"/>
      <c r="H936" s="209"/>
      <c r="I936" s="209"/>
      <c r="J936" s="209"/>
      <c r="K936" s="209"/>
      <c r="L936" s="209"/>
      <c r="M936" s="209"/>
      <c r="N936" s="209"/>
      <c r="O936" s="209"/>
      <c r="P936" s="209"/>
    </row>
    <row r="937" spans="3:16" x14ac:dyDescent="0.25">
      <c r="C937" s="123"/>
      <c r="D937" s="142"/>
      <c r="E937" s="142"/>
      <c r="F937" s="208"/>
      <c r="G937" s="181"/>
      <c r="H937" s="209"/>
      <c r="I937" s="209"/>
      <c r="J937" s="209"/>
      <c r="K937" s="209"/>
      <c r="L937" s="209"/>
      <c r="M937" s="209"/>
      <c r="N937" s="209"/>
      <c r="O937" s="209"/>
      <c r="P937" s="209"/>
    </row>
    <row r="938" spans="3:16" x14ac:dyDescent="0.25">
      <c r="C938" s="123"/>
      <c r="D938" s="142"/>
      <c r="E938" s="142"/>
      <c r="F938" s="208"/>
      <c r="G938" s="181"/>
      <c r="H938" s="209"/>
      <c r="I938" s="209"/>
      <c r="J938" s="209"/>
      <c r="K938" s="209"/>
      <c r="L938" s="209"/>
      <c r="M938" s="209"/>
      <c r="N938" s="209"/>
      <c r="O938" s="209"/>
      <c r="P938" s="209"/>
    </row>
    <row r="939" spans="3:16" x14ac:dyDescent="0.25">
      <c r="C939" s="123"/>
      <c r="D939" s="142"/>
      <c r="E939" s="142"/>
      <c r="F939" s="208"/>
      <c r="G939" s="181"/>
      <c r="H939" s="209"/>
      <c r="I939" s="209"/>
      <c r="J939" s="209"/>
      <c r="K939" s="209"/>
      <c r="L939" s="209"/>
      <c r="M939" s="209"/>
      <c r="N939" s="209"/>
      <c r="O939" s="209"/>
      <c r="P939" s="209"/>
    </row>
    <row r="940" spans="3:16" x14ac:dyDescent="0.25">
      <c r="C940" s="123"/>
      <c r="D940" s="142"/>
      <c r="E940" s="142"/>
      <c r="F940" s="208"/>
      <c r="G940" s="181"/>
      <c r="H940" s="209"/>
      <c r="I940" s="209"/>
      <c r="J940" s="209"/>
      <c r="K940" s="209"/>
      <c r="L940" s="209"/>
      <c r="M940" s="209"/>
      <c r="N940" s="209"/>
      <c r="O940" s="209"/>
      <c r="P940" s="209"/>
    </row>
    <row r="941" spans="3:16" x14ac:dyDescent="0.25">
      <c r="C941" s="123"/>
      <c r="D941" s="142"/>
      <c r="E941" s="142"/>
      <c r="F941" s="208"/>
      <c r="G941" s="181"/>
      <c r="H941" s="209"/>
      <c r="I941" s="209"/>
      <c r="J941" s="209"/>
      <c r="K941" s="209"/>
      <c r="L941" s="209"/>
      <c r="M941" s="209"/>
      <c r="N941" s="209"/>
      <c r="O941" s="209"/>
      <c r="P941" s="209"/>
    </row>
    <row r="942" spans="3:16" x14ac:dyDescent="0.25">
      <c r="C942" s="123"/>
      <c r="D942" s="142"/>
      <c r="E942" s="142"/>
      <c r="F942" s="208"/>
      <c r="G942" s="181"/>
      <c r="H942" s="209"/>
      <c r="I942" s="209"/>
      <c r="J942" s="209"/>
      <c r="K942" s="209"/>
      <c r="L942" s="209"/>
      <c r="M942" s="209"/>
      <c r="N942" s="209"/>
      <c r="O942" s="209"/>
      <c r="P942" s="209"/>
    </row>
    <row r="943" spans="3:16" x14ac:dyDescent="0.25">
      <c r="C943" s="123"/>
      <c r="D943" s="142"/>
      <c r="E943" s="142"/>
      <c r="F943" s="208"/>
      <c r="G943" s="181"/>
      <c r="H943" s="209"/>
      <c r="I943" s="209"/>
      <c r="J943" s="209"/>
      <c r="K943" s="209"/>
      <c r="L943" s="209"/>
      <c r="M943" s="209"/>
      <c r="N943" s="209"/>
      <c r="O943" s="209"/>
      <c r="P943" s="209"/>
    </row>
    <row r="944" spans="3:16" x14ac:dyDescent="0.25">
      <c r="C944" s="123"/>
      <c r="D944" s="142"/>
      <c r="E944" s="142"/>
      <c r="F944" s="208"/>
      <c r="G944" s="181"/>
      <c r="H944" s="209"/>
      <c r="I944" s="209"/>
      <c r="J944" s="209"/>
      <c r="K944" s="209"/>
      <c r="L944" s="209"/>
      <c r="M944" s="209"/>
      <c r="N944" s="209"/>
      <c r="O944" s="209"/>
      <c r="P944" s="209"/>
    </row>
    <row r="945" spans="3:16" x14ac:dyDescent="0.25">
      <c r="C945" s="123"/>
      <c r="D945" s="142"/>
      <c r="E945" s="142"/>
      <c r="F945" s="208"/>
      <c r="G945" s="181"/>
      <c r="H945" s="209"/>
      <c r="I945" s="209"/>
      <c r="J945" s="209"/>
      <c r="K945" s="209"/>
      <c r="L945" s="209"/>
      <c r="M945" s="209"/>
      <c r="N945" s="209"/>
      <c r="O945" s="209"/>
      <c r="P945" s="209"/>
    </row>
    <row r="946" spans="3:16" x14ac:dyDescent="0.25">
      <c r="C946" s="123"/>
      <c r="D946" s="142"/>
      <c r="E946" s="142"/>
      <c r="F946" s="208"/>
      <c r="G946" s="181"/>
      <c r="H946" s="209"/>
      <c r="I946" s="209"/>
      <c r="J946" s="209"/>
      <c r="K946" s="209"/>
      <c r="L946" s="209"/>
      <c r="M946" s="209"/>
      <c r="N946" s="209"/>
      <c r="O946" s="209"/>
      <c r="P946" s="209"/>
    </row>
    <row r="947" spans="3:16" x14ac:dyDescent="0.25">
      <c r="C947" s="123"/>
      <c r="D947" s="142"/>
      <c r="E947" s="142"/>
      <c r="F947" s="208"/>
      <c r="G947" s="181"/>
      <c r="H947" s="209"/>
      <c r="I947" s="209"/>
      <c r="J947" s="209"/>
      <c r="K947" s="209"/>
      <c r="L947" s="209"/>
      <c r="M947" s="209"/>
      <c r="N947" s="209"/>
      <c r="O947" s="209"/>
      <c r="P947" s="209"/>
    </row>
    <row r="948" spans="3:16" x14ac:dyDescent="0.25">
      <c r="C948" s="123"/>
      <c r="D948" s="142"/>
      <c r="E948" s="142"/>
      <c r="F948" s="208"/>
      <c r="G948" s="181"/>
      <c r="H948" s="209"/>
      <c r="I948" s="209"/>
      <c r="J948" s="209"/>
      <c r="K948" s="209"/>
      <c r="L948" s="209"/>
      <c r="M948" s="209"/>
      <c r="N948" s="209"/>
      <c r="O948" s="209"/>
      <c r="P948" s="209"/>
    </row>
    <row r="949" spans="3:16" x14ac:dyDescent="0.25">
      <c r="C949" s="123"/>
      <c r="D949" s="142"/>
      <c r="E949" s="142"/>
      <c r="F949" s="208"/>
      <c r="G949" s="181"/>
      <c r="H949" s="209"/>
      <c r="I949" s="209"/>
      <c r="J949" s="209"/>
      <c r="K949" s="209"/>
      <c r="L949" s="209"/>
      <c r="M949" s="209"/>
      <c r="N949" s="209"/>
      <c r="O949" s="209"/>
      <c r="P949" s="209"/>
    </row>
    <row r="950" spans="3:16" x14ac:dyDescent="0.25">
      <c r="C950" s="123"/>
      <c r="D950" s="142"/>
      <c r="E950" s="142"/>
      <c r="F950" s="208"/>
      <c r="G950" s="181"/>
      <c r="H950" s="209"/>
      <c r="I950" s="209"/>
      <c r="J950" s="209"/>
      <c r="K950" s="209"/>
      <c r="L950" s="209"/>
      <c r="M950" s="209"/>
      <c r="N950" s="209"/>
      <c r="O950" s="209"/>
      <c r="P950" s="209"/>
    </row>
    <row r="951" spans="3:16" x14ac:dyDescent="0.25">
      <c r="C951" s="123"/>
      <c r="D951" s="142"/>
      <c r="E951" s="142"/>
      <c r="F951" s="208"/>
      <c r="G951" s="181"/>
      <c r="H951" s="209"/>
      <c r="I951" s="209"/>
      <c r="J951" s="209"/>
      <c r="K951" s="209"/>
      <c r="L951" s="209"/>
      <c r="M951" s="209"/>
      <c r="N951" s="209"/>
      <c r="O951" s="209"/>
      <c r="P951" s="209"/>
    </row>
    <row r="952" spans="3:16" x14ac:dyDescent="0.25">
      <c r="C952" s="123"/>
      <c r="D952" s="142"/>
      <c r="E952" s="142"/>
      <c r="F952" s="208"/>
      <c r="G952" s="181"/>
      <c r="H952" s="209"/>
      <c r="I952" s="209"/>
      <c r="J952" s="209"/>
      <c r="K952" s="209"/>
      <c r="L952" s="209"/>
      <c r="M952" s="209"/>
      <c r="N952" s="209"/>
      <c r="O952" s="209"/>
      <c r="P952" s="209"/>
    </row>
    <row r="953" spans="3:16" x14ac:dyDescent="0.25">
      <c r="C953" s="123"/>
      <c r="D953" s="142"/>
      <c r="E953" s="142"/>
      <c r="F953" s="208"/>
      <c r="G953" s="181"/>
      <c r="H953" s="209"/>
      <c r="I953" s="209"/>
      <c r="J953" s="209"/>
      <c r="K953" s="209"/>
      <c r="L953" s="209"/>
      <c r="M953" s="209"/>
      <c r="N953" s="209"/>
      <c r="O953" s="209"/>
      <c r="P953" s="209"/>
    </row>
    <row r="954" spans="3:16" x14ac:dyDescent="0.25">
      <c r="C954" s="123"/>
      <c r="D954" s="142"/>
      <c r="E954" s="142"/>
      <c r="F954" s="208"/>
      <c r="G954" s="181"/>
      <c r="H954" s="209"/>
      <c r="I954" s="209"/>
      <c r="J954" s="209"/>
      <c r="K954" s="209"/>
      <c r="L954" s="209"/>
      <c r="M954" s="209"/>
      <c r="N954" s="209"/>
      <c r="O954" s="209"/>
      <c r="P954" s="209"/>
    </row>
    <row r="955" spans="3:16" x14ac:dyDescent="0.25">
      <c r="C955" s="123"/>
      <c r="D955" s="142"/>
      <c r="E955" s="142"/>
      <c r="F955" s="208"/>
      <c r="G955" s="181"/>
      <c r="H955" s="209"/>
      <c r="I955" s="209"/>
      <c r="J955" s="209"/>
      <c r="K955" s="209"/>
      <c r="L955" s="209"/>
      <c r="M955" s="209"/>
      <c r="N955" s="209"/>
      <c r="O955" s="209"/>
      <c r="P955" s="209"/>
    </row>
    <row r="956" spans="3:16" x14ac:dyDescent="0.25">
      <c r="C956" s="123"/>
      <c r="D956" s="142"/>
      <c r="E956" s="142"/>
      <c r="F956" s="208"/>
      <c r="G956" s="181"/>
      <c r="H956" s="209"/>
      <c r="I956" s="209"/>
      <c r="J956" s="209"/>
      <c r="K956" s="209"/>
      <c r="L956" s="209"/>
      <c r="M956" s="209"/>
      <c r="N956" s="209"/>
      <c r="O956" s="209"/>
      <c r="P956" s="209"/>
    </row>
    <row r="957" spans="3:16" x14ac:dyDescent="0.25">
      <c r="C957" s="123"/>
      <c r="D957" s="142"/>
      <c r="E957" s="142"/>
      <c r="F957" s="208"/>
      <c r="G957" s="181"/>
      <c r="H957" s="209"/>
      <c r="I957" s="209"/>
      <c r="J957" s="209"/>
      <c r="K957" s="209"/>
      <c r="L957" s="209"/>
      <c r="M957" s="209"/>
      <c r="N957" s="209"/>
      <c r="O957" s="209"/>
      <c r="P957" s="209"/>
    </row>
    <row r="958" spans="3:16" x14ac:dyDescent="0.25">
      <c r="C958" s="123"/>
      <c r="D958" s="142"/>
      <c r="E958" s="142"/>
      <c r="F958" s="208"/>
      <c r="G958" s="181"/>
      <c r="H958" s="209"/>
      <c r="I958" s="209"/>
      <c r="J958" s="209"/>
      <c r="K958" s="209"/>
      <c r="L958" s="209"/>
      <c r="M958" s="209"/>
      <c r="N958" s="209"/>
      <c r="O958" s="209"/>
      <c r="P958" s="209"/>
    </row>
    <row r="959" spans="3:16" x14ac:dyDescent="0.25">
      <c r="C959" s="123"/>
      <c r="D959" s="142"/>
      <c r="E959" s="142"/>
      <c r="F959" s="208"/>
      <c r="G959" s="181"/>
      <c r="H959" s="209"/>
      <c r="I959" s="209"/>
      <c r="J959" s="209"/>
      <c r="K959" s="209"/>
      <c r="L959" s="209"/>
      <c r="M959" s="209"/>
      <c r="N959" s="209"/>
      <c r="O959" s="209"/>
      <c r="P959" s="209"/>
    </row>
    <row r="960" spans="3:16" x14ac:dyDescent="0.25">
      <c r="C960" s="123"/>
      <c r="D960" s="142"/>
      <c r="E960" s="142"/>
      <c r="F960" s="208"/>
      <c r="G960" s="181"/>
      <c r="H960" s="209"/>
      <c r="I960" s="209"/>
      <c r="J960" s="209"/>
      <c r="K960" s="209"/>
      <c r="L960" s="209"/>
      <c r="M960" s="209"/>
      <c r="N960" s="209"/>
      <c r="O960" s="209"/>
      <c r="P960" s="209"/>
    </row>
    <row r="961" spans="3:16" x14ac:dyDescent="0.25">
      <c r="C961" s="123"/>
      <c r="D961" s="142"/>
      <c r="E961" s="142"/>
      <c r="F961" s="208"/>
      <c r="G961" s="181"/>
      <c r="H961" s="209"/>
      <c r="I961" s="209"/>
      <c r="J961" s="209"/>
      <c r="K961" s="209"/>
      <c r="L961" s="209"/>
      <c r="M961" s="209"/>
      <c r="N961" s="209"/>
      <c r="O961" s="209"/>
      <c r="P961" s="209"/>
    </row>
    <row r="962" spans="3:16" x14ac:dyDescent="0.25">
      <c r="C962" s="123"/>
      <c r="D962" s="142"/>
      <c r="E962" s="142"/>
      <c r="F962" s="208"/>
      <c r="G962" s="181"/>
      <c r="H962" s="209"/>
      <c r="I962" s="209"/>
      <c r="J962" s="209"/>
      <c r="K962" s="209"/>
      <c r="L962" s="209"/>
      <c r="M962" s="209"/>
      <c r="N962" s="209"/>
      <c r="O962" s="209"/>
      <c r="P962" s="209"/>
    </row>
    <row r="963" spans="3:16" x14ac:dyDescent="0.25">
      <c r="C963" s="123"/>
      <c r="D963" s="142"/>
      <c r="E963" s="142"/>
      <c r="F963" s="208"/>
      <c r="G963" s="181"/>
      <c r="H963" s="209"/>
      <c r="I963" s="209"/>
      <c r="J963" s="209"/>
      <c r="K963" s="209"/>
      <c r="L963" s="209"/>
      <c r="M963" s="209"/>
      <c r="N963" s="209"/>
      <c r="O963" s="209"/>
      <c r="P963" s="209"/>
    </row>
    <row r="964" spans="3:16" x14ac:dyDescent="0.25">
      <c r="C964" s="123"/>
      <c r="D964" s="142"/>
      <c r="E964" s="142"/>
      <c r="F964" s="208"/>
      <c r="G964" s="181"/>
      <c r="H964" s="209"/>
      <c r="I964" s="209"/>
      <c r="J964" s="209"/>
      <c r="K964" s="209"/>
      <c r="L964" s="209"/>
      <c r="M964" s="209"/>
      <c r="N964" s="209"/>
      <c r="O964" s="209"/>
      <c r="P964" s="209"/>
    </row>
    <row r="965" spans="3:16" x14ac:dyDescent="0.25">
      <c r="C965" s="123"/>
      <c r="D965" s="142"/>
      <c r="E965" s="142"/>
      <c r="F965" s="208"/>
      <c r="G965" s="181"/>
      <c r="H965" s="209"/>
      <c r="I965" s="209"/>
      <c r="J965" s="209"/>
      <c r="K965" s="209"/>
      <c r="L965" s="209"/>
      <c r="M965" s="209"/>
      <c r="N965" s="209"/>
      <c r="O965" s="209"/>
      <c r="P965" s="209"/>
    </row>
    <row r="966" spans="3:16" x14ac:dyDescent="0.25">
      <c r="C966" s="123"/>
      <c r="D966" s="142"/>
      <c r="E966" s="142"/>
      <c r="F966" s="208"/>
      <c r="G966" s="181"/>
      <c r="H966" s="209"/>
      <c r="I966" s="209"/>
      <c r="J966" s="209"/>
      <c r="K966" s="209"/>
      <c r="L966" s="209"/>
      <c r="M966" s="209"/>
      <c r="N966" s="209"/>
      <c r="O966" s="209"/>
      <c r="P966" s="209"/>
    </row>
    <row r="967" spans="3:16" x14ac:dyDescent="0.25">
      <c r="C967" s="123"/>
      <c r="D967" s="142"/>
      <c r="E967" s="142"/>
      <c r="F967" s="208"/>
      <c r="G967" s="181"/>
      <c r="H967" s="209"/>
      <c r="I967" s="209"/>
      <c r="J967" s="209"/>
      <c r="K967" s="209"/>
      <c r="L967" s="209"/>
      <c r="M967" s="209"/>
      <c r="N967" s="209"/>
      <c r="O967" s="209"/>
      <c r="P967" s="209"/>
    </row>
    <row r="968" spans="3:16" x14ac:dyDescent="0.25">
      <c r="C968" s="123"/>
      <c r="D968" s="142"/>
      <c r="E968" s="142"/>
      <c r="F968" s="208"/>
      <c r="G968" s="181"/>
      <c r="H968" s="209"/>
      <c r="I968" s="209"/>
      <c r="J968" s="209"/>
      <c r="K968" s="209"/>
      <c r="L968" s="209"/>
      <c r="M968" s="209"/>
      <c r="N968" s="209"/>
      <c r="O968" s="209"/>
      <c r="P968" s="209"/>
    </row>
    <row r="969" spans="3:16" x14ac:dyDescent="0.25">
      <c r="C969" s="123"/>
      <c r="D969" s="142"/>
      <c r="E969" s="142"/>
      <c r="F969" s="208"/>
      <c r="G969" s="181"/>
      <c r="H969" s="209"/>
      <c r="I969" s="209"/>
      <c r="J969" s="209"/>
      <c r="K969" s="209"/>
      <c r="L969" s="209"/>
      <c r="M969" s="209"/>
      <c r="N969" s="209"/>
      <c r="O969" s="209"/>
      <c r="P969" s="209"/>
    </row>
    <row r="970" spans="3:16" x14ac:dyDescent="0.25">
      <c r="C970" s="123"/>
      <c r="D970" s="142"/>
      <c r="E970" s="142"/>
      <c r="F970" s="208"/>
      <c r="G970" s="181"/>
      <c r="H970" s="209"/>
      <c r="I970" s="209"/>
      <c r="J970" s="209"/>
      <c r="K970" s="209"/>
      <c r="L970" s="209"/>
      <c r="M970" s="209"/>
      <c r="N970" s="209"/>
      <c r="O970" s="209"/>
      <c r="P970" s="209"/>
    </row>
    <row r="971" spans="3:16" x14ac:dyDescent="0.25">
      <c r="C971" s="123"/>
      <c r="D971" s="142"/>
      <c r="E971" s="142"/>
      <c r="F971" s="208"/>
      <c r="G971" s="181"/>
      <c r="H971" s="209"/>
      <c r="I971" s="209"/>
      <c r="J971" s="209"/>
      <c r="K971" s="209"/>
      <c r="L971" s="209"/>
      <c r="M971" s="209"/>
      <c r="N971" s="209"/>
      <c r="O971" s="209"/>
      <c r="P971" s="209"/>
    </row>
    <row r="972" spans="3:16" x14ac:dyDescent="0.25">
      <c r="C972" s="123"/>
      <c r="D972" s="142"/>
      <c r="E972" s="142"/>
      <c r="F972" s="208"/>
      <c r="G972" s="181"/>
      <c r="H972" s="209"/>
      <c r="I972" s="209"/>
      <c r="J972" s="209"/>
      <c r="K972" s="209"/>
      <c r="L972" s="209"/>
      <c r="M972" s="209"/>
      <c r="N972" s="209"/>
      <c r="O972" s="209"/>
      <c r="P972" s="209"/>
    </row>
    <row r="973" spans="3:16" x14ac:dyDescent="0.25">
      <c r="C973" s="123"/>
      <c r="D973" s="142"/>
      <c r="E973" s="142"/>
      <c r="F973" s="208"/>
      <c r="G973" s="181"/>
      <c r="H973" s="209"/>
      <c r="I973" s="209"/>
      <c r="J973" s="209"/>
      <c r="K973" s="209"/>
      <c r="L973" s="209"/>
      <c r="M973" s="209"/>
      <c r="N973" s="209"/>
      <c r="O973" s="209"/>
      <c r="P973" s="209"/>
    </row>
    <row r="974" spans="3:16" x14ac:dyDescent="0.25">
      <c r="C974" s="123"/>
      <c r="D974" s="142"/>
      <c r="E974" s="142"/>
      <c r="F974" s="208"/>
      <c r="G974" s="181"/>
      <c r="H974" s="209"/>
      <c r="I974" s="209"/>
      <c r="J974" s="209"/>
      <c r="K974" s="209"/>
      <c r="L974" s="209"/>
      <c r="M974" s="209"/>
      <c r="N974" s="209"/>
      <c r="O974" s="209"/>
      <c r="P974" s="209"/>
    </row>
    <row r="975" spans="3:16" x14ac:dyDescent="0.25">
      <c r="C975" s="123"/>
      <c r="D975" s="142"/>
      <c r="E975" s="142"/>
      <c r="F975" s="208"/>
      <c r="G975" s="181"/>
      <c r="H975" s="209"/>
      <c r="I975" s="209"/>
      <c r="J975" s="209"/>
      <c r="K975" s="209"/>
      <c r="L975" s="209"/>
      <c r="M975" s="209"/>
      <c r="N975" s="209"/>
      <c r="O975" s="209"/>
      <c r="P975" s="209"/>
    </row>
    <row r="976" spans="3:16" x14ac:dyDescent="0.25">
      <c r="C976" s="123"/>
      <c r="D976" s="142"/>
      <c r="E976" s="142"/>
      <c r="F976" s="208"/>
      <c r="G976" s="181"/>
      <c r="H976" s="209"/>
      <c r="I976" s="209"/>
      <c r="J976" s="209"/>
      <c r="K976" s="209"/>
      <c r="L976" s="209"/>
      <c r="M976" s="209"/>
      <c r="N976" s="209"/>
      <c r="O976" s="209"/>
      <c r="P976" s="209"/>
    </row>
    <row r="977" spans="3:16" x14ac:dyDescent="0.25">
      <c r="C977" s="123"/>
      <c r="D977" s="142"/>
      <c r="E977" s="142"/>
      <c r="F977" s="208"/>
      <c r="G977" s="181"/>
      <c r="H977" s="209"/>
      <c r="I977" s="209"/>
      <c r="J977" s="209"/>
      <c r="K977" s="209"/>
      <c r="L977" s="209"/>
      <c r="M977" s="209"/>
      <c r="N977" s="209"/>
      <c r="O977" s="209"/>
      <c r="P977" s="209"/>
    </row>
    <row r="978" spans="3:16" x14ac:dyDescent="0.25">
      <c r="C978" s="123"/>
      <c r="D978" s="142"/>
      <c r="E978" s="142"/>
      <c r="F978" s="208"/>
      <c r="G978" s="181"/>
      <c r="H978" s="209"/>
      <c r="I978" s="209"/>
      <c r="J978" s="209"/>
      <c r="K978" s="209"/>
      <c r="L978" s="209"/>
      <c r="M978" s="209"/>
      <c r="N978" s="209"/>
      <c r="O978" s="209"/>
      <c r="P978" s="209"/>
    </row>
    <row r="979" spans="3:16" x14ac:dyDescent="0.25">
      <c r="C979" s="123"/>
      <c r="D979" s="142"/>
      <c r="E979" s="142"/>
      <c r="F979" s="208"/>
      <c r="G979" s="181"/>
      <c r="H979" s="209"/>
      <c r="I979" s="209"/>
      <c r="J979" s="209"/>
      <c r="K979" s="209"/>
      <c r="L979" s="209"/>
      <c r="M979" s="209"/>
      <c r="N979" s="209"/>
      <c r="O979" s="209"/>
      <c r="P979" s="209"/>
    </row>
    <row r="980" spans="3:16" x14ac:dyDescent="0.25">
      <c r="C980" s="123"/>
      <c r="D980" s="142"/>
      <c r="E980" s="142"/>
      <c r="F980" s="208"/>
      <c r="G980" s="181"/>
      <c r="H980" s="209"/>
      <c r="I980" s="209"/>
      <c r="J980" s="209"/>
      <c r="K980" s="209"/>
      <c r="L980" s="209"/>
      <c r="M980" s="209"/>
      <c r="N980" s="209"/>
      <c r="O980" s="209"/>
      <c r="P980" s="209"/>
    </row>
    <row r="981" spans="3:16" x14ac:dyDescent="0.25">
      <c r="C981" s="123"/>
      <c r="D981" s="142"/>
      <c r="E981" s="142"/>
      <c r="F981" s="208"/>
      <c r="G981" s="181"/>
      <c r="H981" s="209"/>
      <c r="I981" s="209"/>
      <c r="J981" s="209"/>
      <c r="K981" s="209"/>
      <c r="L981" s="209"/>
      <c r="M981" s="209"/>
      <c r="N981" s="209"/>
      <c r="O981" s="209"/>
      <c r="P981" s="209"/>
    </row>
    <row r="982" spans="3:16" x14ac:dyDescent="0.25">
      <c r="C982" s="123"/>
      <c r="D982" s="142"/>
      <c r="E982" s="142"/>
      <c r="F982" s="208"/>
      <c r="G982" s="181"/>
      <c r="H982" s="209"/>
      <c r="I982" s="209"/>
      <c r="J982" s="209"/>
      <c r="K982" s="209"/>
      <c r="L982" s="209"/>
      <c r="M982" s="209"/>
      <c r="N982" s="209"/>
      <c r="O982" s="209"/>
      <c r="P982" s="209"/>
    </row>
    <row r="983" spans="3:16" x14ac:dyDescent="0.25">
      <c r="C983" s="123"/>
      <c r="D983" s="142"/>
      <c r="E983" s="142"/>
      <c r="F983" s="208"/>
      <c r="G983" s="181"/>
      <c r="H983" s="209"/>
      <c r="I983" s="209"/>
      <c r="J983" s="209"/>
      <c r="K983" s="209"/>
      <c r="L983" s="209"/>
      <c r="M983" s="209"/>
      <c r="N983" s="209"/>
      <c r="O983" s="209"/>
      <c r="P983" s="209"/>
    </row>
    <row r="984" spans="3:16" x14ac:dyDescent="0.25">
      <c r="C984" s="123"/>
      <c r="D984" s="142"/>
      <c r="E984" s="142"/>
      <c r="F984" s="208"/>
      <c r="G984" s="181"/>
      <c r="H984" s="209"/>
      <c r="I984" s="209"/>
      <c r="J984" s="209"/>
      <c r="K984" s="209"/>
      <c r="L984" s="209"/>
      <c r="M984" s="209"/>
      <c r="N984" s="209"/>
      <c r="O984" s="209"/>
      <c r="P984" s="209"/>
    </row>
    <row r="985" spans="3:16" x14ac:dyDescent="0.25">
      <c r="C985" s="123"/>
      <c r="D985" s="142"/>
      <c r="E985" s="142"/>
      <c r="F985" s="208"/>
      <c r="G985" s="181"/>
      <c r="H985" s="209"/>
      <c r="I985" s="209"/>
      <c r="J985" s="209"/>
      <c r="K985" s="209"/>
      <c r="L985" s="209"/>
      <c r="M985" s="209"/>
      <c r="N985" s="209"/>
      <c r="O985" s="209"/>
      <c r="P985" s="209"/>
    </row>
    <row r="986" spans="3:16" x14ac:dyDescent="0.25">
      <c r="C986" s="123"/>
      <c r="D986" s="142"/>
      <c r="E986" s="142"/>
      <c r="F986" s="208"/>
      <c r="G986" s="181"/>
      <c r="H986" s="209"/>
      <c r="I986" s="209"/>
      <c r="J986" s="209"/>
      <c r="K986" s="209"/>
      <c r="L986" s="209"/>
      <c r="M986" s="209"/>
      <c r="N986" s="209"/>
      <c r="O986" s="209"/>
      <c r="P986" s="209"/>
    </row>
    <row r="987" spans="3:16" x14ac:dyDescent="0.25">
      <c r="C987" s="123"/>
      <c r="D987" s="142"/>
      <c r="E987" s="142"/>
      <c r="F987" s="208"/>
      <c r="G987" s="181"/>
      <c r="H987" s="209"/>
      <c r="I987" s="209"/>
      <c r="J987" s="209"/>
      <c r="K987" s="209"/>
      <c r="L987" s="209"/>
      <c r="M987" s="209"/>
      <c r="N987" s="209"/>
      <c r="O987" s="209"/>
      <c r="P987" s="209"/>
    </row>
    <row r="988" spans="3:16" x14ac:dyDescent="0.25">
      <c r="C988" s="123"/>
      <c r="D988" s="142"/>
      <c r="E988" s="142"/>
      <c r="F988" s="208"/>
      <c r="G988" s="181"/>
      <c r="H988" s="209"/>
      <c r="I988" s="209"/>
      <c r="J988" s="209"/>
      <c r="K988" s="209"/>
      <c r="L988" s="209"/>
      <c r="M988" s="209"/>
      <c r="N988" s="209"/>
      <c r="O988" s="209"/>
      <c r="P988" s="209"/>
    </row>
    <row r="989" spans="3:16" x14ac:dyDescent="0.25">
      <c r="C989" s="123"/>
      <c r="D989" s="142"/>
      <c r="E989" s="142"/>
      <c r="F989" s="208"/>
      <c r="G989" s="181"/>
      <c r="H989" s="209"/>
      <c r="I989" s="209"/>
      <c r="J989" s="209"/>
      <c r="K989" s="209"/>
      <c r="L989" s="209"/>
      <c r="M989" s="209"/>
      <c r="N989" s="209"/>
      <c r="O989" s="209"/>
      <c r="P989" s="209"/>
    </row>
    <row r="990" spans="3:16" x14ac:dyDescent="0.25">
      <c r="C990" s="123"/>
      <c r="D990" s="142"/>
      <c r="E990" s="142"/>
      <c r="F990" s="208"/>
      <c r="G990" s="181"/>
      <c r="H990" s="209"/>
      <c r="I990" s="209"/>
      <c r="J990" s="209"/>
      <c r="K990" s="209"/>
      <c r="L990" s="209"/>
      <c r="M990" s="209"/>
      <c r="N990" s="209"/>
      <c r="O990" s="209"/>
      <c r="P990" s="209"/>
    </row>
    <row r="991" spans="3:16" x14ac:dyDescent="0.25">
      <c r="C991" s="123"/>
      <c r="D991" s="142"/>
      <c r="E991" s="142"/>
      <c r="F991" s="208"/>
      <c r="G991" s="181"/>
      <c r="H991" s="209"/>
      <c r="I991" s="209"/>
      <c r="J991" s="209"/>
      <c r="K991" s="209"/>
      <c r="L991" s="209"/>
      <c r="M991" s="209"/>
      <c r="N991" s="209"/>
      <c r="O991" s="209"/>
      <c r="P991" s="209"/>
    </row>
    <row r="992" spans="3:16" x14ac:dyDescent="0.25">
      <c r="C992" s="123"/>
      <c r="D992" s="142"/>
      <c r="E992" s="142"/>
      <c r="F992" s="208"/>
      <c r="G992" s="181"/>
      <c r="H992" s="209"/>
      <c r="I992" s="209"/>
      <c r="J992" s="209"/>
      <c r="K992" s="209"/>
      <c r="L992" s="209"/>
      <c r="M992" s="209"/>
      <c r="N992" s="209"/>
      <c r="O992" s="209"/>
      <c r="P992" s="209"/>
    </row>
    <row r="993" spans="3:16" x14ac:dyDescent="0.25">
      <c r="C993" s="123"/>
      <c r="D993" s="142"/>
      <c r="E993" s="142"/>
      <c r="F993" s="208"/>
      <c r="G993" s="181"/>
      <c r="H993" s="209"/>
      <c r="I993" s="209"/>
      <c r="J993" s="209"/>
      <c r="K993" s="209"/>
      <c r="L993" s="209"/>
      <c r="M993" s="209"/>
      <c r="N993" s="209"/>
      <c r="O993" s="209"/>
      <c r="P993" s="209"/>
    </row>
    <row r="994" spans="3:16" x14ac:dyDescent="0.25">
      <c r="C994" s="123"/>
      <c r="D994" s="142"/>
      <c r="E994" s="142"/>
      <c r="F994" s="208"/>
      <c r="G994" s="181"/>
      <c r="H994" s="209"/>
      <c r="I994" s="209"/>
      <c r="J994" s="209"/>
      <c r="K994" s="209"/>
      <c r="L994" s="209"/>
      <c r="M994" s="209"/>
      <c r="N994" s="209"/>
      <c r="O994" s="209"/>
      <c r="P994" s="209"/>
    </row>
    <row r="995" spans="3:16" x14ac:dyDescent="0.25">
      <c r="C995" s="123"/>
      <c r="D995" s="142"/>
      <c r="E995" s="142"/>
      <c r="F995" s="208"/>
      <c r="G995" s="181"/>
      <c r="H995" s="209"/>
      <c r="I995" s="209"/>
      <c r="J995" s="209"/>
      <c r="K995" s="209"/>
      <c r="L995" s="209"/>
      <c r="M995" s="209"/>
      <c r="N995" s="209"/>
      <c r="O995" s="209"/>
      <c r="P995" s="209"/>
    </row>
    <row r="996" spans="3:16" x14ac:dyDescent="0.25">
      <c r="C996" s="123"/>
      <c r="D996" s="142"/>
      <c r="E996" s="142"/>
      <c r="F996" s="208"/>
      <c r="G996" s="181"/>
      <c r="H996" s="209"/>
      <c r="I996" s="209"/>
      <c r="J996" s="209"/>
      <c r="K996" s="209"/>
      <c r="L996" s="209"/>
      <c r="M996" s="209"/>
      <c r="N996" s="209"/>
      <c r="O996" s="209"/>
      <c r="P996" s="209"/>
    </row>
    <row r="997" spans="3:16" x14ac:dyDescent="0.25">
      <c r="C997" s="123"/>
      <c r="D997" s="142"/>
      <c r="E997" s="142"/>
      <c r="F997" s="208"/>
      <c r="G997" s="181"/>
      <c r="H997" s="209"/>
      <c r="I997" s="209"/>
      <c r="J997" s="209"/>
      <c r="K997" s="209"/>
      <c r="L997" s="209"/>
      <c r="M997" s="209"/>
      <c r="N997" s="209"/>
      <c r="O997" s="209"/>
      <c r="P997" s="209"/>
    </row>
    <row r="998" spans="3:16" x14ac:dyDescent="0.25">
      <c r="C998" s="123"/>
      <c r="D998" s="142"/>
      <c r="E998" s="142"/>
      <c r="F998" s="208"/>
      <c r="G998" s="181"/>
      <c r="H998" s="209"/>
      <c r="I998" s="209"/>
      <c r="J998" s="209"/>
      <c r="K998" s="209"/>
      <c r="L998" s="209"/>
      <c r="M998" s="209"/>
      <c r="N998" s="209"/>
      <c r="O998" s="209"/>
      <c r="P998" s="209"/>
    </row>
    <row r="999" spans="3:16" x14ac:dyDescent="0.25">
      <c r="C999" s="123"/>
      <c r="D999" s="142"/>
      <c r="E999" s="142"/>
      <c r="F999" s="208"/>
      <c r="G999" s="181"/>
      <c r="H999" s="209"/>
      <c r="I999" s="209"/>
      <c r="J999" s="209"/>
      <c r="K999" s="209"/>
      <c r="L999" s="209"/>
      <c r="M999" s="209"/>
      <c r="N999" s="209"/>
      <c r="O999" s="209"/>
      <c r="P999" s="209"/>
    </row>
    <row r="1000" spans="3:16" x14ac:dyDescent="0.25">
      <c r="C1000" s="123"/>
      <c r="D1000" s="142"/>
      <c r="E1000" s="142"/>
      <c r="F1000" s="208"/>
      <c r="G1000" s="181"/>
      <c r="H1000" s="209"/>
      <c r="I1000" s="209"/>
      <c r="J1000" s="209"/>
      <c r="K1000" s="209"/>
      <c r="L1000" s="209"/>
      <c r="M1000" s="209"/>
      <c r="N1000" s="209"/>
      <c r="O1000" s="209"/>
      <c r="P1000" s="209"/>
    </row>
    <row r="1001" spans="3:16" x14ac:dyDescent="0.25">
      <c r="C1001" s="123"/>
      <c r="D1001" s="142"/>
      <c r="E1001" s="142"/>
      <c r="F1001" s="208"/>
      <c r="G1001" s="181"/>
      <c r="H1001" s="209"/>
      <c r="I1001" s="209"/>
      <c r="J1001" s="209"/>
      <c r="K1001" s="209"/>
      <c r="L1001" s="209"/>
      <c r="M1001" s="209"/>
      <c r="N1001" s="209"/>
      <c r="O1001" s="209"/>
      <c r="P1001" s="209"/>
    </row>
    <row r="1002" spans="3:16" x14ac:dyDescent="0.25">
      <c r="C1002" s="123"/>
      <c r="D1002" s="142"/>
      <c r="E1002" s="142"/>
      <c r="F1002" s="208"/>
      <c r="G1002" s="181"/>
      <c r="H1002" s="209"/>
      <c r="I1002" s="209"/>
      <c r="J1002" s="209"/>
      <c r="K1002" s="209"/>
      <c r="L1002" s="209"/>
      <c r="M1002" s="209"/>
      <c r="N1002" s="209"/>
      <c r="O1002" s="209"/>
      <c r="P1002" s="209"/>
    </row>
    <row r="1003" spans="3:16" x14ac:dyDescent="0.25">
      <c r="C1003" s="123"/>
      <c r="D1003" s="142"/>
      <c r="E1003" s="142"/>
      <c r="F1003" s="208"/>
      <c r="G1003" s="181"/>
      <c r="H1003" s="209"/>
      <c r="I1003" s="209"/>
      <c r="J1003" s="209"/>
      <c r="K1003" s="209"/>
      <c r="L1003" s="209"/>
      <c r="M1003" s="209"/>
      <c r="N1003" s="209"/>
      <c r="O1003" s="209"/>
      <c r="P1003" s="209"/>
    </row>
    <row r="1004" spans="3:16" x14ac:dyDescent="0.25">
      <c r="C1004" s="123"/>
      <c r="D1004" s="142"/>
      <c r="E1004" s="142"/>
      <c r="F1004" s="208"/>
      <c r="G1004" s="181"/>
      <c r="H1004" s="209"/>
      <c r="I1004" s="209"/>
      <c r="J1004" s="209"/>
      <c r="K1004" s="209"/>
      <c r="L1004" s="209"/>
      <c r="M1004" s="209"/>
      <c r="N1004" s="209"/>
      <c r="O1004" s="209"/>
      <c r="P1004" s="209"/>
    </row>
    <row r="1005" spans="3:16" x14ac:dyDescent="0.25">
      <c r="C1005" s="123"/>
      <c r="D1005" s="142"/>
      <c r="E1005" s="142"/>
      <c r="F1005" s="208"/>
      <c r="G1005" s="181"/>
      <c r="H1005" s="209"/>
      <c r="I1005" s="209"/>
      <c r="J1005" s="209"/>
      <c r="K1005" s="209"/>
      <c r="L1005" s="209"/>
      <c r="M1005" s="209"/>
      <c r="N1005" s="209"/>
      <c r="O1005" s="209"/>
      <c r="P1005" s="209"/>
    </row>
    <row r="1006" spans="3:16" x14ac:dyDescent="0.25">
      <c r="C1006" s="123"/>
      <c r="D1006" s="142"/>
      <c r="E1006" s="142"/>
      <c r="F1006" s="208"/>
      <c r="G1006" s="181"/>
      <c r="H1006" s="209"/>
      <c r="I1006" s="209"/>
      <c r="J1006" s="209"/>
      <c r="K1006" s="209"/>
      <c r="L1006" s="209"/>
      <c r="M1006" s="209"/>
      <c r="N1006" s="209"/>
      <c r="O1006" s="209"/>
      <c r="P1006" s="209"/>
    </row>
    <row r="1007" spans="3:16" x14ac:dyDescent="0.25">
      <c r="C1007" s="123"/>
      <c r="D1007" s="142"/>
      <c r="E1007" s="142"/>
      <c r="F1007" s="208"/>
      <c r="G1007" s="181"/>
      <c r="H1007" s="209"/>
      <c r="I1007" s="209"/>
      <c r="J1007" s="209"/>
      <c r="K1007" s="209"/>
      <c r="L1007" s="209"/>
      <c r="M1007" s="209"/>
      <c r="N1007" s="209"/>
      <c r="O1007" s="209"/>
      <c r="P1007" s="209"/>
    </row>
    <row r="1008" spans="3:16" x14ac:dyDescent="0.25">
      <c r="C1008" s="123"/>
      <c r="D1008" s="142"/>
      <c r="E1008" s="142"/>
      <c r="F1008" s="208"/>
      <c r="G1008" s="181"/>
      <c r="H1008" s="209"/>
      <c r="I1008" s="209"/>
      <c r="J1008" s="209"/>
      <c r="K1008" s="209"/>
      <c r="L1008" s="209"/>
      <c r="M1008" s="209"/>
      <c r="N1008" s="209"/>
      <c r="O1008" s="209"/>
      <c r="P1008" s="209"/>
    </row>
    <row r="1009" spans="3:16" x14ac:dyDescent="0.25">
      <c r="C1009" s="123"/>
      <c r="D1009" s="142"/>
      <c r="E1009" s="142"/>
      <c r="F1009" s="208"/>
      <c r="G1009" s="181"/>
      <c r="H1009" s="209"/>
      <c r="I1009" s="209"/>
      <c r="J1009" s="209"/>
      <c r="K1009" s="209"/>
      <c r="L1009" s="209"/>
      <c r="M1009" s="209"/>
      <c r="N1009" s="209"/>
      <c r="O1009" s="209"/>
      <c r="P1009" s="209"/>
    </row>
    <row r="1010" spans="3:16" x14ac:dyDescent="0.25">
      <c r="C1010" s="123"/>
      <c r="D1010" s="142"/>
      <c r="E1010" s="142"/>
      <c r="F1010" s="208"/>
      <c r="G1010" s="181"/>
      <c r="H1010" s="209"/>
      <c r="I1010" s="209"/>
      <c r="J1010" s="209"/>
      <c r="K1010" s="209"/>
      <c r="L1010" s="209"/>
      <c r="M1010" s="209"/>
      <c r="N1010" s="209"/>
      <c r="O1010" s="209"/>
      <c r="P1010" s="209"/>
    </row>
    <row r="1011" spans="3:16" x14ac:dyDescent="0.25">
      <c r="C1011" s="123"/>
      <c r="D1011" s="142"/>
      <c r="E1011" s="142"/>
      <c r="F1011" s="208"/>
      <c r="G1011" s="181"/>
      <c r="H1011" s="209"/>
      <c r="I1011" s="209"/>
      <c r="J1011" s="209"/>
      <c r="K1011" s="209"/>
      <c r="L1011" s="209"/>
      <c r="M1011" s="209"/>
      <c r="N1011" s="209"/>
      <c r="O1011" s="209"/>
      <c r="P1011" s="209"/>
    </row>
    <row r="1012" spans="3:16" x14ac:dyDescent="0.25">
      <c r="C1012" s="123"/>
      <c r="D1012" s="142"/>
      <c r="E1012" s="142"/>
      <c r="F1012" s="208"/>
      <c r="G1012" s="181"/>
      <c r="H1012" s="209"/>
      <c r="I1012" s="209"/>
      <c r="J1012" s="209"/>
      <c r="K1012" s="209"/>
      <c r="L1012" s="209"/>
      <c r="M1012" s="209"/>
      <c r="N1012" s="209"/>
      <c r="O1012" s="209"/>
      <c r="P1012" s="209"/>
    </row>
    <row r="1013" spans="3:16" x14ac:dyDescent="0.25">
      <c r="C1013" s="123"/>
      <c r="D1013" s="142"/>
      <c r="E1013" s="142"/>
      <c r="F1013" s="208"/>
      <c r="G1013" s="181"/>
      <c r="H1013" s="209"/>
      <c r="I1013" s="209"/>
      <c r="J1013" s="209"/>
      <c r="K1013" s="209"/>
      <c r="L1013" s="209"/>
      <c r="M1013" s="209"/>
      <c r="N1013" s="209"/>
      <c r="O1013" s="209"/>
      <c r="P1013" s="209"/>
    </row>
    <row r="1014" spans="3:16" x14ac:dyDescent="0.25">
      <c r="C1014" s="123"/>
      <c r="D1014" s="142"/>
      <c r="E1014" s="142"/>
      <c r="F1014" s="208"/>
      <c r="G1014" s="181"/>
      <c r="H1014" s="209"/>
      <c r="I1014" s="209"/>
      <c r="J1014" s="209"/>
      <c r="K1014" s="209"/>
      <c r="L1014" s="209"/>
      <c r="M1014" s="209"/>
      <c r="N1014" s="209"/>
      <c r="O1014" s="209"/>
      <c r="P1014" s="209"/>
    </row>
    <row r="1015" spans="3:16" x14ac:dyDescent="0.25">
      <c r="C1015" s="123"/>
      <c r="D1015" s="142"/>
      <c r="E1015" s="142"/>
      <c r="F1015" s="208"/>
      <c r="G1015" s="181"/>
      <c r="H1015" s="209"/>
      <c r="I1015" s="209"/>
      <c r="J1015" s="209"/>
      <c r="K1015" s="209"/>
      <c r="L1015" s="209"/>
      <c r="M1015" s="209"/>
      <c r="N1015" s="209"/>
      <c r="O1015" s="209"/>
      <c r="P1015" s="209"/>
    </row>
    <row r="1016" spans="3:16" x14ac:dyDescent="0.25">
      <c r="C1016" s="123"/>
      <c r="D1016" s="142"/>
      <c r="E1016" s="142"/>
      <c r="F1016" s="208"/>
      <c r="G1016" s="181"/>
      <c r="H1016" s="209"/>
      <c r="I1016" s="209"/>
      <c r="J1016" s="209"/>
      <c r="K1016" s="209"/>
      <c r="L1016" s="209"/>
      <c r="M1016" s="209"/>
      <c r="N1016" s="209"/>
      <c r="O1016" s="209"/>
      <c r="P1016" s="209"/>
    </row>
    <row r="1017" spans="3:16" x14ac:dyDescent="0.25">
      <c r="C1017" s="123"/>
      <c r="D1017" s="142"/>
      <c r="E1017" s="142"/>
      <c r="F1017" s="208"/>
      <c r="G1017" s="181"/>
      <c r="H1017" s="209"/>
      <c r="I1017" s="209"/>
      <c r="J1017" s="209"/>
      <c r="K1017" s="209"/>
      <c r="L1017" s="209"/>
      <c r="M1017" s="209"/>
      <c r="N1017" s="209"/>
      <c r="O1017" s="209"/>
      <c r="P1017" s="209"/>
    </row>
    <row r="1018" spans="3:16" x14ac:dyDescent="0.25">
      <c r="C1018" s="123"/>
      <c r="D1018" s="142"/>
      <c r="E1018" s="142"/>
      <c r="F1018" s="208"/>
      <c r="G1018" s="181"/>
      <c r="H1018" s="209"/>
      <c r="I1018" s="209"/>
      <c r="J1018" s="209"/>
      <c r="K1018" s="209"/>
      <c r="L1018" s="209"/>
      <c r="M1018" s="209"/>
      <c r="N1018" s="209"/>
      <c r="O1018" s="209"/>
      <c r="P1018" s="209"/>
    </row>
    <row r="1019" spans="3:16" x14ac:dyDescent="0.25">
      <c r="C1019" s="123"/>
      <c r="D1019" s="142"/>
      <c r="E1019" s="142"/>
      <c r="F1019" s="208"/>
      <c r="G1019" s="181"/>
      <c r="H1019" s="209"/>
      <c r="I1019" s="209"/>
      <c r="J1019" s="209"/>
      <c r="K1019" s="209"/>
      <c r="L1019" s="209"/>
      <c r="M1019" s="209"/>
      <c r="N1019" s="209"/>
      <c r="O1019" s="209"/>
      <c r="P1019" s="209"/>
    </row>
    <row r="1020" spans="3:16" x14ac:dyDescent="0.25">
      <c r="C1020" s="123"/>
      <c r="D1020" s="142"/>
      <c r="E1020" s="142"/>
      <c r="F1020" s="208"/>
      <c r="G1020" s="181"/>
      <c r="H1020" s="209"/>
      <c r="I1020" s="209"/>
      <c r="J1020" s="209"/>
      <c r="K1020" s="209"/>
      <c r="L1020" s="209"/>
      <c r="M1020" s="209"/>
      <c r="N1020" s="209"/>
      <c r="O1020" s="209"/>
      <c r="P1020" s="209"/>
    </row>
    <row r="1021" spans="3:16" x14ac:dyDescent="0.25">
      <c r="C1021" s="123"/>
      <c r="D1021" s="142"/>
      <c r="E1021" s="142"/>
      <c r="F1021" s="208"/>
      <c r="G1021" s="181"/>
      <c r="H1021" s="209"/>
      <c r="I1021" s="209"/>
      <c r="J1021" s="209"/>
      <c r="K1021" s="209"/>
      <c r="L1021" s="209"/>
      <c r="M1021" s="209"/>
      <c r="N1021" s="209"/>
      <c r="O1021" s="209"/>
      <c r="P1021" s="209"/>
    </row>
    <row r="1022" spans="3:16" x14ac:dyDescent="0.25">
      <c r="C1022" s="123"/>
      <c r="D1022" s="142"/>
      <c r="E1022" s="142"/>
      <c r="F1022" s="208"/>
      <c r="G1022" s="181"/>
      <c r="H1022" s="209"/>
      <c r="I1022" s="209"/>
      <c r="J1022" s="209"/>
      <c r="K1022" s="209"/>
      <c r="L1022" s="209"/>
      <c r="M1022" s="209"/>
      <c r="N1022" s="209"/>
      <c r="O1022" s="209"/>
      <c r="P1022" s="209"/>
    </row>
    <row r="1023" spans="3:16" x14ac:dyDescent="0.25">
      <c r="C1023" s="123"/>
      <c r="D1023" s="142"/>
      <c r="E1023" s="142"/>
      <c r="F1023" s="208"/>
      <c r="G1023" s="181"/>
      <c r="H1023" s="209"/>
      <c r="I1023" s="209"/>
      <c r="J1023" s="209"/>
      <c r="K1023" s="209"/>
      <c r="L1023" s="209"/>
      <c r="M1023" s="209"/>
      <c r="N1023" s="209"/>
      <c r="O1023" s="209"/>
      <c r="P1023" s="209"/>
    </row>
    <row r="1024" spans="3:16" x14ac:dyDescent="0.25">
      <c r="C1024" s="123"/>
      <c r="D1024" s="142"/>
      <c r="E1024" s="142"/>
      <c r="F1024" s="208"/>
      <c r="G1024" s="181"/>
      <c r="H1024" s="209"/>
      <c r="I1024" s="209"/>
      <c r="J1024" s="209"/>
      <c r="K1024" s="209"/>
      <c r="L1024" s="209"/>
      <c r="M1024" s="209"/>
      <c r="N1024" s="209"/>
      <c r="O1024" s="209"/>
      <c r="P1024" s="209"/>
    </row>
    <row r="1025" spans="3:16" x14ac:dyDescent="0.25">
      <c r="C1025" s="123"/>
      <c r="D1025" s="142"/>
      <c r="E1025" s="142"/>
      <c r="F1025" s="208"/>
      <c r="G1025" s="181"/>
      <c r="H1025" s="209"/>
      <c r="I1025" s="209"/>
      <c r="J1025" s="209"/>
      <c r="K1025" s="209"/>
      <c r="L1025" s="209"/>
      <c r="M1025" s="209"/>
      <c r="N1025" s="209"/>
      <c r="O1025" s="209"/>
      <c r="P1025" s="209"/>
    </row>
    <row r="1026" spans="3:16" x14ac:dyDescent="0.25">
      <c r="C1026" s="123"/>
      <c r="D1026" s="142"/>
      <c r="E1026" s="142"/>
      <c r="F1026" s="208"/>
      <c r="G1026" s="181"/>
      <c r="H1026" s="209"/>
      <c r="I1026" s="209"/>
      <c r="J1026" s="209"/>
      <c r="K1026" s="209"/>
      <c r="L1026" s="209"/>
      <c r="M1026" s="209"/>
      <c r="N1026" s="209"/>
      <c r="O1026" s="209"/>
      <c r="P1026" s="209"/>
    </row>
    <row r="1027" spans="3:16" x14ac:dyDescent="0.25">
      <c r="C1027" s="123"/>
      <c r="D1027" s="142"/>
      <c r="E1027" s="142"/>
      <c r="F1027" s="208"/>
      <c r="G1027" s="181"/>
      <c r="H1027" s="209"/>
      <c r="I1027" s="209"/>
      <c r="J1027" s="209"/>
      <c r="K1027" s="209"/>
      <c r="L1027" s="209"/>
      <c r="M1027" s="209"/>
      <c r="N1027" s="209"/>
      <c r="O1027" s="209"/>
      <c r="P1027" s="209"/>
    </row>
    <row r="1028" spans="3:16" x14ac:dyDescent="0.25">
      <c r="C1028" s="123"/>
      <c r="D1028" s="142"/>
      <c r="E1028" s="142"/>
      <c r="F1028" s="208"/>
      <c r="G1028" s="181"/>
      <c r="H1028" s="209"/>
      <c r="I1028" s="209"/>
      <c r="J1028" s="209"/>
      <c r="K1028" s="209"/>
      <c r="L1028" s="209"/>
      <c r="M1028" s="209"/>
      <c r="N1028" s="209"/>
      <c r="O1028" s="209"/>
      <c r="P1028" s="209"/>
    </row>
    <row r="1029" spans="3:16" x14ac:dyDescent="0.25">
      <c r="C1029" s="123"/>
      <c r="D1029" s="142"/>
      <c r="E1029" s="142"/>
      <c r="F1029" s="208"/>
      <c r="G1029" s="181"/>
      <c r="H1029" s="209"/>
      <c r="I1029" s="209"/>
      <c r="J1029" s="209"/>
      <c r="K1029" s="209"/>
      <c r="L1029" s="209"/>
      <c r="M1029" s="209"/>
      <c r="N1029" s="209"/>
      <c r="O1029" s="209"/>
      <c r="P1029" s="209"/>
    </row>
    <row r="1030" spans="3:16" x14ac:dyDescent="0.25">
      <c r="C1030" s="123"/>
      <c r="D1030" s="142"/>
      <c r="E1030" s="142"/>
      <c r="F1030" s="208"/>
      <c r="G1030" s="181"/>
      <c r="H1030" s="209"/>
      <c r="I1030" s="209"/>
      <c r="J1030" s="209"/>
      <c r="K1030" s="209"/>
      <c r="L1030" s="209"/>
      <c r="M1030" s="209"/>
      <c r="N1030" s="209"/>
      <c r="O1030" s="209"/>
      <c r="P1030" s="209"/>
    </row>
    <row r="1031" spans="3:16" x14ac:dyDescent="0.25">
      <c r="C1031" s="123"/>
      <c r="D1031" s="142"/>
      <c r="E1031" s="142"/>
      <c r="F1031" s="208"/>
      <c r="G1031" s="181"/>
      <c r="H1031" s="209"/>
      <c r="I1031" s="209"/>
      <c r="J1031" s="209"/>
      <c r="K1031" s="209"/>
      <c r="L1031" s="209"/>
      <c r="M1031" s="209"/>
      <c r="N1031" s="209"/>
      <c r="O1031" s="209"/>
      <c r="P1031" s="209"/>
    </row>
    <row r="1032" spans="3:16" x14ac:dyDescent="0.25">
      <c r="C1032" s="123"/>
      <c r="D1032" s="142"/>
      <c r="E1032" s="142"/>
      <c r="F1032" s="208"/>
      <c r="G1032" s="181"/>
      <c r="H1032" s="209"/>
      <c r="I1032" s="209"/>
      <c r="J1032" s="209"/>
      <c r="K1032" s="209"/>
      <c r="L1032" s="209"/>
      <c r="M1032" s="209"/>
      <c r="N1032" s="209"/>
      <c r="O1032" s="209"/>
      <c r="P1032" s="209"/>
    </row>
    <row r="1033" spans="3:16" x14ac:dyDescent="0.25">
      <c r="C1033" s="123"/>
      <c r="D1033" s="142"/>
      <c r="E1033" s="142"/>
      <c r="F1033" s="208"/>
      <c r="G1033" s="181"/>
      <c r="H1033" s="209"/>
      <c r="I1033" s="209"/>
      <c r="J1033" s="209"/>
      <c r="K1033" s="209"/>
      <c r="L1033" s="209"/>
      <c r="M1033" s="209"/>
      <c r="N1033" s="209"/>
      <c r="O1033" s="209"/>
      <c r="P1033" s="209"/>
    </row>
    <row r="1034" spans="3:16" x14ac:dyDescent="0.25">
      <c r="C1034" s="123"/>
      <c r="D1034" s="142"/>
      <c r="E1034" s="142"/>
      <c r="F1034" s="208"/>
      <c r="G1034" s="181"/>
      <c r="H1034" s="209"/>
      <c r="I1034" s="209"/>
      <c r="J1034" s="209"/>
      <c r="K1034" s="209"/>
      <c r="L1034" s="209"/>
      <c r="M1034" s="209"/>
      <c r="N1034" s="209"/>
      <c r="O1034" s="209"/>
      <c r="P1034" s="209"/>
    </row>
    <row r="1035" spans="3:16" x14ac:dyDescent="0.25">
      <c r="C1035" s="123"/>
      <c r="D1035" s="142"/>
      <c r="E1035" s="142"/>
      <c r="F1035" s="208"/>
      <c r="G1035" s="181"/>
      <c r="H1035" s="209"/>
      <c r="I1035" s="209"/>
      <c r="J1035" s="209"/>
      <c r="K1035" s="209"/>
      <c r="L1035" s="209"/>
      <c r="M1035" s="209"/>
      <c r="N1035" s="209"/>
      <c r="O1035" s="209"/>
      <c r="P1035" s="209"/>
    </row>
    <row r="1036" spans="3:16" x14ac:dyDescent="0.25">
      <c r="C1036" s="123"/>
      <c r="D1036" s="142"/>
      <c r="E1036" s="142"/>
      <c r="F1036" s="208"/>
      <c r="G1036" s="181"/>
      <c r="H1036" s="209"/>
      <c r="I1036" s="209"/>
      <c r="J1036" s="209"/>
      <c r="K1036" s="209"/>
      <c r="L1036" s="209"/>
      <c r="M1036" s="209"/>
      <c r="N1036" s="209"/>
      <c r="O1036" s="209"/>
      <c r="P1036" s="209"/>
    </row>
    <row r="1037" spans="3:16" x14ac:dyDescent="0.25">
      <c r="C1037" s="123"/>
      <c r="D1037" s="142"/>
      <c r="E1037" s="142"/>
      <c r="F1037" s="208"/>
      <c r="G1037" s="181"/>
      <c r="H1037" s="209"/>
      <c r="I1037" s="209"/>
      <c r="J1037" s="209"/>
      <c r="K1037" s="209"/>
      <c r="L1037" s="209"/>
      <c r="M1037" s="209"/>
      <c r="N1037" s="209"/>
      <c r="O1037" s="209"/>
      <c r="P1037" s="209"/>
    </row>
    <row r="1038" spans="3:16" x14ac:dyDescent="0.25">
      <c r="C1038" s="123"/>
      <c r="D1038" s="142"/>
      <c r="E1038" s="142"/>
      <c r="F1038" s="208"/>
      <c r="G1038" s="181"/>
      <c r="H1038" s="209"/>
      <c r="I1038" s="209"/>
      <c r="J1038" s="209"/>
      <c r="K1038" s="209"/>
      <c r="L1038" s="209"/>
      <c r="M1038" s="209"/>
      <c r="N1038" s="209"/>
      <c r="O1038" s="209"/>
      <c r="P1038" s="209"/>
    </row>
    <row r="1039" spans="3:16" x14ac:dyDescent="0.25">
      <c r="C1039" s="123"/>
      <c r="D1039" s="142"/>
      <c r="E1039" s="142"/>
      <c r="F1039" s="208"/>
      <c r="G1039" s="181"/>
      <c r="H1039" s="209"/>
      <c r="I1039" s="209"/>
      <c r="J1039" s="209"/>
      <c r="K1039" s="209"/>
      <c r="L1039" s="209"/>
      <c r="M1039" s="209"/>
      <c r="N1039" s="209"/>
      <c r="O1039" s="209"/>
      <c r="P1039" s="209"/>
    </row>
    <row r="1040" spans="3:16" x14ac:dyDescent="0.25">
      <c r="C1040" s="123"/>
      <c r="D1040" s="142"/>
      <c r="E1040" s="142"/>
      <c r="F1040" s="208"/>
      <c r="G1040" s="181"/>
      <c r="H1040" s="209"/>
      <c r="I1040" s="209"/>
      <c r="J1040" s="209"/>
      <c r="K1040" s="209"/>
      <c r="L1040" s="209"/>
      <c r="M1040" s="209"/>
      <c r="N1040" s="209"/>
      <c r="O1040" s="209"/>
      <c r="P1040" s="209"/>
    </row>
    <row r="1041" spans="3:16" x14ac:dyDescent="0.25">
      <c r="C1041" s="123"/>
      <c r="D1041" s="142"/>
      <c r="E1041" s="142"/>
      <c r="F1041" s="208"/>
      <c r="G1041" s="181"/>
      <c r="H1041" s="209"/>
      <c r="I1041" s="209"/>
      <c r="J1041" s="209"/>
      <c r="K1041" s="209"/>
      <c r="L1041" s="209"/>
      <c r="M1041" s="209"/>
      <c r="N1041" s="209"/>
      <c r="O1041" s="209"/>
      <c r="P1041" s="209"/>
    </row>
    <row r="1042" spans="3:16" x14ac:dyDescent="0.25">
      <c r="C1042" s="123"/>
      <c r="D1042" s="142"/>
      <c r="E1042" s="142"/>
      <c r="F1042" s="208"/>
      <c r="G1042" s="181"/>
      <c r="H1042" s="209"/>
      <c r="I1042" s="209"/>
      <c r="J1042" s="209"/>
      <c r="K1042" s="209"/>
      <c r="L1042" s="209"/>
      <c r="M1042" s="209"/>
      <c r="N1042" s="209"/>
      <c r="O1042" s="209"/>
      <c r="P1042" s="209"/>
    </row>
    <row r="1043" spans="3:16" x14ac:dyDescent="0.25">
      <c r="C1043" s="123"/>
      <c r="D1043" s="142"/>
      <c r="E1043" s="142"/>
      <c r="F1043" s="208"/>
      <c r="G1043" s="181"/>
      <c r="H1043" s="209"/>
      <c r="I1043" s="209"/>
      <c r="J1043" s="209"/>
      <c r="K1043" s="209"/>
      <c r="L1043" s="209"/>
      <c r="M1043" s="209"/>
      <c r="N1043" s="209"/>
      <c r="O1043" s="209"/>
      <c r="P1043" s="209"/>
    </row>
    <row r="1044" spans="3:16" x14ac:dyDescent="0.25">
      <c r="C1044" s="123"/>
      <c r="D1044" s="142"/>
      <c r="E1044" s="142"/>
      <c r="F1044" s="208"/>
      <c r="G1044" s="181"/>
      <c r="H1044" s="209"/>
      <c r="I1044" s="209"/>
      <c r="J1044" s="209"/>
      <c r="K1044" s="209"/>
      <c r="L1044" s="209"/>
      <c r="M1044" s="209"/>
      <c r="N1044" s="209"/>
      <c r="O1044" s="209"/>
      <c r="P1044" s="209"/>
    </row>
    <row r="1045" spans="3:16" x14ac:dyDescent="0.25">
      <c r="C1045" s="123"/>
      <c r="D1045" s="142"/>
      <c r="E1045" s="142"/>
      <c r="F1045" s="208"/>
      <c r="G1045" s="181"/>
      <c r="H1045" s="209"/>
      <c r="I1045" s="209"/>
      <c r="J1045" s="209"/>
      <c r="K1045" s="209"/>
      <c r="L1045" s="209"/>
      <c r="M1045" s="209"/>
      <c r="N1045" s="209"/>
      <c r="O1045" s="209"/>
      <c r="P1045" s="209"/>
    </row>
    <row r="1046" spans="3:16" x14ac:dyDescent="0.25">
      <c r="C1046" s="123"/>
      <c r="D1046" s="142"/>
      <c r="E1046" s="142"/>
      <c r="F1046" s="208"/>
      <c r="G1046" s="181"/>
      <c r="H1046" s="209"/>
      <c r="I1046" s="209"/>
      <c r="J1046" s="209"/>
      <c r="K1046" s="209"/>
      <c r="L1046" s="209"/>
      <c r="M1046" s="209"/>
      <c r="N1046" s="209"/>
      <c r="O1046" s="209"/>
      <c r="P1046" s="209"/>
    </row>
    <row r="1047" spans="3:16" x14ac:dyDescent="0.25">
      <c r="C1047" s="123"/>
      <c r="D1047" s="142"/>
      <c r="E1047" s="142"/>
      <c r="F1047" s="208"/>
      <c r="G1047" s="181"/>
      <c r="H1047" s="209"/>
      <c r="I1047" s="209"/>
      <c r="J1047" s="209"/>
      <c r="K1047" s="209"/>
      <c r="L1047" s="209"/>
      <c r="M1047" s="209"/>
      <c r="N1047" s="209"/>
      <c r="O1047" s="209"/>
      <c r="P1047" s="209"/>
    </row>
    <row r="1048" spans="3:16" x14ac:dyDescent="0.25">
      <c r="C1048" s="123"/>
      <c r="D1048" s="142"/>
      <c r="E1048" s="142"/>
      <c r="F1048" s="208"/>
      <c r="G1048" s="181"/>
      <c r="H1048" s="209"/>
      <c r="I1048" s="209"/>
      <c r="J1048" s="209"/>
      <c r="K1048" s="209"/>
      <c r="L1048" s="209"/>
      <c r="M1048" s="209"/>
      <c r="N1048" s="209"/>
      <c r="O1048" s="209"/>
      <c r="P1048" s="209"/>
    </row>
    <row r="1049" spans="3:16" x14ac:dyDescent="0.25">
      <c r="C1049" s="123"/>
      <c r="D1049" s="142"/>
      <c r="E1049" s="142"/>
      <c r="F1049" s="208"/>
      <c r="G1049" s="181"/>
      <c r="H1049" s="209"/>
      <c r="I1049" s="209"/>
      <c r="J1049" s="209"/>
      <c r="K1049" s="209"/>
      <c r="L1049" s="209"/>
      <c r="M1049" s="209"/>
      <c r="N1049" s="209"/>
      <c r="O1049" s="209"/>
      <c r="P1049" s="209"/>
    </row>
    <row r="1050" spans="3:16" x14ac:dyDescent="0.25">
      <c r="C1050" s="123"/>
      <c r="D1050" s="142"/>
      <c r="E1050" s="142"/>
      <c r="F1050" s="208"/>
      <c r="G1050" s="181"/>
      <c r="H1050" s="209"/>
      <c r="I1050" s="209"/>
      <c r="J1050" s="209"/>
      <c r="K1050" s="209"/>
      <c r="L1050" s="209"/>
      <c r="M1050" s="209"/>
      <c r="N1050" s="209"/>
      <c r="O1050" s="209"/>
      <c r="P1050" s="209"/>
    </row>
    <row r="1051" spans="3:16" x14ac:dyDescent="0.25">
      <c r="C1051" s="123"/>
      <c r="D1051" s="142"/>
      <c r="E1051" s="142"/>
      <c r="F1051" s="208"/>
      <c r="G1051" s="181"/>
      <c r="H1051" s="209"/>
      <c r="I1051" s="209"/>
      <c r="J1051" s="209"/>
      <c r="K1051" s="209"/>
      <c r="L1051" s="209"/>
      <c r="M1051" s="209"/>
      <c r="N1051" s="209"/>
      <c r="O1051" s="209"/>
      <c r="P1051" s="209"/>
    </row>
    <row r="1052" spans="3:16" x14ac:dyDescent="0.25">
      <c r="C1052" s="123"/>
      <c r="D1052" s="142"/>
      <c r="E1052" s="142"/>
      <c r="F1052" s="208"/>
      <c r="G1052" s="181"/>
      <c r="H1052" s="209"/>
      <c r="I1052" s="209"/>
      <c r="J1052" s="209"/>
      <c r="K1052" s="209"/>
      <c r="L1052" s="209"/>
      <c r="M1052" s="209"/>
      <c r="N1052" s="209"/>
      <c r="O1052" s="209"/>
      <c r="P1052" s="209"/>
    </row>
    <row r="1053" spans="3:16" x14ac:dyDescent="0.25">
      <c r="C1053" s="123"/>
      <c r="D1053" s="142"/>
      <c r="E1053" s="142"/>
      <c r="F1053" s="208"/>
      <c r="G1053" s="181"/>
      <c r="H1053" s="209"/>
      <c r="I1053" s="209"/>
      <c r="J1053" s="209"/>
      <c r="K1053" s="209"/>
      <c r="L1053" s="209"/>
      <c r="M1053" s="209"/>
      <c r="N1053" s="209"/>
      <c r="O1053" s="209"/>
      <c r="P1053" s="209"/>
    </row>
    <row r="1054" spans="3:16" x14ac:dyDescent="0.25">
      <c r="C1054" s="123"/>
      <c r="D1054" s="142"/>
      <c r="E1054" s="142"/>
      <c r="F1054" s="208"/>
      <c r="G1054" s="181"/>
      <c r="H1054" s="209"/>
      <c r="I1054" s="209"/>
      <c r="J1054" s="209"/>
      <c r="K1054" s="209"/>
      <c r="L1054" s="209"/>
      <c r="M1054" s="209"/>
      <c r="N1054" s="209"/>
      <c r="O1054" s="209"/>
      <c r="P1054" s="209"/>
    </row>
    <row r="1055" spans="3:16" x14ac:dyDescent="0.25">
      <c r="C1055" s="123"/>
      <c r="D1055" s="142"/>
      <c r="E1055" s="142"/>
      <c r="F1055" s="208"/>
      <c r="G1055" s="181"/>
      <c r="H1055" s="209"/>
      <c r="I1055" s="209"/>
      <c r="J1055" s="209"/>
      <c r="K1055" s="209"/>
      <c r="L1055" s="209"/>
      <c r="M1055" s="209"/>
      <c r="N1055" s="209"/>
      <c r="O1055" s="209"/>
      <c r="P1055" s="209"/>
    </row>
    <row r="1056" spans="3:16" x14ac:dyDescent="0.25">
      <c r="C1056" s="123"/>
      <c r="D1056" s="142"/>
      <c r="E1056" s="142"/>
      <c r="F1056" s="208"/>
      <c r="G1056" s="181"/>
      <c r="H1056" s="209"/>
      <c r="I1056" s="209"/>
      <c r="J1056" s="209"/>
      <c r="K1056" s="209"/>
      <c r="L1056" s="209"/>
      <c r="M1056" s="209"/>
      <c r="N1056" s="209"/>
      <c r="O1056" s="209"/>
      <c r="P1056" s="209"/>
    </row>
    <row r="1057" spans="3:16" x14ac:dyDescent="0.25">
      <c r="C1057" s="123"/>
      <c r="D1057" s="142"/>
      <c r="E1057" s="142"/>
      <c r="F1057" s="208"/>
      <c r="G1057" s="181"/>
      <c r="H1057" s="209"/>
      <c r="I1057" s="209"/>
      <c r="J1057" s="209"/>
      <c r="K1057" s="209"/>
      <c r="L1057" s="209"/>
      <c r="M1057" s="209"/>
      <c r="N1057" s="209"/>
      <c r="O1057" s="209"/>
      <c r="P1057" s="209"/>
    </row>
    <row r="1058" spans="3:16" x14ac:dyDescent="0.25">
      <c r="C1058" s="123"/>
      <c r="D1058" s="142"/>
      <c r="E1058" s="142"/>
      <c r="F1058" s="208"/>
      <c r="G1058" s="181"/>
      <c r="H1058" s="209"/>
      <c r="I1058" s="209"/>
      <c r="J1058" s="209"/>
      <c r="K1058" s="209"/>
      <c r="L1058" s="209"/>
      <c r="M1058" s="209"/>
      <c r="N1058" s="209"/>
      <c r="O1058" s="209"/>
      <c r="P1058" s="209"/>
    </row>
    <row r="1059" spans="3:16" x14ac:dyDescent="0.25">
      <c r="C1059" s="123"/>
      <c r="D1059" s="142"/>
      <c r="E1059" s="142"/>
      <c r="F1059" s="208"/>
      <c r="G1059" s="181"/>
      <c r="H1059" s="209"/>
      <c r="I1059" s="209"/>
      <c r="J1059" s="209"/>
      <c r="K1059" s="209"/>
      <c r="L1059" s="209"/>
      <c r="M1059" s="209"/>
      <c r="N1059" s="209"/>
      <c r="O1059" s="209"/>
      <c r="P1059" s="209"/>
    </row>
    <row r="1060" spans="3:16" x14ac:dyDescent="0.25">
      <c r="C1060" s="123"/>
      <c r="D1060" s="142"/>
      <c r="E1060" s="142"/>
      <c r="F1060" s="208"/>
      <c r="G1060" s="181"/>
      <c r="H1060" s="209"/>
      <c r="I1060" s="209"/>
      <c r="J1060" s="209"/>
      <c r="K1060" s="209"/>
      <c r="L1060" s="209"/>
      <c r="M1060" s="209"/>
      <c r="N1060" s="209"/>
      <c r="O1060" s="209"/>
      <c r="P1060" s="209"/>
    </row>
    <row r="1061" spans="3:16" x14ac:dyDescent="0.25">
      <c r="C1061" s="123"/>
      <c r="D1061" s="142"/>
      <c r="E1061" s="142"/>
      <c r="F1061" s="208"/>
      <c r="G1061" s="181"/>
      <c r="H1061" s="209"/>
      <c r="I1061" s="209"/>
      <c r="J1061" s="209"/>
      <c r="K1061" s="209"/>
      <c r="L1061" s="209"/>
      <c r="M1061" s="209"/>
      <c r="N1061" s="209"/>
      <c r="O1061" s="209"/>
      <c r="P1061" s="209"/>
    </row>
    <row r="1062" spans="3:16" x14ac:dyDescent="0.25">
      <c r="C1062" s="123"/>
      <c r="D1062" s="142"/>
      <c r="E1062" s="142"/>
      <c r="F1062" s="208"/>
      <c r="G1062" s="181"/>
      <c r="H1062" s="209"/>
      <c r="I1062" s="209"/>
      <c r="J1062" s="209"/>
      <c r="K1062" s="209"/>
      <c r="L1062" s="209"/>
      <c r="M1062" s="209"/>
      <c r="N1062" s="209"/>
      <c r="O1062" s="209"/>
      <c r="P1062" s="209"/>
    </row>
    <row r="1063" spans="3:16" x14ac:dyDescent="0.25">
      <c r="C1063" s="123"/>
      <c r="D1063" s="142"/>
      <c r="E1063" s="142"/>
      <c r="F1063" s="208"/>
      <c r="G1063" s="181"/>
      <c r="H1063" s="209"/>
      <c r="I1063" s="209"/>
      <c r="J1063" s="209"/>
      <c r="K1063" s="209"/>
      <c r="L1063" s="209"/>
      <c r="M1063" s="209"/>
      <c r="N1063" s="209"/>
      <c r="O1063" s="209"/>
      <c r="P1063" s="209"/>
    </row>
    <row r="1064" spans="3:16" x14ac:dyDescent="0.25">
      <c r="C1064" s="123"/>
      <c r="D1064" s="142"/>
      <c r="E1064" s="142"/>
      <c r="F1064" s="208"/>
      <c r="G1064" s="181"/>
      <c r="H1064" s="209"/>
      <c r="I1064" s="209"/>
      <c r="J1064" s="209"/>
      <c r="K1064" s="209"/>
      <c r="L1064" s="209"/>
      <c r="M1064" s="209"/>
      <c r="N1064" s="209"/>
      <c r="O1064" s="209"/>
      <c r="P1064" s="209"/>
    </row>
    <row r="1065" spans="3:16" x14ac:dyDescent="0.25">
      <c r="C1065" s="123"/>
      <c r="D1065" s="142"/>
      <c r="E1065" s="142"/>
      <c r="F1065" s="208"/>
      <c r="G1065" s="181"/>
      <c r="H1065" s="209"/>
      <c r="I1065" s="209"/>
      <c r="J1065" s="209"/>
      <c r="K1065" s="209"/>
      <c r="L1065" s="209"/>
      <c r="M1065" s="209"/>
      <c r="N1065" s="209"/>
      <c r="O1065" s="209"/>
      <c r="P1065" s="209"/>
    </row>
    <row r="1066" spans="3:16" x14ac:dyDescent="0.25">
      <c r="C1066" s="123"/>
      <c r="D1066" s="142"/>
      <c r="E1066" s="142"/>
      <c r="F1066" s="208"/>
      <c r="G1066" s="181"/>
      <c r="H1066" s="209"/>
      <c r="I1066" s="209"/>
      <c r="J1066" s="209"/>
      <c r="K1066" s="209"/>
      <c r="L1066" s="209"/>
      <c r="M1066" s="209"/>
      <c r="N1066" s="209"/>
      <c r="O1066" s="209"/>
      <c r="P1066" s="209"/>
    </row>
    <row r="1067" spans="3:16" x14ac:dyDescent="0.25">
      <c r="C1067" s="123"/>
      <c r="D1067" s="142"/>
      <c r="E1067" s="142"/>
      <c r="F1067" s="208"/>
      <c r="G1067" s="181"/>
      <c r="H1067" s="209"/>
      <c r="I1067" s="209"/>
      <c r="J1067" s="209"/>
      <c r="K1067" s="209"/>
      <c r="L1067" s="209"/>
      <c r="M1067" s="209"/>
      <c r="N1067" s="209"/>
      <c r="O1067" s="209"/>
      <c r="P1067" s="209"/>
    </row>
    <row r="1068" spans="3:16" x14ac:dyDescent="0.25">
      <c r="C1068" s="123"/>
      <c r="D1068" s="142"/>
      <c r="E1068" s="142"/>
      <c r="F1068" s="208"/>
      <c r="G1068" s="181"/>
      <c r="H1068" s="209"/>
      <c r="I1068" s="209"/>
      <c r="J1068" s="209"/>
      <c r="K1068" s="209"/>
      <c r="L1068" s="209"/>
      <c r="M1068" s="209"/>
      <c r="N1068" s="209"/>
      <c r="O1068" s="209"/>
      <c r="P1068" s="209"/>
    </row>
    <row r="1069" spans="3:16" x14ac:dyDescent="0.25">
      <c r="C1069" s="123"/>
      <c r="D1069" s="142"/>
      <c r="E1069" s="142"/>
      <c r="F1069" s="208"/>
      <c r="G1069" s="181"/>
      <c r="H1069" s="209"/>
      <c r="I1069" s="209"/>
      <c r="J1069" s="209"/>
      <c r="K1069" s="209"/>
      <c r="L1069" s="209"/>
      <c r="M1069" s="209"/>
      <c r="N1069" s="209"/>
      <c r="O1069" s="209"/>
      <c r="P1069" s="209"/>
    </row>
    <row r="1070" spans="3:16" x14ac:dyDescent="0.25">
      <c r="C1070" s="123"/>
      <c r="D1070" s="142"/>
      <c r="E1070" s="142"/>
      <c r="F1070" s="208"/>
      <c r="G1070" s="181"/>
      <c r="H1070" s="209"/>
      <c r="I1070" s="209"/>
      <c r="J1070" s="209"/>
      <c r="K1070" s="209"/>
      <c r="L1070" s="209"/>
      <c r="M1070" s="209"/>
      <c r="N1070" s="209"/>
      <c r="O1070" s="209"/>
      <c r="P1070" s="209"/>
    </row>
    <row r="1071" spans="3:16" x14ac:dyDescent="0.25">
      <c r="C1071" s="123"/>
      <c r="D1071" s="142"/>
      <c r="E1071" s="142"/>
      <c r="F1071" s="208"/>
      <c r="G1071" s="181"/>
      <c r="H1071" s="209"/>
      <c r="I1071" s="209"/>
      <c r="J1071" s="209"/>
      <c r="K1071" s="209"/>
      <c r="L1071" s="209"/>
      <c r="M1071" s="209"/>
      <c r="N1071" s="209"/>
      <c r="O1071" s="209"/>
      <c r="P1071" s="209"/>
    </row>
    <row r="1072" spans="3:16" x14ac:dyDescent="0.25">
      <c r="C1072" s="123"/>
      <c r="D1072" s="142"/>
      <c r="E1072" s="142"/>
      <c r="F1072" s="208"/>
      <c r="G1072" s="181"/>
      <c r="H1072" s="209"/>
      <c r="I1072" s="209"/>
      <c r="J1072" s="209"/>
      <c r="K1072" s="209"/>
      <c r="L1072" s="209"/>
      <c r="M1072" s="209"/>
      <c r="N1072" s="209"/>
      <c r="O1072" s="209"/>
      <c r="P1072" s="209"/>
    </row>
    <row r="1073" spans="3:16" x14ac:dyDescent="0.25">
      <c r="C1073" s="123"/>
      <c r="D1073" s="142"/>
      <c r="E1073" s="142"/>
      <c r="F1073" s="208"/>
      <c r="G1073" s="181"/>
      <c r="H1073" s="209"/>
      <c r="I1073" s="209"/>
      <c r="J1073" s="209"/>
      <c r="K1073" s="209"/>
      <c r="L1073" s="209"/>
      <c r="M1073" s="209"/>
      <c r="N1073" s="209"/>
      <c r="O1073" s="209"/>
      <c r="P1073" s="209"/>
    </row>
    <row r="1074" spans="3:16" x14ac:dyDescent="0.25">
      <c r="C1074" s="123"/>
      <c r="D1074" s="142"/>
      <c r="E1074" s="142"/>
      <c r="F1074" s="208"/>
      <c r="G1074" s="181"/>
      <c r="H1074" s="209"/>
      <c r="I1074" s="209"/>
      <c r="J1074" s="209"/>
      <c r="K1074" s="209"/>
      <c r="L1074" s="209"/>
      <c r="M1074" s="209"/>
      <c r="N1074" s="209"/>
      <c r="O1074" s="209"/>
      <c r="P1074" s="209"/>
    </row>
    <row r="1075" spans="3:16" x14ac:dyDescent="0.25">
      <c r="C1075" s="123"/>
      <c r="D1075" s="142"/>
      <c r="E1075" s="142"/>
      <c r="F1075" s="208"/>
      <c r="G1075" s="181"/>
      <c r="H1075" s="209"/>
      <c r="I1075" s="209"/>
      <c r="J1075" s="209"/>
      <c r="K1075" s="209"/>
      <c r="L1075" s="209"/>
      <c r="M1075" s="209"/>
      <c r="N1075" s="209"/>
      <c r="O1075" s="209"/>
      <c r="P1075" s="209"/>
    </row>
    <row r="1076" spans="3:16" x14ac:dyDescent="0.25">
      <c r="C1076" s="123"/>
      <c r="D1076" s="142"/>
      <c r="E1076" s="142"/>
      <c r="F1076" s="208"/>
      <c r="G1076" s="181"/>
      <c r="H1076" s="209"/>
      <c r="I1076" s="209"/>
      <c r="J1076" s="209"/>
      <c r="K1076" s="209"/>
      <c r="L1076" s="209"/>
      <c r="M1076" s="209"/>
      <c r="N1076" s="209"/>
      <c r="O1076" s="209"/>
      <c r="P1076" s="209"/>
    </row>
    <row r="1077" spans="3:16" x14ac:dyDescent="0.25">
      <c r="C1077" s="123"/>
      <c r="D1077" s="142"/>
      <c r="E1077" s="142"/>
      <c r="F1077" s="208"/>
      <c r="G1077" s="181"/>
      <c r="H1077" s="209"/>
      <c r="I1077" s="209"/>
      <c r="J1077" s="209"/>
      <c r="K1077" s="209"/>
      <c r="L1077" s="209"/>
      <c r="M1077" s="209"/>
      <c r="N1077" s="209"/>
      <c r="O1077" s="209"/>
      <c r="P1077" s="209"/>
    </row>
    <row r="1078" spans="3:16" x14ac:dyDescent="0.25">
      <c r="C1078" s="123"/>
      <c r="D1078" s="142"/>
      <c r="E1078" s="142"/>
      <c r="F1078" s="208"/>
      <c r="G1078" s="181"/>
      <c r="H1078" s="209"/>
      <c r="I1078" s="209"/>
      <c r="J1078" s="209"/>
      <c r="K1078" s="209"/>
      <c r="L1078" s="209"/>
      <c r="M1078" s="209"/>
      <c r="N1078" s="209"/>
      <c r="O1078" s="209"/>
      <c r="P1078" s="209"/>
    </row>
    <row r="1079" spans="3:16" x14ac:dyDescent="0.25">
      <c r="C1079" s="123"/>
      <c r="D1079" s="142"/>
      <c r="E1079" s="142"/>
      <c r="F1079" s="208"/>
      <c r="G1079" s="181"/>
      <c r="H1079" s="209"/>
      <c r="I1079" s="209"/>
      <c r="J1079" s="209"/>
      <c r="K1079" s="209"/>
      <c r="L1079" s="209"/>
      <c r="M1079" s="209"/>
      <c r="N1079" s="209"/>
      <c r="O1079" s="209"/>
      <c r="P1079" s="209"/>
    </row>
    <row r="1080" spans="3:16" x14ac:dyDescent="0.25">
      <c r="C1080" s="123"/>
      <c r="D1080" s="142"/>
      <c r="E1080" s="142"/>
      <c r="F1080" s="208"/>
      <c r="G1080" s="181"/>
      <c r="H1080" s="209"/>
      <c r="I1080" s="209"/>
      <c r="J1080" s="209"/>
      <c r="K1080" s="209"/>
      <c r="L1080" s="209"/>
      <c r="M1080" s="209"/>
      <c r="N1080" s="209"/>
      <c r="O1080" s="209"/>
      <c r="P1080" s="209"/>
    </row>
    <row r="1081" spans="3:16" x14ac:dyDescent="0.25">
      <c r="C1081" s="123"/>
      <c r="D1081" s="142"/>
      <c r="E1081" s="142"/>
      <c r="F1081" s="208"/>
      <c r="G1081" s="181"/>
      <c r="H1081" s="209"/>
      <c r="I1081" s="209"/>
      <c r="J1081" s="209"/>
      <c r="K1081" s="209"/>
      <c r="L1081" s="209"/>
      <c r="M1081" s="209"/>
      <c r="N1081" s="209"/>
      <c r="O1081" s="209"/>
      <c r="P1081" s="209"/>
    </row>
    <row r="1082" spans="3:16" x14ac:dyDescent="0.25">
      <c r="C1082" s="123"/>
      <c r="D1082" s="142"/>
      <c r="E1082" s="142"/>
      <c r="F1082" s="208"/>
      <c r="G1082" s="181"/>
      <c r="H1082" s="209"/>
      <c r="I1082" s="209"/>
      <c r="J1082" s="209"/>
      <c r="K1082" s="209"/>
      <c r="L1082" s="209"/>
      <c r="M1082" s="209"/>
      <c r="N1082" s="209"/>
      <c r="O1082" s="209"/>
      <c r="P1082" s="209"/>
    </row>
    <row r="1083" spans="3:16" x14ac:dyDescent="0.25">
      <c r="C1083" s="123"/>
      <c r="D1083" s="142"/>
      <c r="E1083" s="142"/>
      <c r="F1083" s="208"/>
      <c r="G1083" s="181"/>
      <c r="H1083" s="209"/>
      <c r="I1083" s="209"/>
      <c r="J1083" s="209"/>
      <c r="K1083" s="209"/>
      <c r="L1083" s="209"/>
      <c r="M1083" s="209"/>
      <c r="N1083" s="209"/>
      <c r="O1083" s="209"/>
      <c r="P1083" s="209"/>
    </row>
    <row r="1084" spans="3:16" x14ac:dyDescent="0.25">
      <c r="C1084" s="123"/>
      <c r="D1084" s="142"/>
      <c r="E1084" s="142"/>
      <c r="F1084" s="208"/>
      <c r="G1084" s="181"/>
      <c r="H1084" s="209"/>
      <c r="I1084" s="209"/>
      <c r="J1084" s="209"/>
      <c r="K1084" s="209"/>
      <c r="L1084" s="209"/>
      <c r="M1084" s="209"/>
      <c r="N1084" s="209"/>
      <c r="O1084" s="209"/>
      <c r="P1084" s="209"/>
    </row>
    <row r="1085" spans="3:16" x14ac:dyDescent="0.25">
      <c r="C1085" s="123"/>
      <c r="D1085" s="142"/>
      <c r="E1085" s="142"/>
      <c r="F1085" s="208"/>
      <c r="G1085" s="181"/>
      <c r="H1085" s="209"/>
      <c r="I1085" s="209"/>
      <c r="J1085" s="209"/>
      <c r="K1085" s="209"/>
      <c r="L1085" s="209"/>
      <c r="M1085" s="209"/>
      <c r="N1085" s="209"/>
      <c r="O1085" s="209"/>
      <c r="P1085" s="209"/>
    </row>
    <row r="1086" spans="3:16" x14ac:dyDescent="0.25">
      <c r="C1086" s="123"/>
      <c r="D1086" s="142"/>
      <c r="E1086" s="142"/>
      <c r="F1086" s="208"/>
      <c r="G1086" s="181"/>
      <c r="H1086" s="209"/>
      <c r="I1086" s="209"/>
      <c r="J1086" s="209"/>
      <c r="K1086" s="209"/>
      <c r="L1086" s="209"/>
      <c r="M1086" s="209"/>
      <c r="N1086" s="209"/>
      <c r="O1086" s="209"/>
      <c r="P1086" s="209"/>
    </row>
    <row r="1087" spans="3:16" x14ac:dyDescent="0.25">
      <c r="C1087" s="123"/>
      <c r="D1087" s="142"/>
      <c r="E1087" s="142"/>
      <c r="F1087" s="208"/>
      <c r="G1087" s="181"/>
      <c r="H1087" s="209"/>
      <c r="I1087" s="209"/>
      <c r="J1087" s="209"/>
      <c r="K1087" s="209"/>
      <c r="L1087" s="209"/>
      <c r="M1087" s="209"/>
      <c r="N1087" s="209"/>
      <c r="O1087" s="209"/>
      <c r="P1087" s="209"/>
    </row>
    <row r="1088" spans="3:16" x14ac:dyDescent="0.25">
      <c r="C1088" s="123"/>
      <c r="D1088" s="142"/>
      <c r="E1088" s="142"/>
      <c r="F1088" s="208"/>
      <c r="G1088" s="181"/>
      <c r="H1088" s="209"/>
      <c r="I1088" s="209"/>
      <c r="J1088" s="209"/>
      <c r="K1088" s="209"/>
      <c r="L1088" s="209"/>
      <c r="M1088" s="209"/>
      <c r="N1088" s="209"/>
      <c r="O1088" s="209"/>
      <c r="P1088" s="209"/>
    </row>
    <row r="1089" spans="3:16" x14ac:dyDescent="0.25">
      <c r="C1089" s="123"/>
      <c r="D1089" s="142"/>
      <c r="E1089" s="142"/>
      <c r="F1089" s="208"/>
      <c r="G1089" s="181"/>
      <c r="H1089" s="209"/>
      <c r="I1089" s="209"/>
      <c r="J1089" s="209"/>
      <c r="K1089" s="209"/>
      <c r="L1089" s="209"/>
      <c r="M1089" s="209"/>
      <c r="N1089" s="209"/>
      <c r="O1089" s="209"/>
      <c r="P1089" s="209"/>
    </row>
    <row r="1090" spans="3:16" x14ac:dyDescent="0.25">
      <c r="C1090" s="123"/>
      <c r="D1090" s="142"/>
      <c r="E1090" s="142"/>
      <c r="F1090" s="208"/>
      <c r="G1090" s="181"/>
      <c r="H1090" s="209"/>
      <c r="I1090" s="209"/>
      <c r="J1090" s="209"/>
      <c r="K1090" s="209"/>
      <c r="L1090" s="209"/>
      <c r="M1090" s="209"/>
      <c r="N1090" s="209"/>
      <c r="O1090" s="209"/>
      <c r="P1090" s="209"/>
    </row>
    <row r="1091" spans="3:16" x14ac:dyDescent="0.25">
      <c r="C1091" s="123"/>
      <c r="D1091" s="142"/>
      <c r="E1091" s="142"/>
      <c r="F1091" s="208"/>
      <c r="G1091" s="181"/>
      <c r="H1091" s="209"/>
      <c r="I1091" s="209"/>
      <c r="J1091" s="209"/>
      <c r="K1091" s="209"/>
      <c r="L1091" s="209"/>
      <c r="M1091" s="209"/>
      <c r="N1091" s="209"/>
      <c r="O1091" s="209"/>
      <c r="P1091" s="209"/>
    </row>
    <row r="1092" spans="3:16" x14ac:dyDescent="0.25">
      <c r="C1092" s="123"/>
      <c r="D1092" s="142"/>
      <c r="E1092" s="142"/>
      <c r="F1092" s="208"/>
      <c r="G1092" s="181"/>
      <c r="H1092" s="209"/>
      <c r="I1092" s="209"/>
      <c r="J1092" s="209"/>
      <c r="K1092" s="209"/>
      <c r="L1092" s="209"/>
      <c r="M1092" s="209"/>
      <c r="N1092" s="209"/>
      <c r="O1092" s="209"/>
      <c r="P1092" s="209"/>
    </row>
    <row r="1093" spans="3:16" x14ac:dyDescent="0.25">
      <c r="C1093" s="123"/>
      <c r="D1093" s="142"/>
      <c r="E1093" s="142"/>
      <c r="F1093" s="208"/>
      <c r="G1093" s="181"/>
      <c r="H1093" s="209"/>
      <c r="I1093" s="209"/>
      <c r="J1093" s="209"/>
      <c r="K1093" s="209"/>
      <c r="L1093" s="209"/>
      <c r="M1093" s="209"/>
      <c r="N1093" s="209"/>
      <c r="O1093" s="209"/>
      <c r="P1093" s="209"/>
    </row>
    <row r="1094" spans="3:16" x14ac:dyDescent="0.25">
      <c r="C1094" s="123"/>
      <c r="D1094" s="142"/>
      <c r="E1094" s="142"/>
      <c r="F1094" s="208"/>
      <c r="G1094" s="181"/>
      <c r="H1094" s="209"/>
      <c r="I1094" s="209"/>
      <c r="J1094" s="209"/>
      <c r="K1094" s="209"/>
      <c r="L1094" s="209"/>
      <c r="M1094" s="209"/>
      <c r="N1094" s="209"/>
      <c r="O1094" s="209"/>
      <c r="P1094" s="209"/>
    </row>
    <row r="1095" spans="3:16" x14ac:dyDescent="0.25">
      <c r="C1095" s="123"/>
      <c r="D1095" s="142"/>
      <c r="E1095" s="142"/>
      <c r="F1095" s="208"/>
      <c r="G1095" s="181"/>
      <c r="H1095" s="209"/>
      <c r="I1095" s="209"/>
      <c r="J1095" s="209"/>
      <c r="K1095" s="209"/>
      <c r="L1095" s="209"/>
      <c r="M1095" s="209"/>
      <c r="N1095" s="209"/>
      <c r="O1095" s="209"/>
      <c r="P1095" s="209"/>
    </row>
    <row r="1096" spans="3:16" x14ac:dyDescent="0.25">
      <c r="C1096" s="123"/>
      <c r="D1096" s="142"/>
      <c r="E1096" s="142"/>
      <c r="F1096" s="208"/>
      <c r="G1096" s="181"/>
      <c r="H1096" s="209"/>
      <c r="I1096" s="209"/>
      <c r="J1096" s="209"/>
      <c r="K1096" s="209"/>
      <c r="L1096" s="209"/>
      <c r="M1096" s="209"/>
      <c r="N1096" s="209"/>
      <c r="O1096" s="209"/>
      <c r="P1096" s="209"/>
    </row>
    <row r="1097" spans="3:16" x14ac:dyDescent="0.25">
      <c r="C1097" s="123"/>
      <c r="D1097" s="142"/>
      <c r="E1097" s="142"/>
      <c r="F1097" s="208"/>
      <c r="G1097" s="181"/>
      <c r="H1097" s="209"/>
      <c r="I1097" s="209"/>
      <c r="J1097" s="209"/>
      <c r="K1097" s="209"/>
      <c r="L1097" s="209"/>
      <c r="M1097" s="209"/>
      <c r="N1097" s="209"/>
      <c r="O1097" s="209"/>
      <c r="P1097" s="209"/>
    </row>
    <row r="1098" spans="3:16" x14ac:dyDescent="0.25">
      <c r="C1098" s="123"/>
      <c r="D1098" s="142"/>
      <c r="E1098" s="142"/>
      <c r="F1098" s="208"/>
      <c r="G1098" s="181"/>
      <c r="H1098" s="209"/>
      <c r="I1098" s="209"/>
      <c r="J1098" s="209"/>
      <c r="K1098" s="209"/>
      <c r="L1098" s="209"/>
      <c r="M1098" s="209"/>
      <c r="N1098" s="209"/>
      <c r="O1098" s="209"/>
      <c r="P1098" s="209"/>
    </row>
    <row r="1099" spans="3:16" x14ac:dyDescent="0.25">
      <c r="C1099" s="123"/>
      <c r="D1099" s="142"/>
      <c r="E1099" s="142"/>
      <c r="F1099" s="208"/>
      <c r="G1099" s="181"/>
      <c r="H1099" s="209"/>
      <c r="I1099" s="209"/>
      <c r="J1099" s="209"/>
      <c r="K1099" s="209"/>
      <c r="L1099" s="209"/>
      <c r="M1099" s="209"/>
      <c r="N1099" s="209"/>
      <c r="O1099" s="209"/>
      <c r="P1099" s="209"/>
    </row>
    <row r="1100" spans="3:16" x14ac:dyDescent="0.25">
      <c r="C1100" s="123"/>
      <c r="D1100" s="142"/>
      <c r="E1100" s="142"/>
      <c r="F1100" s="208"/>
      <c r="G1100" s="181"/>
      <c r="H1100" s="209"/>
      <c r="I1100" s="209"/>
      <c r="J1100" s="209"/>
      <c r="K1100" s="209"/>
      <c r="L1100" s="209"/>
      <c r="M1100" s="209"/>
      <c r="N1100" s="209"/>
      <c r="O1100" s="209"/>
      <c r="P1100" s="209"/>
    </row>
    <row r="1101" spans="3:16" x14ac:dyDescent="0.25">
      <c r="C1101" s="123"/>
      <c r="D1101" s="142"/>
      <c r="E1101" s="142"/>
      <c r="F1101" s="208"/>
      <c r="G1101" s="181"/>
      <c r="H1101" s="209"/>
      <c r="I1101" s="209"/>
      <c r="J1101" s="209"/>
      <c r="K1101" s="209"/>
      <c r="L1101" s="209"/>
      <c r="M1101" s="209"/>
      <c r="N1101" s="209"/>
      <c r="O1101" s="209"/>
      <c r="P1101" s="209"/>
    </row>
    <row r="1102" spans="3:16" x14ac:dyDescent="0.25">
      <c r="C1102" s="123"/>
      <c r="D1102" s="142"/>
      <c r="E1102" s="142"/>
      <c r="F1102" s="208"/>
      <c r="G1102" s="181"/>
      <c r="H1102" s="209"/>
      <c r="I1102" s="209"/>
      <c r="J1102" s="209"/>
      <c r="K1102" s="209"/>
      <c r="L1102" s="209"/>
      <c r="M1102" s="209"/>
      <c r="N1102" s="209"/>
      <c r="O1102" s="209"/>
      <c r="P1102" s="209"/>
    </row>
    <row r="1103" spans="3:16" x14ac:dyDescent="0.25">
      <c r="C1103" s="123"/>
      <c r="D1103" s="142"/>
      <c r="E1103" s="142"/>
      <c r="F1103" s="208"/>
      <c r="G1103" s="181"/>
      <c r="H1103" s="209"/>
      <c r="I1103" s="209"/>
      <c r="J1103" s="209"/>
      <c r="K1103" s="209"/>
      <c r="L1103" s="209"/>
      <c r="M1103" s="209"/>
      <c r="N1103" s="209"/>
      <c r="O1103" s="209"/>
      <c r="P1103" s="209"/>
    </row>
    <row r="1104" spans="3:16" x14ac:dyDescent="0.25">
      <c r="C1104" s="123"/>
      <c r="D1104" s="142"/>
      <c r="E1104" s="142"/>
      <c r="F1104" s="208"/>
      <c r="G1104" s="181"/>
      <c r="H1104" s="209"/>
      <c r="I1104" s="209"/>
      <c r="J1104" s="209"/>
      <c r="K1104" s="209"/>
      <c r="L1104" s="209"/>
      <c r="M1104" s="209"/>
      <c r="N1104" s="209"/>
      <c r="O1104" s="209"/>
      <c r="P1104" s="209"/>
    </row>
    <row r="1105" spans="3:16" x14ac:dyDescent="0.25">
      <c r="C1105" s="123"/>
      <c r="D1105" s="142"/>
      <c r="E1105" s="142"/>
      <c r="F1105" s="208"/>
      <c r="G1105" s="181"/>
      <c r="H1105" s="209"/>
      <c r="I1105" s="209"/>
      <c r="J1105" s="209"/>
      <c r="K1105" s="209"/>
      <c r="L1105" s="209"/>
      <c r="M1105" s="209"/>
      <c r="N1105" s="209"/>
      <c r="O1105" s="209"/>
      <c r="P1105" s="209"/>
    </row>
    <row r="1106" spans="3:16" x14ac:dyDescent="0.25">
      <c r="C1106" s="123"/>
      <c r="D1106" s="142"/>
      <c r="E1106" s="142"/>
      <c r="F1106" s="208"/>
      <c r="G1106" s="181"/>
      <c r="H1106" s="209"/>
      <c r="I1106" s="209"/>
      <c r="J1106" s="209"/>
      <c r="K1106" s="209"/>
      <c r="L1106" s="209"/>
      <c r="M1106" s="209"/>
      <c r="N1106" s="209"/>
      <c r="O1106" s="209"/>
      <c r="P1106" s="209"/>
    </row>
    <row r="1107" spans="3:16" x14ac:dyDescent="0.25">
      <c r="C1107" s="123"/>
      <c r="D1107" s="142"/>
      <c r="E1107" s="142"/>
      <c r="F1107" s="208"/>
      <c r="G1107" s="181"/>
      <c r="H1107" s="209"/>
      <c r="I1107" s="209"/>
      <c r="J1107" s="209"/>
      <c r="K1107" s="209"/>
      <c r="L1107" s="209"/>
      <c r="M1107" s="209"/>
      <c r="N1107" s="209"/>
      <c r="O1107" s="209"/>
      <c r="P1107" s="209"/>
    </row>
    <row r="1108" spans="3:16" x14ac:dyDescent="0.25">
      <c r="C1108" s="123"/>
      <c r="D1108" s="142"/>
      <c r="E1108" s="142"/>
      <c r="F1108" s="208"/>
      <c r="G1108" s="181"/>
      <c r="H1108" s="209"/>
      <c r="I1108" s="209"/>
      <c r="J1108" s="209"/>
      <c r="K1108" s="209"/>
      <c r="L1108" s="209"/>
      <c r="M1108" s="209"/>
      <c r="N1108" s="209"/>
      <c r="O1108" s="209"/>
      <c r="P1108" s="209"/>
    </row>
    <row r="1109" spans="3:16" x14ac:dyDescent="0.25">
      <c r="C1109" s="123"/>
      <c r="D1109" s="142"/>
      <c r="E1109" s="142"/>
      <c r="F1109" s="208"/>
      <c r="G1109" s="181"/>
      <c r="H1109" s="209"/>
      <c r="I1109" s="209"/>
      <c r="J1109" s="209"/>
      <c r="K1109" s="209"/>
      <c r="L1109" s="209"/>
      <c r="M1109" s="209"/>
      <c r="N1109" s="209"/>
      <c r="O1109" s="209"/>
      <c r="P1109" s="209"/>
    </row>
    <row r="1110" spans="3:16" x14ac:dyDescent="0.25">
      <c r="C1110" s="123"/>
      <c r="D1110" s="142"/>
      <c r="E1110" s="142"/>
      <c r="F1110" s="208"/>
      <c r="G1110" s="181"/>
      <c r="H1110" s="209"/>
      <c r="I1110" s="209"/>
      <c r="J1110" s="209"/>
      <c r="K1110" s="209"/>
      <c r="L1110" s="209"/>
      <c r="M1110" s="209"/>
      <c r="N1110" s="209"/>
      <c r="O1110" s="209"/>
      <c r="P1110" s="209"/>
    </row>
    <row r="1111" spans="3:16" x14ac:dyDescent="0.25">
      <c r="C1111" s="123"/>
      <c r="D1111" s="142"/>
      <c r="E1111" s="142"/>
      <c r="F1111" s="208"/>
      <c r="G1111" s="181"/>
      <c r="H1111" s="209"/>
      <c r="I1111" s="209"/>
      <c r="J1111" s="209"/>
      <c r="K1111" s="209"/>
      <c r="L1111" s="209"/>
      <c r="M1111" s="209"/>
      <c r="N1111" s="209"/>
      <c r="O1111" s="209"/>
      <c r="P1111" s="209"/>
    </row>
    <row r="1112" spans="3:16" x14ac:dyDescent="0.25">
      <c r="C1112" s="123"/>
      <c r="D1112" s="142"/>
      <c r="E1112" s="142"/>
      <c r="F1112" s="208"/>
      <c r="G1112" s="181"/>
      <c r="H1112" s="209"/>
      <c r="I1112" s="209"/>
      <c r="J1112" s="209"/>
      <c r="K1112" s="209"/>
      <c r="L1112" s="209"/>
      <c r="M1112" s="209"/>
      <c r="N1112" s="209"/>
      <c r="O1112" s="209"/>
      <c r="P1112" s="209"/>
    </row>
    <row r="1113" spans="3:16" x14ac:dyDescent="0.25">
      <c r="C1113" s="123"/>
      <c r="D1113" s="142"/>
      <c r="E1113" s="142"/>
      <c r="F1113" s="208"/>
      <c r="G1113" s="181"/>
      <c r="H1113" s="209"/>
      <c r="I1113" s="209"/>
      <c r="J1113" s="209"/>
      <c r="K1113" s="209"/>
      <c r="L1113" s="209"/>
      <c r="M1113" s="209"/>
      <c r="N1113" s="209"/>
      <c r="O1113" s="209"/>
      <c r="P1113" s="209"/>
    </row>
    <row r="1114" spans="3:16" x14ac:dyDescent="0.25">
      <c r="C1114" s="123"/>
      <c r="D1114" s="142"/>
      <c r="E1114" s="142"/>
      <c r="F1114" s="208"/>
      <c r="G1114" s="181"/>
      <c r="H1114" s="209"/>
      <c r="I1114" s="209"/>
      <c r="J1114" s="209"/>
      <c r="K1114" s="209"/>
      <c r="L1114" s="209"/>
      <c r="M1114" s="209"/>
      <c r="N1114" s="209"/>
      <c r="O1114" s="209"/>
      <c r="P1114" s="209"/>
    </row>
    <row r="1115" spans="3:16" x14ac:dyDescent="0.25">
      <c r="C1115" s="123"/>
      <c r="D1115" s="142"/>
      <c r="E1115" s="142"/>
      <c r="F1115" s="208"/>
      <c r="G1115" s="181"/>
      <c r="H1115" s="209"/>
      <c r="I1115" s="209"/>
      <c r="J1115" s="209"/>
      <c r="K1115" s="209"/>
      <c r="L1115" s="209"/>
      <c r="M1115" s="209"/>
      <c r="N1115" s="209"/>
      <c r="O1115" s="209"/>
      <c r="P1115" s="209"/>
    </row>
    <row r="1116" spans="3:16" x14ac:dyDescent="0.25">
      <c r="C1116" s="123"/>
      <c r="D1116" s="142"/>
      <c r="E1116" s="142"/>
      <c r="F1116" s="208"/>
      <c r="G1116" s="181"/>
      <c r="H1116" s="209"/>
      <c r="I1116" s="209"/>
      <c r="J1116" s="209"/>
      <c r="K1116" s="209"/>
      <c r="L1116" s="209"/>
      <c r="M1116" s="209"/>
      <c r="N1116" s="209"/>
      <c r="O1116" s="209"/>
      <c r="P1116" s="209"/>
    </row>
    <row r="1117" spans="3:16" x14ac:dyDescent="0.25">
      <c r="C1117" s="123"/>
      <c r="D1117" s="142"/>
      <c r="E1117" s="142"/>
      <c r="F1117" s="208"/>
      <c r="G1117" s="181"/>
      <c r="H1117" s="209"/>
      <c r="I1117" s="209"/>
      <c r="J1117" s="209"/>
      <c r="K1117" s="209"/>
      <c r="L1117" s="209"/>
      <c r="M1117" s="209"/>
      <c r="N1117" s="209"/>
      <c r="O1117" s="209"/>
      <c r="P1117" s="209"/>
    </row>
    <row r="1118" spans="3:16" x14ac:dyDescent="0.25">
      <c r="C1118" s="123"/>
      <c r="D1118" s="142"/>
      <c r="E1118" s="142"/>
      <c r="F1118" s="208"/>
      <c r="G1118" s="181"/>
      <c r="H1118" s="209"/>
      <c r="I1118" s="209"/>
      <c r="J1118" s="209"/>
      <c r="K1118" s="209"/>
      <c r="L1118" s="209"/>
      <c r="M1118" s="209"/>
      <c r="N1118" s="209"/>
      <c r="O1118" s="209"/>
      <c r="P1118" s="209"/>
    </row>
    <row r="1119" spans="3:16" x14ac:dyDescent="0.25">
      <c r="C1119" s="123"/>
      <c r="D1119" s="142"/>
      <c r="E1119" s="142"/>
      <c r="F1119" s="208"/>
      <c r="G1119" s="181"/>
      <c r="H1119" s="209"/>
      <c r="I1119" s="209"/>
      <c r="J1119" s="209"/>
      <c r="K1119" s="209"/>
      <c r="L1119" s="209"/>
      <c r="M1119" s="209"/>
      <c r="N1119" s="209"/>
      <c r="O1119" s="209"/>
      <c r="P1119" s="209"/>
    </row>
    <row r="1120" spans="3:16" x14ac:dyDescent="0.25">
      <c r="C1120" s="123"/>
      <c r="D1120" s="142"/>
      <c r="E1120" s="142"/>
      <c r="F1120" s="208"/>
      <c r="G1120" s="181"/>
      <c r="H1120" s="209"/>
      <c r="I1120" s="209"/>
      <c r="J1120" s="209"/>
      <c r="K1120" s="209"/>
      <c r="L1120" s="209"/>
      <c r="M1120" s="209"/>
      <c r="N1120" s="209"/>
      <c r="O1120" s="209"/>
      <c r="P1120" s="209"/>
    </row>
    <row r="1121" spans="3:16" x14ac:dyDescent="0.25">
      <c r="C1121" s="123"/>
      <c r="D1121" s="142"/>
      <c r="E1121" s="142"/>
      <c r="F1121" s="208"/>
      <c r="G1121" s="181"/>
      <c r="H1121" s="209"/>
      <c r="I1121" s="209"/>
      <c r="J1121" s="209"/>
      <c r="K1121" s="209"/>
      <c r="L1121" s="209"/>
      <c r="M1121" s="209"/>
      <c r="N1121" s="209"/>
      <c r="O1121" s="209"/>
      <c r="P1121" s="209"/>
    </row>
    <row r="1122" spans="3:16" x14ac:dyDescent="0.25">
      <c r="C1122" s="123"/>
      <c r="D1122" s="142"/>
      <c r="E1122" s="142"/>
      <c r="F1122" s="208"/>
      <c r="G1122" s="181"/>
      <c r="H1122" s="209"/>
      <c r="I1122" s="209"/>
      <c r="J1122" s="209"/>
      <c r="K1122" s="209"/>
      <c r="L1122" s="209"/>
      <c r="M1122" s="209"/>
      <c r="N1122" s="209"/>
      <c r="O1122" s="209"/>
      <c r="P1122" s="209"/>
    </row>
    <row r="1123" spans="3:16" x14ac:dyDescent="0.25">
      <c r="C1123" s="123"/>
      <c r="D1123" s="142"/>
      <c r="E1123" s="142"/>
      <c r="F1123" s="208"/>
      <c r="G1123" s="181"/>
      <c r="H1123" s="209"/>
      <c r="I1123" s="209"/>
      <c r="J1123" s="209"/>
      <c r="K1123" s="209"/>
      <c r="L1123" s="209"/>
      <c r="M1123" s="209"/>
      <c r="N1123" s="209"/>
      <c r="O1123" s="209"/>
      <c r="P1123" s="209"/>
    </row>
    <row r="1124" spans="3:16" x14ac:dyDescent="0.25">
      <c r="C1124" s="123"/>
      <c r="D1124" s="142"/>
      <c r="E1124" s="142"/>
      <c r="F1124" s="208"/>
      <c r="G1124" s="181"/>
      <c r="H1124" s="209"/>
      <c r="I1124" s="209"/>
      <c r="J1124" s="209"/>
      <c r="K1124" s="209"/>
      <c r="L1124" s="209"/>
      <c r="M1124" s="209"/>
      <c r="N1124" s="209"/>
      <c r="O1124" s="209"/>
      <c r="P1124" s="209"/>
    </row>
    <row r="1125" spans="3:16" x14ac:dyDescent="0.25">
      <c r="C1125" s="123"/>
      <c r="D1125" s="142"/>
      <c r="E1125" s="142"/>
      <c r="F1125" s="208"/>
      <c r="G1125" s="181"/>
      <c r="H1125" s="209"/>
      <c r="I1125" s="209"/>
      <c r="J1125" s="209"/>
      <c r="K1125" s="209"/>
      <c r="L1125" s="209"/>
      <c r="M1125" s="209"/>
      <c r="N1125" s="209"/>
      <c r="O1125" s="209"/>
      <c r="P1125" s="209"/>
    </row>
    <row r="1126" spans="3:16" x14ac:dyDescent="0.25">
      <c r="C1126" s="123"/>
      <c r="D1126" s="142"/>
      <c r="E1126" s="142"/>
      <c r="F1126" s="208"/>
      <c r="G1126" s="181"/>
      <c r="H1126" s="209"/>
      <c r="I1126" s="209"/>
      <c r="J1126" s="209"/>
      <c r="K1126" s="209"/>
      <c r="L1126" s="209"/>
      <c r="M1126" s="209"/>
      <c r="N1126" s="209"/>
      <c r="O1126" s="209"/>
      <c r="P1126" s="209"/>
    </row>
    <row r="1127" spans="3:16" x14ac:dyDescent="0.25">
      <c r="C1127" s="123"/>
      <c r="D1127" s="142"/>
      <c r="E1127" s="142"/>
      <c r="F1127" s="208"/>
      <c r="G1127" s="181"/>
      <c r="H1127" s="209"/>
      <c r="I1127" s="209"/>
      <c r="J1127" s="209"/>
      <c r="K1127" s="209"/>
      <c r="L1127" s="209"/>
      <c r="M1127" s="209"/>
      <c r="N1127" s="209"/>
      <c r="O1127" s="209"/>
      <c r="P1127" s="209"/>
    </row>
    <row r="1128" spans="3:16" x14ac:dyDescent="0.25">
      <c r="C1128" s="123"/>
      <c r="D1128" s="142"/>
      <c r="E1128" s="142"/>
      <c r="F1128" s="208"/>
      <c r="G1128" s="181"/>
      <c r="H1128" s="209"/>
      <c r="I1128" s="209"/>
      <c r="J1128" s="209"/>
      <c r="K1128" s="209"/>
      <c r="L1128" s="209"/>
      <c r="M1128" s="209"/>
      <c r="N1128" s="209"/>
      <c r="O1128" s="209"/>
      <c r="P1128" s="209"/>
    </row>
    <row r="1129" spans="3:16" x14ac:dyDescent="0.25">
      <c r="C1129" s="123"/>
      <c r="D1129" s="142"/>
      <c r="E1129" s="142"/>
      <c r="F1129" s="208"/>
      <c r="G1129" s="181"/>
      <c r="H1129" s="209"/>
      <c r="I1129" s="209"/>
      <c r="J1129" s="209"/>
      <c r="K1129" s="209"/>
      <c r="L1129" s="209"/>
      <c r="M1129" s="209"/>
      <c r="N1129" s="209"/>
      <c r="O1129" s="209"/>
      <c r="P1129" s="209"/>
    </row>
    <row r="1130" spans="3:16" x14ac:dyDescent="0.25">
      <c r="C1130" s="123"/>
      <c r="D1130" s="142"/>
      <c r="E1130" s="142"/>
      <c r="F1130" s="208"/>
      <c r="G1130" s="181"/>
      <c r="H1130" s="209"/>
      <c r="I1130" s="209"/>
      <c r="J1130" s="209"/>
      <c r="K1130" s="209"/>
      <c r="L1130" s="209"/>
      <c r="M1130" s="209"/>
      <c r="N1130" s="209"/>
      <c r="O1130" s="209"/>
      <c r="P1130" s="209"/>
    </row>
    <row r="1131" spans="3:16" x14ac:dyDescent="0.25">
      <c r="C1131" s="123"/>
      <c r="D1131" s="142"/>
      <c r="E1131" s="142"/>
      <c r="F1131" s="208"/>
      <c r="G1131" s="181"/>
      <c r="H1131" s="209"/>
      <c r="I1131" s="209"/>
      <c r="J1131" s="209"/>
      <c r="K1131" s="209"/>
      <c r="L1131" s="209"/>
      <c r="M1131" s="209"/>
      <c r="N1131" s="209"/>
      <c r="O1131" s="209"/>
      <c r="P1131" s="209"/>
    </row>
    <row r="1132" spans="3:16" x14ac:dyDescent="0.25">
      <c r="C1132" s="123"/>
      <c r="D1132" s="142"/>
      <c r="E1132" s="142"/>
      <c r="F1132" s="208"/>
      <c r="G1132" s="181"/>
      <c r="H1132" s="209"/>
      <c r="I1132" s="209"/>
      <c r="J1132" s="209"/>
      <c r="K1132" s="209"/>
      <c r="L1132" s="209"/>
      <c r="M1132" s="209"/>
      <c r="N1132" s="209"/>
      <c r="O1132" s="209"/>
      <c r="P1132" s="209"/>
    </row>
    <row r="1133" spans="3:16" x14ac:dyDescent="0.25">
      <c r="C1133" s="123"/>
      <c r="D1133" s="142"/>
      <c r="E1133" s="142"/>
      <c r="F1133" s="208"/>
      <c r="G1133" s="181"/>
      <c r="H1133" s="209"/>
      <c r="I1133" s="209"/>
      <c r="J1133" s="209"/>
      <c r="K1133" s="209"/>
      <c r="L1133" s="209"/>
      <c r="M1133" s="209"/>
      <c r="N1133" s="209"/>
      <c r="O1133" s="209"/>
      <c r="P1133" s="209"/>
    </row>
    <row r="1134" spans="3:16" x14ac:dyDescent="0.25">
      <c r="C1134" s="123"/>
      <c r="D1134" s="142"/>
      <c r="E1134" s="142"/>
      <c r="F1134" s="208"/>
      <c r="G1134" s="181"/>
      <c r="H1134" s="209"/>
      <c r="I1134" s="209"/>
      <c r="J1134" s="209"/>
      <c r="K1134" s="209"/>
      <c r="L1134" s="209"/>
      <c r="M1134" s="209"/>
      <c r="N1134" s="209"/>
      <c r="O1134" s="209"/>
      <c r="P1134" s="209"/>
    </row>
    <row r="1135" spans="3:16" x14ac:dyDescent="0.25">
      <c r="C1135" s="123"/>
      <c r="D1135" s="142"/>
      <c r="E1135" s="142"/>
      <c r="F1135" s="208"/>
      <c r="G1135" s="181"/>
      <c r="H1135" s="209"/>
      <c r="I1135" s="209"/>
      <c r="J1135" s="209"/>
      <c r="K1135" s="209"/>
      <c r="L1135" s="209"/>
      <c r="M1135" s="209"/>
      <c r="N1135" s="209"/>
      <c r="O1135" s="209"/>
      <c r="P1135" s="209"/>
    </row>
    <row r="1136" spans="3:16" x14ac:dyDescent="0.25">
      <c r="C1136" s="123"/>
      <c r="D1136" s="142"/>
      <c r="E1136" s="142"/>
      <c r="F1136" s="208"/>
      <c r="G1136" s="181"/>
      <c r="H1136" s="209"/>
      <c r="I1136" s="209"/>
      <c r="J1136" s="209"/>
      <c r="K1136" s="209"/>
      <c r="L1136" s="209"/>
      <c r="M1136" s="209"/>
      <c r="N1136" s="209"/>
      <c r="O1136" s="209"/>
      <c r="P1136" s="209"/>
    </row>
    <row r="1137" spans="3:16" x14ac:dyDescent="0.25">
      <c r="C1137" s="123"/>
      <c r="D1137" s="142"/>
      <c r="E1137" s="142"/>
      <c r="F1137" s="208"/>
      <c r="G1137" s="181"/>
      <c r="H1137" s="209"/>
      <c r="I1137" s="209"/>
      <c r="J1137" s="209"/>
      <c r="K1137" s="209"/>
      <c r="L1137" s="209"/>
      <c r="M1137" s="209"/>
      <c r="N1137" s="209"/>
      <c r="O1137" s="209"/>
      <c r="P1137" s="209"/>
    </row>
    <row r="1138" spans="3:16" x14ac:dyDescent="0.25">
      <c r="C1138" s="123"/>
      <c r="D1138" s="142"/>
      <c r="E1138" s="142"/>
      <c r="F1138" s="208"/>
      <c r="G1138" s="181"/>
      <c r="H1138" s="209"/>
      <c r="I1138" s="209"/>
      <c r="J1138" s="209"/>
      <c r="K1138" s="209"/>
      <c r="L1138" s="209"/>
      <c r="M1138" s="209"/>
      <c r="N1138" s="209"/>
      <c r="O1138" s="209"/>
      <c r="P1138" s="209"/>
    </row>
    <row r="1139" spans="3:16" x14ac:dyDescent="0.25">
      <c r="C1139" s="123"/>
      <c r="D1139" s="142"/>
      <c r="E1139" s="142"/>
      <c r="F1139" s="208"/>
      <c r="G1139" s="181"/>
      <c r="H1139" s="209"/>
      <c r="I1139" s="209"/>
      <c r="J1139" s="209"/>
      <c r="K1139" s="209"/>
      <c r="L1139" s="209"/>
      <c r="M1139" s="209"/>
      <c r="N1139" s="209"/>
      <c r="O1139" s="209"/>
      <c r="P1139" s="209"/>
    </row>
    <row r="1140" spans="3:16" x14ac:dyDescent="0.25">
      <c r="C1140" s="123"/>
      <c r="D1140" s="142"/>
      <c r="E1140" s="142"/>
      <c r="F1140" s="208"/>
      <c r="G1140" s="181"/>
      <c r="H1140" s="209"/>
      <c r="I1140" s="209"/>
      <c r="J1140" s="209"/>
      <c r="K1140" s="209"/>
      <c r="L1140" s="209"/>
      <c r="M1140" s="209"/>
      <c r="N1140" s="209"/>
      <c r="O1140" s="209"/>
      <c r="P1140" s="209"/>
    </row>
    <row r="1141" spans="3:16" x14ac:dyDescent="0.25">
      <c r="C1141" s="123"/>
      <c r="D1141" s="142"/>
      <c r="E1141" s="142"/>
      <c r="F1141" s="208"/>
      <c r="G1141" s="181"/>
      <c r="H1141" s="209"/>
      <c r="I1141" s="209"/>
      <c r="J1141" s="209"/>
      <c r="K1141" s="209"/>
      <c r="L1141" s="209"/>
      <c r="M1141" s="209"/>
      <c r="N1141" s="209"/>
      <c r="O1141" s="209"/>
      <c r="P1141" s="209"/>
    </row>
    <row r="1142" spans="3:16" x14ac:dyDescent="0.25">
      <c r="C1142" s="123"/>
      <c r="D1142" s="142"/>
      <c r="E1142" s="142"/>
      <c r="F1142" s="208"/>
      <c r="G1142" s="181"/>
      <c r="H1142" s="209"/>
      <c r="I1142" s="209"/>
      <c r="J1142" s="209"/>
      <c r="K1142" s="209"/>
      <c r="L1142" s="209"/>
      <c r="M1142" s="209"/>
      <c r="N1142" s="209"/>
      <c r="O1142" s="209"/>
      <c r="P1142" s="209"/>
    </row>
    <row r="1143" spans="3:16" x14ac:dyDescent="0.25">
      <c r="C1143" s="123"/>
      <c r="D1143" s="142"/>
      <c r="E1143" s="142"/>
      <c r="F1143" s="208"/>
      <c r="G1143" s="181"/>
      <c r="H1143" s="209"/>
      <c r="I1143" s="209"/>
      <c r="J1143" s="209"/>
      <c r="K1143" s="209"/>
      <c r="L1143" s="209"/>
      <c r="M1143" s="209"/>
      <c r="N1143" s="209"/>
      <c r="O1143" s="209"/>
      <c r="P1143" s="209"/>
    </row>
    <row r="1144" spans="3:16" x14ac:dyDescent="0.25">
      <c r="C1144" s="123"/>
      <c r="D1144" s="142"/>
      <c r="E1144" s="142"/>
      <c r="F1144" s="208"/>
      <c r="G1144" s="181"/>
      <c r="H1144" s="209"/>
      <c r="I1144" s="209"/>
      <c r="J1144" s="209"/>
      <c r="K1144" s="209"/>
      <c r="L1144" s="209"/>
      <c r="M1144" s="209"/>
      <c r="N1144" s="209"/>
      <c r="O1144" s="209"/>
      <c r="P1144" s="209"/>
    </row>
    <row r="1145" spans="3:16" x14ac:dyDescent="0.25">
      <c r="C1145" s="123"/>
      <c r="D1145" s="142"/>
      <c r="E1145" s="142"/>
      <c r="F1145" s="208"/>
      <c r="G1145" s="181"/>
      <c r="H1145" s="209"/>
      <c r="I1145" s="209"/>
      <c r="J1145" s="209"/>
      <c r="K1145" s="209"/>
      <c r="L1145" s="209"/>
      <c r="M1145" s="209"/>
      <c r="N1145" s="209"/>
      <c r="O1145" s="209"/>
      <c r="P1145" s="209"/>
    </row>
    <row r="1146" spans="3:16" x14ac:dyDescent="0.25">
      <c r="C1146" s="123"/>
      <c r="D1146" s="142"/>
      <c r="E1146" s="142"/>
      <c r="F1146" s="208"/>
      <c r="G1146" s="181"/>
      <c r="H1146" s="209"/>
      <c r="I1146" s="209"/>
      <c r="J1146" s="209"/>
      <c r="K1146" s="209"/>
      <c r="L1146" s="209"/>
      <c r="M1146" s="209"/>
      <c r="N1146" s="209"/>
      <c r="O1146" s="209"/>
      <c r="P1146" s="209"/>
    </row>
    <row r="1147" spans="3:16" x14ac:dyDescent="0.25">
      <c r="C1147" s="123"/>
      <c r="D1147" s="142"/>
      <c r="E1147" s="142"/>
      <c r="F1147" s="208"/>
      <c r="G1147" s="181"/>
      <c r="H1147" s="209"/>
      <c r="I1147" s="209"/>
      <c r="J1147" s="209"/>
      <c r="K1147" s="209"/>
      <c r="L1147" s="209"/>
      <c r="M1147" s="209"/>
      <c r="N1147" s="209"/>
      <c r="O1147" s="209"/>
      <c r="P1147" s="209"/>
    </row>
    <row r="1148" spans="3:16" x14ac:dyDescent="0.25">
      <c r="C1148" s="123"/>
      <c r="D1148" s="142"/>
      <c r="E1148" s="142"/>
      <c r="F1148" s="208"/>
      <c r="G1148" s="181"/>
      <c r="H1148" s="209"/>
      <c r="I1148" s="209"/>
      <c r="J1148" s="209"/>
      <c r="K1148" s="209"/>
      <c r="L1148" s="209"/>
      <c r="M1148" s="209"/>
      <c r="N1148" s="209"/>
      <c r="O1148" s="209"/>
      <c r="P1148" s="209"/>
    </row>
    <row r="1149" spans="3:16" x14ac:dyDescent="0.25">
      <c r="C1149" s="123"/>
      <c r="D1149" s="142"/>
      <c r="E1149" s="142"/>
      <c r="F1149" s="208"/>
      <c r="G1149" s="181"/>
      <c r="H1149" s="209"/>
      <c r="I1149" s="209"/>
      <c r="J1149" s="209"/>
      <c r="K1149" s="209"/>
      <c r="L1149" s="209"/>
      <c r="M1149" s="209"/>
      <c r="N1149" s="209"/>
      <c r="O1149" s="209"/>
      <c r="P1149" s="209"/>
    </row>
    <row r="1150" spans="3:16" x14ac:dyDescent="0.25">
      <c r="C1150" s="123"/>
      <c r="D1150" s="142"/>
      <c r="E1150" s="142"/>
      <c r="F1150" s="208"/>
      <c r="G1150" s="181"/>
      <c r="H1150" s="209"/>
      <c r="I1150" s="209"/>
      <c r="J1150" s="209"/>
      <c r="K1150" s="209"/>
      <c r="L1150" s="209"/>
      <c r="M1150" s="209"/>
      <c r="N1150" s="209"/>
      <c r="O1150" s="209"/>
      <c r="P1150" s="209"/>
    </row>
    <row r="1151" spans="3:16" x14ac:dyDescent="0.25">
      <c r="C1151" s="123"/>
      <c r="D1151" s="142"/>
      <c r="E1151" s="142"/>
      <c r="F1151" s="208"/>
      <c r="G1151" s="181"/>
      <c r="H1151" s="209"/>
      <c r="I1151" s="209"/>
      <c r="J1151" s="209"/>
      <c r="K1151" s="209"/>
      <c r="L1151" s="209"/>
      <c r="M1151" s="209"/>
      <c r="N1151" s="209"/>
      <c r="O1151" s="209"/>
      <c r="P1151" s="209"/>
    </row>
    <row r="1152" spans="3:16" x14ac:dyDescent="0.25">
      <c r="C1152" s="123"/>
      <c r="D1152" s="142"/>
      <c r="E1152" s="142"/>
      <c r="F1152" s="208"/>
      <c r="G1152" s="181"/>
      <c r="H1152" s="209"/>
      <c r="I1152" s="209"/>
      <c r="J1152" s="209"/>
      <c r="K1152" s="209"/>
      <c r="L1152" s="209"/>
      <c r="M1152" s="209"/>
      <c r="N1152" s="209"/>
      <c r="O1152" s="209"/>
      <c r="P1152" s="209"/>
    </row>
    <row r="1153" spans="3:16" x14ac:dyDescent="0.25">
      <c r="C1153" s="123"/>
      <c r="D1153" s="142"/>
      <c r="E1153" s="142"/>
      <c r="F1153" s="208"/>
      <c r="G1153" s="181"/>
      <c r="H1153" s="209"/>
      <c r="I1153" s="209"/>
      <c r="J1153" s="209"/>
      <c r="K1153" s="209"/>
      <c r="L1153" s="209"/>
      <c r="M1153" s="209"/>
      <c r="N1153" s="209"/>
      <c r="O1153" s="209"/>
      <c r="P1153" s="209"/>
    </row>
    <row r="1154" spans="3:16" x14ac:dyDescent="0.25">
      <c r="C1154" s="123"/>
      <c r="D1154" s="142"/>
      <c r="E1154" s="142"/>
      <c r="F1154" s="208"/>
      <c r="G1154" s="181"/>
      <c r="H1154" s="209"/>
      <c r="I1154" s="209"/>
      <c r="J1154" s="209"/>
      <c r="K1154" s="209"/>
      <c r="L1154" s="209"/>
      <c r="M1154" s="209"/>
      <c r="N1154" s="209"/>
      <c r="O1154" s="209"/>
      <c r="P1154" s="209"/>
    </row>
    <row r="1155" spans="3:16" x14ac:dyDescent="0.25">
      <c r="C1155" s="123"/>
      <c r="D1155" s="142"/>
      <c r="E1155" s="142"/>
      <c r="F1155" s="208"/>
      <c r="G1155" s="181"/>
      <c r="H1155" s="209"/>
      <c r="I1155" s="209"/>
      <c r="J1155" s="209"/>
      <c r="K1155" s="209"/>
      <c r="L1155" s="209"/>
      <c r="M1155" s="209"/>
      <c r="N1155" s="209"/>
      <c r="O1155" s="209"/>
      <c r="P1155" s="209"/>
    </row>
    <row r="1156" spans="3:16" x14ac:dyDescent="0.25">
      <c r="C1156" s="123"/>
      <c r="D1156" s="142"/>
      <c r="E1156" s="142"/>
      <c r="F1156" s="208"/>
      <c r="G1156" s="181"/>
      <c r="H1156" s="209"/>
      <c r="I1156" s="209"/>
      <c r="J1156" s="209"/>
      <c r="K1156" s="209"/>
      <c r="L1156" s="209"/>
      <c r="M1156" s="209"/>
      <c r="N1156" s="209"/>
      <c r="O1156" s="209"/>
      <c r="P1156" s="209"/>
    </row>
    <row r="1157" spans="3:16" x14ac:dyDescent="0.25">
      <c r="C1157" s="123"/>
      <c r="D1157" s="142"/>
      <c r="E1157" s="142"/>
      <c r="F1157" s="208"/>
      <c r="G1157" s="181"/>
      <c r="H1157" s="209"/>
      <c r="I1157" s="209"/>
      <c r="J1157" s="209"/>
      <c r="K1157" s="209"/>
      <c r="L1157" s="209"/>
      <c r="M1157" s="209"/>
      <c r="N1157" s="209"/>
      <c r="O1157" s="209"/>
      <c r="P1157" s="209"/>
    </row>
    <row r="1158" spans="3:16" x14ac:dyDescent="0.25">
      <c r="C1158" s="123"/>
      <c r="D1158" s="142"/>
      <c r="E1158" s="142"/>
      <c r="F1158" s="208"/>
      <c r="G1158" s="181"/>
      <c r="H1158" s="209"/>
      <c r="I1158" s="209"/>
      <c r="J1158" s="209"/>
      <c r="K1158" s="209"/>
      <c r="L1158" s="209"/>
      <c r="M1158" s="209"/>
      <c r="N1158" s="209"/>
      <c r="O1158" s="209"/>
      <c r="P1158" s="209"/>
    </row>
    <row r="1159" spans="3:16" x14ac:dyDescent="0.25">
      <c r="C1159" s="123"/>
      <c r="D1159" s="142"/>
      <c r="E1159" s="142"/>
      <c r="F1159" s="208"/>
      <c r="G1159" s="181"/>
      <c r="H1159" s="209"/>
      <c r="I1159" s="209"/>
      <c r="J1159" s="209"/>
      <c r="K1159" s="209"/>
      <c r="L1159" s="209"/>
      <c r="M1159" s="209"/>
      <c r="N1159" s="209"/>
      <c r="O1159" s="209"/>
      <c r="P1159" s="209"/>
    </row>
    <row r="1160" spans="3:16" x14ac:dyDescent="0.25">
      <c r="C1160" s="123"/>
      <c r="D1160" s="142"/>
      <c r="E1160" s="142"/>
      <c r="F1160" s="208"/>
      <c r="G1160" s="181"/>
      <c r="H1160" s="209"/>
      <c r="I1160" s="209"/>
      <c r="J1160" s="209"/>
      <c r="K1160" s="209"/>
      <c r="L1160" s="209"/>
      <c r="M1160" s="209"/>
      <c r="N1160" s="209"/>
      <c r="O1160" s="209"/>
      <c r="P1160" s="209"/>
    </row>
    <row r="1161" spans="3:16" x14ac:dyDescent="0.25">
      <c r="C1161" s="123"/>
      <c r="D1161" s="142"/>
      <c r="E1161" s="142"/>
      <c r="F1161" s="208"/>
      <c r="G1161" s="181"/>
      <c r="H1161" s="209"/>
      <c r="I1161" s="209"/>
      <c r="J1161" s="209"/>
      <c r="K1161" s="209"/>
      <c r="L1161" s="209"/>
      <c r="M1161" s="209"/>
      <c r="N1161" s="209"/>
      <c r="O1161" s="209"/>
      <c r="P1161" s="209"/>
    </row>
    <row r="1162" spans="3:16" x14ac:dyDescent="0.25">
      <c r="C1162" s="123"/>
      <c r="D1162" s="142"/>
      <c r="E1162" s="142"/>
      <c r="F1162" s="208"/>
      <c r="G1162" s="181"/>
      <c r="H1162" s="209"/>
      <c r="I1162" s="209"/>
      <c r="J1162" s="209"/>
      <c r="K1162" s="209"/>
      <c r="L1162" s="209"/>
      <c r="M1162" s="209"/>
      <c r="N1162" s="209"/>
      <c r="O1162" s="209"/>
      <c r="P1162" s="209"/>
    </row>
    <row r="1163" spans="3:16" x14ac:dyDescent="0.25">
      <c r="C1163" s="123"/>
      <c r="D1163" s="142"/>
      <c r="E1163" s="142"/>
      <c r="F1163" s="208"/>
      <c r="G1163" s="181"/>
      <c r="H1163" s="209"/>
      <c r="I1163" s="209"/>
      <c r="J1163" s="209"/>
      <c r="K1163" s="209"/>
      <c r="L1163" s="209"/>
      <c r="M1163" s="209"/>
      <c r="N1163" s="209"/>
      <c r="O1163" s="209"/>
      <c r="P1163" s="209"/>
    </row>
    <row r="1164" spans="3:16" x14ac:dyDescent="0.25">
      <c r="C1164" s="123"/>
      <c r="D1164" s="142"/>
      <c r="E1164" s="142"/>
      <c r="F1164" s="208"/>
      <c r="G1164" s="181"/>
      <c r="H1164" s="209"/>
      <c r="I1164" s="209"/>
      <c r="J1164" s="209"/>
      <c r="K1164" s="209"/>
      <c r="L1164" s="209"/>
      <c r="M1164" s="209"/>
      <c r="N1164" s="209"/>
      <c r="O1164" s="209"/>
      <c r="P1164" s="209"/>
    </row>
    <row r="1165" spans="3:16" x14ac:dyDescent="0.25">
      <c r="C1165" s="123"/>
      <c r="D1165" s="142"/>
      <c r="E1165" s="142"/>
      <c r="F1165" s="208"/>
      <c r="G1165" s="181"/>
      <c r="H1165" s="209"/>
      <c r="I1165" s="209"/>
      <c r="J1165" s="209"/>
      <c r="K1165" s="209"/>
      <c r="L1165" s="209"/>
      <c r="M1165" s="209"/>
      <c r="N1165" s="209"/>
      <c r="O1165" s="209"/>
      <c r="P1165" s="209"/>
    </row>
    <row r="1166" spans="3:16" x14ac:dyDescent="0.25">
      <c r="C1166" s="123"/>
      <c r="D1166" s="142"/>
      <c r="E1166" s="142"/>
      <c r="F1166" s="208"/>
      <c r="G1166" s="181"/>
      <c r="H1166" s="209"/>
      <c r="I1166" s="209"/>
      <c r="J1166" s="209"/>
      <c r="K1166" s="209"/>
      <c r="L1166" s="209"/>
      <c r="M1166" s="209"/>
      <c r="N1166" s="209"/>
      <c r="O1166" s="209"/>
      <c r="P1166" s="209"/>
    </row>
    <row r="1167" spans="3:16" x14ac:dyDescent="0.25">
      <c r="C1167" s="123"/>
      <c r="D1167" s="142"/>
      <c r="E1167" s="142"/>
      <c r="F1167" s="208"/>
      <c r="G1167" s="181"/>
      <c r="H1167" s="209"/>
      <c r="I1167" s="209"/>
      <c r="J1167" s="209"/>
      <c r="K1167" s="209"/>
      <c r="L1167" s="209"/>
      <c r="M1167" s="209"/>
      <c r="N1167" s="209"/>
      <c r="O1167" s="209"/>
      <c r="P1167" s="209"/>
    </row>
    <row r="1168" spans="3:16" x14ac:dyDescent="0.25">
      <c r="C1168" s="123"/>
      <c r="D1168" s="142"/>
      <c r="E1168" s="142"/>
      <c r="F1168" s="208"/>
      <c r="G1168" s="181"/>
      <c r="H1168" s="209"/>
      <c r="I1168" s="209"/>
      <c r="J1168" s="209"/>
      <c r="K1168" s="209"/>
      <c r="L1168" s="209"/>
      <c r="M1168" s="209"/>
      <c r="N1168" s="209"/>
      <c r="O1168" s="209"/>
      <c r="P1168" s="209"/>
    </row>
    <row r="1169" spans="3:16" x14ac:dyDescent="0.25">
      <c r="C1169" s="123"/>
      <c r="D1169" s="142"/>
      <c r="E1169" s="142"/>
      <c r="F1169" s="208"/>
      <c r="G1169" s="181"/>
      <c r="H1169" s="209"/>
      <c r="I1169" s="209"/>
      <c r="J1169" s="209"/>
      <c r="K1169" s="209"/>
      <c r="L1169" s="209"/>
      <c r="M1169" s="209"/>
      <c r="N1169" s="209"/>
      <c r="O1169" s="209"/>
      <c r="P1169" s="209"/>
    </row>
    <row r="1170" spans="3:16" x14ac:dyDescent="0.25">
      <c r="C1170" s="123"/>
      <c r="D1170" s="142"/>
      <c r="E1170" s="142"/>
      <c r="F1170" s="208"/>
      <c r="G1170" s="181"/>
      <c r="H1170" s="209"/>
      <c r="I1170" s="209"/>
      <c r="J1170" s="209"/>
      <c r="K1170" s="209"/>
      <c r="L1170" s="209"/>
      <c r="M1170" s="209"/>
      <c r="N1170" s="209"/>
      <c r="O1170" s="209"/>
      <c r="P1170" s="209"/>
    </row>
    <row r="1171" spans="3:16" x14ac:dyDescent="0.25">
      <c r="C1171" s="123"/>
      <c r="D1171" s="142"/>
      <c r="E1171" s="142"/>
      <c r="F1171" s="208"/>
      <c r="G1171" s="181"/>
      <c r="H1171" s="209"/>
      <c r="I1171" s="209"/>
      <c r="J1171" s="209"/>
      <c r="K1171" s="209"/>
      <c r="L1171" s="209"/>
      <c r="M1171" s="209"/>
      <c r="N1171" s="209"/>
      <c r="O1171" s="209"/>
      <c r="P1171" s="209"/>
    </row>
    <row r="1172" spans="3:16" x14ac:dyDescent="0.25">
      <c r="C1172" s="123"/>
      <c r="D1172" s="142"/>
      <c r="E1172" s="142"/>
      <c r="F1172" s="208"/>
      <c r="G1172" s="181"/>
      <c r="H1172" s="209"/>
      <c r="I1172" s="209"/>
      <c r="J1172" s="209"/>
      <c r="K1172" s="209"/>
      <c r="L1172" s="209"/>
      <c r="M1172" s="209"/>
      <c r="N1172" s="209"/>
      <c r="O1172" s="209"/>
      <c r="P1172" s="209"/>
    </row>
    <row r="1173" spans="3:16" x14ac:dyDescent="0.25">
      <c r="C1173" s="123"/>
      <c r="D1173" s="142"/>
      <c r="E1173" s="142"/>
      <c r="F1173" s="208"/>
      <c r="G1173" s="181"/>
      <c r="H1173" s="209"/>
      <c r="I1173" s="209"/>
      <c r="J1173" s="209"/>
      <c r="K1173" s="209"/>
      <c r="L1173" s="209"/>
      <c r="M1173" s="209"/>
      <c r="N1173" s="209"/>
      <c r="O1173" s="209"/>
      <c r="P1173" s="209"/>
    </row>
    <row r="1174" spans="3:16" x14ac:dyDescent="0.25">
      <c r="C1174" s="123"/>
      <c r="D1174" s="142"/>
      <c r="E1174" s="142"/>
      <c r="F1174" s="208"/>
      <c r="G1174" s="181"/>
      <c r="H1174" s="209"/>
      <c r="I1174" s="209"/>
      <c r="J1174" s="209"/>
      <c r="K1174" s="209"/>
      <c r="L1174" s="209"/>
      <c r="M1174" s="209"/>
      <c r="N1174" s="209"/>
      <c r="O1174" s="209"/>
      <c r="P1174" s="209"/>
    </row>
    <row r="1175" spans="3:16" x14ac:dyDescent="0.25">
      <c r="C1175" s="123"/>
      <c r="D1175" s="142"/>
      <c r="E1175" s="142"/>
      <c r="F1175" s="208"/>
      <c r="G1175" s="181"/>
      <c r="H1175" s="209"/>
      <c r="I1175" s="209"/>
      <c r="J1175" s="209"/>
      <c r="K1175" s="209"/>
      <c r="L1175" s="209"/>
      <c r="M1175" s="209"/>
      <c r="N1175" s="209"/>
      <c r="O1175" s="209"/>
      <c r="P1175" s="209"/>
    </row>
    <row r="1176" spans="3:16" x14ac:dyDescent="0.25">
      <c r="C1176" s="123"/>
      <c r="D1176" s="142"/>
      <c r="E1176" s="142"/>
      <c r="F1176" s="208"/>
      <c r="G1176" s="181"/>
      <c r="H1176" s="209"/>
      <c r="I1176" s="209"/>
      <c r="J1176" s="209"/>
      <c r="K1176" s="209"/>
      <c r="L1176" s="209"/>
      <c r="M1176" s="209"/>
      <c r="N1176" s="209"/>
      <c r="O1176" s="209"/>
      <c r="P1176" s="209"/>
    </row>
    <row r="1177" spans="3:16" x14ac:dyDescent="0.25">
      <c r="C1177" s="123"/>
      <c r="D1177" s="142"/>
      <c r="E1177" s="142"/>
      <c r="F1177" s="208"/>
      <c r="G1177" s="181"/>
      <c r="H1177" s="209"/>
      <c r="I1177" s="209"/>
      <c r="J1177" s="209"/>
      <c r="K1177" s="209"/>
      <c r="L1177" s="209"/>
      <c r="M1177" s="209"/>
      <c r="N1177" s="209"/>
      <c r="O1177" s="209"/>
      <c r="P1177" s="209"/>
    </row>
    <row r="1178" spans="3:16" x14ac:dyDescent="0.25">
      <c r="C1178" s="123"/>
      <c r="D1178" s="142"/>
      <c r="E1178" s="142"/>
      <c r="F1178" s="208"/>
      <c r="G1178" s="181"/>
      <c r="H1178" s="209"/>
      <c r="I1178" s="209"/>
      <c r="J1178" s="209"/>
      <c r="K1178" s="209"/>
      <c r="L1178" s="209"/>
      <c r="M1178" s="209"/>
      <c r="N1178" s="209"/>
      <c r="O1178" s="209"/>
      <c r="P1178" s="209"/>
    </row>
    <row r="1179" spans="3:16" x14ac:dyDescent="0.25">
      <c r="C1179" s="123"/>
      <c r="D1179" s="142"/>
      <c r="E1179" s="142"/>
      <c r="F1179" s="208"/>
      <c r="G1179" s="181"/>
      <c r="H1179" s="209"/>
      <c r="I1179" s="209"/>
      <c r="J1179" s="209"/>
      <c r="K1179" s="209"/>
      <c r="L1179" s="209"/>
      <c r="M1179" s="209"/>
      <c r="N1179" s="209"/>
      <c r="O1179" s="209"/>
      <c r="P1179" s="209"/>
    </row>
    <row r="1180" spans="3:16" x14ac:dyDescent="0.25">
      <c r="C1180" s="123"/>
      <c r="D1180" s="142"/>
      <c r="E1180" s="142"/>
      <c r="F1180" s="208"/>
      <c r="G1180" s="181"/>
      <c r="H1180" s="209"/>
      <c r="I1180" s="209"/>
      <c r="J1180" s="209"/>
      <c r="K1180" s="209"/>
      <c r="L1180" s="209"/>
      <c r="M1180" s="209"/>
      <c r="N1180" s="209"/>
      <c r="O1180" s="209"/>
      <c r="P1180" s="209"/>
    </row>
    <row r="1181" spans="3:16" x14ac:dyDescent="0.25">
      <c r="C1181" s="123"/>
      <c r="D1181" s="142"/>
      <c r="E1181" s="142"/>
      <c r="F1181" s="208"/>
      <c r="G1181" s="181"/>
      <c r="H1181" s="209"/>
      <c r="I1181" s="209"/>
      <c r="J1181" s="209"/>
      <c r="K1181" s="209"/>
      <c r="L1181" s="209"/>
      <c r="M1181" s="209"/>
      <c r="N1181" s="209"/>
      <c r="O1181" s="209"/>
      <c r="P1181" s="209"/>
    </row>
    <row r="1182" spans="3:16" x14ac:dyDescent="0.25">
      <c r="C1182" s="123"/>
      <c r="D1182" s="142"/>
      <c r="E1182" s="142"/>
      <c r="F1182" s="208"/>
      <c r="G1182" s="181"/>
      <c r="H1182" s="209"/>
      <c r="I1182" s="209"/>
      <c r="J1182" s="209"/>
      <c r="K1182" s="209"/>
      <c r="L1182" s="209"/>
      <c r="M1182" s="209"/>
      <c r="N1182" s="209"/>
      <c r="O1182" s="209"/>
      <c r="P1182" s="209"/>
    </row>
    <row r="1183" spans="3:16" x14ac:dyDescent="0.25">
      <c r="C1183" s="123"/>
      <c r="D1183" s="142"/>
      <c r="E1183" s="142"/>
      <c r="F1183" s="208"/>
      <c r="G1183" s="181"/>
      <c r="H1183" s="209"/>
      <c r="I1183" s="209"/>
      <c r="J1183" s="209"/>
      <c r="K1183" s="209"/>
      <c r="L1183" s="209"/>
      <c r="M1183" s="209"/>
      <c r="N1183" s="209"/>
      <c r="O1183" s="209"/>
      <c r="P1183" s="209"/>
    </row>
    <row r="1184" spans="3:16" x14ac:dyDescent="0.25">
      <c r="C1184" s="123"/>
      <c r="D1184" s="142"/>
      <c r="E1184" s="142"/>
      <c r="F1184" s="208"/>
      <c r="G1184" s="181"/>
      <c r="H1184" s="209"/>
      <c r="I1184" s="209"/>
      <c r="J1184" s="209"/>
      <c r="K1184" s="209"/>
      <c r="L1184" s="209"/>
      <c r="M1184" s="209"/>
      <c r="N1184" s="209"/>
      <c r="O1184" s="209"/>
      <c r="P1184" s="209"/>
    </row>
    <row r="1185" spans="3:16" x14ac:dyDescent="0.25">
      <c r="C1185" s="123"/>
      <c r="D1185" s="142"/>
      <c r="E1185" s="142"/>
      <c r="F1185" s="208"/>
      <c r="G1185" s="181"/>
      <c r="H1185" s="209"/>
      <c r="I1185" s="209"/>
      <c r="J1185" s="209"/>
      <c r="K1185" s="209"/>
      <c r="L1185" s="209"/>
      <c r="M1185" s="209"/>
      <c r="N1185" s="209"/>
      <c r="O1185" s="209"/>
      <c r="P1185" s="209"/>
    </row>
    <row r="1186" spans="3:16" x14ac:dyDescent="0.25">
      <c r="C1186" s="123"/>
      <c r="D1186" s="142"/>
      <c r="E1186" s="142"/>
      <c r="F1186" s="208"/>
      <c r="G1186" s="181"/>
      <c r="H1186" s="209"/>
      <c r="I1186" s="209"/>
      <c r="J1186" s="209"/>
      <c r="K1186" s="209"/>
      <c r="L1186" s="209"/>
      <c r="M1186" s="209"/>
      <c r="N1186" s="209"/>
      <c r="O1186" s="209"/>
      <c r="P1186" s="209"/>
    </row>
    <row r="1187" spans="3:16" x14ac:dyDescent="0.25">
      <c r="C1187" s="123"/>
      <c r="D1187" s="142"/>
      <c r="E1187" s="142"/>
      <c r="F1187" s="208"/>
      <c r="G1187" s="181"/>
      <c r="H1187" s="209"/>
      <c r="I1187" s="209"/>
      <c r="J1187" s="209"/>
      <c r="K1187" s="209"/>
      <c r="L1187" s="209"/>
      <c r="M1187" s="209"/>
      <c r="N1187" s="209"/>
      <c r="O1187" s="209"/>
      <c r="P1187" s="209"/>
    </row>
    <row r="1188" spans="3:16" x14ac:dyDescent="0.25">
      <c r="C1188" s="123"/>
      <c r="D1188" s="142"/>
      <c r="E1188" s="142"/>
      <c r="F1188" s="208"/>
      <c r="G1188" s="181"/>
      <c r="H1188" s="209"/>
      <c r="I1188" s="209"/>
      <c r="J1188" s="209"/>
      <c r="K1188" s="209"/>
      <c r="L1188" s="209"/>
      <c r="M1188" s="209"/>
      <c r="N1188" s="209"/>
      <c r="O1188" s="209"/>
      <c r="P1188" s="209"/>
    </row>
    <row r="1189" spans="3:16" x14ac:dyDescent="0.25">
      <c r="C1189" s="123"/>
      <c r="D1189" s="142"/>
      <c r="E1189" s="142"/>
      <c r="F1189" s="208"/>
      <c r="G1189" s="181"/>
      <c r="H1189" s="209"/>
      <c r="I1189" s="209"/>
      <c r="J1189" s="209"/>
      <c r="K1189" s="209"/>
      <c r="L1189" s="209"/>
      <c r="M1189" s="209"/>
      <c r="N1189" s="209"/>
      <c r="O1189" s="209"/>
      <c r="P1189" s="209"/>
    </row>
    <row r="1190" spans="3:16" x14ac:dyDescent="0.25">
      <c r="C1190" s="123"/>
      <c r="D1190" s="142"/>
      <c r="E1190" s="142"/>
      <c r="F1190" s="208"/>
      <c r="G1190" s="181"/>
      <c r="H1190" s="209"/>
      <c r="I1190" s="209"/>
      <c r="J1190" s="209"/>
      <c r="K1190" s="209"/>
      <c r="L1190" s="209"/>
      <c r="M1190" s="209"/>
      <c r="N1190" s="209"/>
      <c r="O1190" s="209"/>
      <c r="P1190" s="209"/>
    </row>
    <row r="1191" spans="3:16" x14ac:dyDescent="0.25">
      <c r="C1191" s="123"/>
      <c r="D1191" s="142"/>
      <c r="E1191" s="142"/>
      <c r="F1191" s="208"/>
      <c r="G1191" s="181"/>
      <c r="H1191" s="209"/>
      <c r="I1191" s="209"/>
      <c r="J1191" s="209"/>
      <c r="K1191" s="209"/>
      <c r="L1191" s="209"/>
      <c r="M1191" s="209"/>
      <c r="N1191" s="209"/>
      <c r="O1191" s="209"/>
      <c r="P1191" s="209"/>
    </row>
    <row r="1192" spans="3:16" x14ac:dyDescent="0.25">
      <c r="C1192" s="123"/>
      <c r="D1192" s="142"/>
      <c r="E1192" s="142"/>
      <c r="F1192" s="208"/>
      <c r="G1192" s="181"/>
      <c r="H1192" s="209"/>
      <c r="I1192" s="209"/>
      <c r="J1192" s="209"/>
      <c r="K1192" s="209"/>
      <c r="L1192" s="209"/>
      <c r="M1192" s="209"/>
      <c r="N1192" s="209"/>
      <c r="O1192" s="209"/>
      <c r="P1192" s="209"/>
    </row>
    <row r="1193" spans="3:16" x14ac:dyDescent="0.25">
      <c r="C1193" s="123"/>
      <c r="D1193" s="142"/>
      <c r="E1193" s="142"/>
      <c r="F1193" s="208"/>
      <c r="G1193" s="181"/>
      <c r="H1193" s="209"/>
      <c r="I1193" s="209"/>
      <c r="J1193" s="209"/>
      <c r="K1193" s="209"/>
      <c r="L1193" s="209"/>
      <c r="M1193" s="209"/>
      <c r="N1193" s="209"/>
      <c r="O1193" s="209"/>
      <c r="P1193" s="209"/>
    </row>
    <row r="1194" spans="3:16" x14ac:dyDescent="0.25">
      <c r="C1194" s="123"/>
      <c r="D1194" s="142"/>
      <c r="E1194" s="142"/>
      <c r="F1194" s="208"/>
      <c r="G1194" s="181"/>
      <c r="H1194" s="209"/>
      <c r="I1194" s="209"/>
      <c r="J1194" s="209"/>
      <c r="K1194" s="209"/>
      <c r="L1194" s="209"/>
      <c r="M1194" s="209"/>
      <c r="N1194" s="209"/>
      <c r="O1194" s="209"/>
      <c r="P1194" s="209"/>
    </row>
    <row r="1195" spans="3:16" x14ac:dyDescent="0.25">
      <c r="C1195" s="123"/>
      <c r="D1195" s="142"/>
      <c r="E1195" s="142"/>
      <c r="F1195" s="208"/>
      <c r="G1195" s="181"/>
      <c r="H1195" s="209"/>
      <c r="I1195" s="209"/>
      <c r="J1195" s="209"/>
      <c r="K1195" s="209"/>
      <c r="L1195" s="209"/>
      <c r="M1195" s="209"/>
      <c r="N1195" s="209"/>
      <c r="O1195" s="209"/>
      <c r="P1195" s="209"/>
    </row>
    <row r="1196" spans="3:16" x14ac:dyDescent="0.25">
      <c r="C1196" s="123"/>
      <c r="D1196" s="142"/>
      <c r="E1196" s="142"/>
      <c r="F1196" s="208"/>
      <c r="G1196" s="181"/>
      <c r="H1196" s="209"/>
      <c r="I1196" s="209"/>
      <c r="J1196" s="209"/>
      <c r="K1196" s="209"/>
      <c r="L1196" s="209"/>
      <c r="M1196" s="209"/>
      <c r="N1196" s="209"/>
      <c r="O1196" s="209"/>
      <c r="P1196" s="209"/>
    </row>
    <row r="1197" spans="3:16" x14ac:dyDescent="0.25">
      <c r="C1197" s="123"/>
      <c r="D1197" s="142"/>
      <c r="E1197" s="142"/>
      <c r="F1197" s="208"/>
      <c r="G1197" s="181"/>
      <c r="H1197" s="209"/>
      <c r="I1197" s="209"/>
      <c r="J1197" s="209"/>
      <c r="K1197" s="209"/>
      <c r="L1197" s="209"/>
      <c r="M1197" s="209"/>
      <c r="N1197" s="209"/>
      <c r="O1197" s="209"/>
      <c r="P1197" s="209"/>
    </row>
    <row r="1198" spans="3:16" x14ac:dyDescent="0.25">
      <c r="C1198" s="123"/>
      <c r="D1198" s="142"/>
      <c r="E1198" s="142"/>
      <c r="F1198" s="208"/>
      <c r="G1198" s="181"/>
      <c r="H1198" s="209"/>
      <c r="I1198" s="209"/>
      <c r="J1198" s="209"/>
      <c r="K1198" s="209"/>
      <c r="L1198" s="209"/>
      <c r="M1198" s="209"/>
      <c r="N1198" s="209"/>
      <c r="O1198" s="209"/>
      <c r="P1198" s="209"/>
    </row>
    <row r="1199" spans="3:16" x14ac:dyDescent="0.25">
      <c r="C1199" s="123"/>
      <c r="D1199" s="142"/>
      <c r="E1199" s="142"/>
      <c r="F1199" s="208"/>
      <c r="G1199" s="181"/>
      <c r="H1199" s="209"/>
      <c r="I1199" s="209"/>
      <c r="J1199" s="209"/>
      <c r="K1199" s="209"/>
      <c r="L1199" s="209"/>
      <c r="M1199" s="209"/>
      <c r="N1199" s="209"/>
      <c r="O1199" s="209"/>
      <c r="P1199" s="209"/>
    </row>
    <row r="1200" spans="3:16" x14ac:dyDescent="0.25">
      <c r="C1200" s="123"/>
      <c r="D1200" s="142"/>
      <c r="E1200" s="142"/>
      <c r="F1200" s="208"/>
      <c r="G1200" s="181"/>
      <c r="H1200" s="209"/>
      <c r="I1200" s="209"/>
      <c r="J1200" s="209"/>
      <c r="K1200" s="209"/>
      <c r="L1200" s="209"/>
      <c r="M1200" s="209"/>
      <c r="N1200" s="209"/>
      <c r="O1200" s="209"/>
      <c r="P1200" s="209"/>
    </row>
    <row r="1201" spans="3:16" x14ac:dyDescent="0.25">
      <c r="C1201" s="123"/>
      <c r="D1201" s="142"/>
      <c r="E1201" s="142"/>
      <c r="F1201" s="208"/>
      <c r="G1201" s="181"/>
      <c r="H1201" s="209"/>
      <c r="I1201" s="209"/>
      <c r="J1201" s="209"/>
      <c r="K1201" s="209"/>
      <c r="L1201" s="209"/>
      <c r="M1201" s="209"/>
      <c r="N1201" s="209"/>
      <c r="O1201" s="209"/>
      <c r="P1201" s="209"/>
    </row>
    <row r="1202" spans="3:16" x14ac:dyDescent="0.25">
      <c r="C1202" s="123"/>
      <c r="D1202" s="142"/>
      <c r="E1202" s="142"/>
      <c r="F1202" s="208"/>
      <c r="G1202" s="181"/>
      <c r="H1202" s="209"/>
      <c r="I1202" s="209"/>
      <c r="J1202" s="209"/>
      <c r="K1202" s="209"/>
      <c r="L1202" s="209"/>
      <c r="M1202" s="209"/>
      <c r="N1202" s="209"/>
      <c r="O1202" s="209"/>
      <c r="P1202" s="209"/>
    </row>
    <row r="1203" spans="3:16" x14ac:dyDescent="0.25">
      <c r="C1203" s="123"/>
      <c r="D1203" s="142"/>
      <c r="E1203" s="142"/>
      <c r="F1203" s="208"/>
      <c r="G1203" s="181"/>
      <c r="H1203" s="209"/>
      <c r="I1203" s="209"/>
      <c r="J1203" s="209"/>
      <c r="K1203" s="209"/>
      <c r="L1203" s="209"/>
      <c r="M1203" s="209"/>
      <c r="N1203" s="209"/>
      <c r="O1203" s="209"/>
      <c r="P1203" s="209"/>
    </row>
    <row r="1204" spans="3:16" x14ac:dyDescent="0.25">
      <c r="C1204" s="123"/>
      <c r="D1204" s="142"/>
      <c r="E1204" s="142"/>
      <c r="F1204" s="208"/>
      <c r="G1204" s="181"/>
      <c r="H1204" s="209"/>
      <c r="I1204" s="209"/>
      <c r="J1204" s="209"/>
      <c r="K1204" s="209"/>
      <c r="L1204" s="209"/>
      <c r="M1204" s="209"/>
      <c r="N1204" s="209"/>
      <c r="O1204" s="209"/>
      <c r="P1204" s="209"/>
    </row>
    <row r="1205" spans="3:16" x14ac:dyDescent="0.25">
      <c r="C1205" s="123"/>
      <c r="D1205" s="142"/>
      <c r="E1205" s="142"/>
      <c r="F1205" s="208"/>
      <c r="G1205" s="181"/>
      <c r="H1205" s="209"/>
      <c r="I1205" s="209"/>
      <c r="J1205" s="209"/>
      <c r="K1205" s="209"/>
      <c r="L1205" s="209"/>
      <c r="M1205" s="209"/>
      <c r="N1205" s="209"/>
      <c r="O1205" s="209"/>
      <c r="P1205" s="209"/>
    </row>
    <row r="1206" spans="3:16" x14ac:dyDescent="0.25">
      <c r="C1206" s="123"/>
      <c r="D1206" s="142"/>
      <c r="E1206" s="142"/>
      <c r="F1206" s="208"/>
      <c r="G1206" s="181"/>
      <c r="H1206" s="209"/>
      <c r="I1206" s="209"/>
      <c r="J1206" s="209"/>
      <c r="K1206" s="209"/>
      <c r="L1206" s="209"/>
      <c r="M1206" s="209"/>
      <c r="N1206" s="209"/>
      <c r="O1206" s="209"/>
      <c r="P1206" s="209"/>
    </row>
    <row r="1207" spans="3:16" x14ac:dyDescent="0.25">
      <c r="C1207" s="123"/>
      <c r="D1207" s="142"/>
      <c r="E1207" s="142"/>
      <c r="F1207" s="208"/>
      <c r="G1207" s="181"/>
      <c r="H1207" s="209"/>
      <c r="I1207" s="209"/>
      <c r="J1207" s="209"/>
      <c r="K1207" s="209"/>
      <c r="L1207" s="209"/>
      <c r="M1207" s="209"/>
      <c r="N1207" s="209"/>
      <c r="O1207" s="209"/>
      <c r="P1207" s="209"/>
    </row>
    <row r="1208" spans="3:16" x14ac:dyDescent="0.25">
      <c r="C1208" s="123"/>
      <c r="D1208" s="142"/>
      <c r="E1208" s="142"/>
      <c r="F1208" s="208"/>
      <c r="G1208" s="181"/>
      <c r="H1208" s="209"/>
      <c r="I1208" s="209"/>
      <c r="J1208" s="209"/>
      <c r="K1208" s="209"/>
      <c r="L1208" s="209"/>
      <c r="M1208" s="209"/>
      <c r="N1208" s="209"/>
      <c r="O1208" s="209"/>
      <c r="P1208" s="209"/>
    </row>
    <row r="1209" spans="3:16" x14ac:dyDescent="0.25">
      <c r="C1209" s="123"/>
      <c r="D1209" s="142"/>
      <c r="E1209" s="142"/>
      <c r="F1209" s="208"/>
      <c r="G1209" s="181"/>
      <c r="H1209" s="209"/>
      <c r="I1209" s="209"/>
      <c r="J1209" s="209"/>
      <c r="K1209" s="209"/>
      <c r="L1209" s="209"/>
      <c r="M1209" s="209"/>
      <c r="N1209" s="209"/>
      <c r="O1209" s="209"/>
      <c r="P1209" s="209"/>
    </row>
    <row r="1210" spans="3:16" x14ac:dyDescent="0.25">
      <c r="C1210" s="123"/>
      <c r="D1210" s="142"/>
      <c r="E1210" s="142"/>
      <c r="F1210" s="208"/>
      <c r="G1210" s="181"/>
      <c r="H1210" s="209"/>
      <c r="I1210" s="209"/>
      <c r="J1210" s="209"/>
      <c r="K1210" s="209"/>
      <c r="L1210" s="209"/>
      <c r="M1210" s="209"/>
      <c r="N1210" s="209"/>
      <c r="O1210" s="209"/>
      <c r="P1210" s="209"/>
    </row>
    <row r="1211" spans="3:16" x14ac:dyDescent="0.25">
      <c r="C1211" s="123"/>
      <c r="D1211" s="142"/>
      <c r="E1211" s="142"/>
      <c r="F1211" s="208"/>
      <c r="G1211" s="181"/>
      <c r="H1211" s="209"/>
      <c r="I1211" s="209"/>
      <c r="J1211" s="209"/>
      <c r="K1211" s="209"/>
      <c r="L1211" s="209"/>
      <c r="M1211" s="209"/>
      <c r="N1211" s="209"/>
      <c r="O1211" s="209"/>
      <c r="P1211" s="209"/>
    </row>
    <row r="1212" spans="3:16" x14ac:dyDescent="0.25">
      <c r="C1212" s="123"/>
      <c r="D1212" s="142"/>
      <c r="E1212" s="142"/>
      <c r="F1212" s="208"/>
      <c r="G1212" s="181"/>
      <c r="H1212" s="209"/>
      <c r="I1212" s="209"/>
      <c r="J1212" s="209"/>
      <c r="K1212" s="209"/>
      <c r="L1212" s="209"/>
      <c r="M1212" s="209"/>
      <c r="N1212" s="209"/>
      <c r="O1212" s="209"/>
      <c r="P1212" s="209"/>
    </row>
    <row r="1213" spans="3:16" x14ac:dyDescent="0.25">
      <c r="C1213" s="123"/>
      <c r="D1213" s="142"/>
      <c r="E1213" s="142"/>
      <c r="F1213" s="208"/>
      <c r="G1213" s="181"/>
      <c r="H1213" s="209"/>
      <c r="I1213" s="209"/>
      <c r="J1213" s="209"/>
      <c r="K1213" s="209"/>
      <c r="L1213" s="209"/>
      <c r="M1213" s="209"/>
      <c r="N1213" s="209"/>
      <c r="O1213" s="209"/>
      <c r="P1213" s="209"/>
    </row>
    <row r="1214" spans="3:16" x14ac:dyDescent="0.25">
      <c r="C1214" s="123"/>
      <c r="D1214" s="142"/>
      <c r="E1214" s="142"/>
      <c r="F1214" s="208"/>
      <c r="G1214" s="181"/>
      <c r="H1214" s="209"/>
      <c r="I1214" s="209"/>
      <c r="J1214" s="209"/>
      <c r="K1214" s="209"/>
      <c r="L1214" s="209"/>
      <c r="M1214" s="209"/>
      <c r="N1214" s="209"/>
      <c r="O1214" s="209"/>
      <c r="P1214" s="209"/>
    </row>
    <row r="1215" spans="3:16" x14ac:dyDescent="0.25">
      <c r="C1215" s="123"/>
      <c r="D1215" s="142"/>
      <c r="E1215" s="142"/>
      <c r="F1215" s="208"/>
      <c r="G1215" s="181"/>
      <c r="H1215" s="209"/>
      <c r="I1215" s="209"/>
      <c r="J1215" s="209"/>
      <c r="K1215" s="209"/>
      <c r="L1215" s="209"/>
      <c r="M1215" s="209"/>
      <c r="N1215" s="209"/>
      <c r="O1215" s="209"/>
      <c r="P1215" s="209"/>
    </row>
    <row r="1216" spans="3:16" x14ac:dyDescent="0.25">
      <c r="C1216" s="123"/>
      <c r="D1216" s="142"/>
      <c r="E1216" s="142"/>
      <c r="F1216" s="208"/>
      <c r="G1216" s="181"/>
      <c r="H1216" s="209"/>
      <c r="I1216" s="209"/>
      <c r="J1216" s="209"/>
      <c r="K1216" s="209"/>
      <c r="L1216" s="209"/>
      <c r="M1216" s="209"/>
      <c r="N1216" s="209"/>
      <c r="O1216" s="209"/>
      <c r="P1216" s="209"/>
    </row>
    <row r="1217" spans="3:16" x14ac:dyDescent="0.25">
      <c r="C1217" s="123"/>
      <c r="D1217" s="142"/>
      <c r="E1217" s="142"/>
      <c r="F1217" s="208"/>
      <c r="G1217" s="181"/>
      <c r="H1217" s="209"/>
      <c r="I1217" s="209"/>
      <c r="J1217" s="209"/>
      <c r="K1217" s="209"/>
      <c r="L1217" s="209"/>
      <c r="M1217" s="209"/>
      <c r="N1217" s="209"/>
      <c r="O1217" s="209"/>
      <c r="P1217" s="209"/>
    </row>
    <row r="1218" spans="3:16" x14ac:dyDescent="0.25">
      <c r="C1218" s="123"/>
      <c r="D1218" s="142"/>
      <c r="E1218" s="142"/>
      <c r="F1218" s="208"/>
      <c r="G1218" s="181"/>
      <c r="H1218" s="209"/>
      <c r="I1218" s="209"/>
      <c r="J1218" s="209"/>
      <c r="K1218" s="209"/>
      <c r="L1218" s="209"/>
      <c r="M1218" s="209"/>
      <c r="N1218" s="209"/>
      <c r="O1218" s="209"/>
      <c r="P1218" s="209"/>
    </row>
    <row r="1219" spans="3:16" x14ac:dyDescent="0.25">
      <c r="C1219" s="123"/>
      <c r="D1219" s="142"/>
      <c r="E1219" s="142"/>
      <c r="F1219" s="208"/>
      <c r="G1219" s="181"/>
      <c r="H1219" s="209"/>
      <c r="I1219" s="209"/>
      <c r="J1219" s="209"/>
      <c r="K1219" s="209"/>
      <c r="L1219" s="209"/>
      <c r="M1219" s="209"/>
      <c r="N1219" s="209"/>
      <c r="O1219" s="209"/>
      <c r="P1219" s="209"/>
    </row>
    <row r="1220" spans="3:16" x14ac:dyDescent="0.25">
      <c r="C1220" s="123"/>
      <c r="D1220" s="142"/>
      <c r="E1220" s="142"/>
      <c r="F1220" s="208"/>
      <c r="G1220" s="181"/>
      <c r="H1220" s="209"/>
      <c r="I1220" s="209"/>
      <c r="J1220" s="209"/>
      <c r="K1220" s="209"/>
      <c r="L1220" s="209"/>
      <c r="M1220" s="209"/>
      <c r="N1220" s="209"/>
      <c r="O1220" s="209"/>
      <c r="P1220" s="209"/>
    </row>
    <row r="1221" spans="3:16" x14ac:dyDescent="0.25">
      <c r="C1221" s="123"/>
      <c r="D1221" s="142"/>
      <c r="E1221" s="142"/>
      <c r="F1221" s="208"/>
      <c r="G1221" s="181"/>
      <c r="H1221" s="209"/>
      <c r="I1221" s="209"/>
      <c r="J1221" s="209"/>
      <c r="K1221" s="209"/>
      <c r="L1221" s="209"/>
      <c r="M1221" s="209"/>
      <c r="N1221" s="209"/>
      <c r="O1221" s="209"/>
      <c r="P1221" s="209"/>
    </row>
    <row r="1222" spans="3:16" x14ac:dyDescent="0.25">
      <c r="C1222" s="123"/>
      <c r="D1222" s="142"/>
      <c r="E1222" s="142"/>
      <c r="F1222" s="208"/>
      <c r="G1222" s="181"/>
      <c r="H1222" s="209"/>
      <c r="I1222" s="209"/>
      <c r="J1222" s="209"/>
      <c r="K1222" s="209"/>
      <c r="L1222" s="209"/>
      <c r="M1222" s="209"/>
      <c r="N1222" s="209"/>
      <c r="O1222" s="209"/>
      <c r="P1222" s="209"/>
    </row>
    <row r="1223" spans="3:16" x14ac:dyDescent="0.25">
      <c r="C1223" s="123"/>
      <c r="D1223" s="142"/>
      <c r="E1223" s="142"/>
      <c r="F1223" s="208"/>
      <c r="G1223" s="181"/>
      <c r="H1223" s="209"/>
      <c r="I1223" s="209"/>
      <c r="J1223" s="209"/>
      <c r="K1223" s="209"/>
      <c r="L1223" s="209"/>
      <c r="M1223" s="209"/>
      <c r="N1223" s="209"/>
      <c r="O1223" s="209"/>
      <c r="P1223" s="209"/>
    </row>
    <row r="1224" spans="3:16" x14ac:dyDescent="0.25">
      <c r="C1224" s="123"/>
      <c r="D1224" s="142"/>
      <c r="E1224" s="142"/>
      <c r="F1224" s="208"/>
      <c r="G1224" s="181"/>
      <c r="H1224" s="209"/>
      <c r="I1224" s="209"/>
      <c r="J1224" s="209"/>
      <c r="K1224" s="209"/>
      <c r="L1224" s="209"/>
      <c r="M1224" s="209"/>
      <c r="N1224" s="209"/>
      <c r="O1224" s="209"/>
      <c r="P1224" s="209"/>
    </row>
    <row r="1225" spans="3:16" x14ac:dyDescent="0.25">
      <c r="C1225" s="123"/>
      <c r="D1225" s="142"/>
      <c r="E1225" s="142"/>
      <c r="F1225" s="208"/>
      <c r="G1225" s="181"/>
      <c r="H1225" s="209"/>
      <c r="I1225" s="209"/>
      <c r="J1225" s="209"/>
      <c r="K1225" s="209"/>
      <c r="L1225" s="209"/>
      <c r="M1225" s="209"/>
      <c r="N1225" s="209"/>
      <c r="O1225" s="209"/>
      <c r="P1225" s="209"/>
    </row>
    <row r="1226" spans="3:16" x14ac:dyDescent="0.25">
      <c r="C1226" s="123"/>
      <c r="D1226" s="142"/>
      <c r="E1226" s="142"/>
      <c r="F1226" s="208"/>
      <c r="G1226" s="181"/>
      <c r="H1226" s="209"/>
      <c r="I1226" s="209"/>
      <c r="J1226" s="209"/>
      <c r="K1226" s="209"/>
      <c r="L1226" s="209"/>
      <c r="M1226" s="209"/>
      <c r="N1226" s="209"/>
      <c r="O1226" s="209"/>
      <c r="P1226" s="209"/>
    </row>
    <row r="1227" spans="3:16" x14ac:dyDescent="0.25">
      <c r="C1227" s="123"/>
      <c r="D1227" s="142"/>
      <c r="E1227" s="142"/>
      <c r="F1227" s="208"/>
      <c r="G1227" s="181"/>
      <c r="H1227" s="209"/>
      <c r="I1227" s="209"/>
      <c r="J1227" s="209"/>
      <c r="K1227" s="209"/>
      <c r="L1227" s="209"/>
      <c r="M1227" s="209"/>
      <c r="N1227" s="209"/>
      <c r="O1227" s="209"/>
      <c r="P1227" s="209"/>
    </row>
    <row r="1228" spans="3:16" x14ac:dyDescent="0.25">
      <c r="C1228" s="123"/>
      <c r="D1228" s="142"/>
      <c r="E1228" s="142"/>
      <c r="F1228" s="208"/>
      <c r="G1228" s="181"/>
      <c r="H1228" s="209"/>
      <c r="I1228" s="209"/>
      <c r="J1228" s="209"/>
      <c r="K1228" s="209"/>
      <c r="L1228" s="209"/>
      <c r="M1228" s="209"/>
      <c r="N1228" s="209"/>
      <c r="O1228" s="209"/>
      <c r="P1228" s="209"/>
    </row>
    <row r="1229" spans="3:16" x14ac:dyDescent="0.25">
      <c r="C1229" s="123"/>
      <c r="D1229" s="142"/>
      <c r="E1229" s="142"/>
      <c r="F1229" s="208"/>
      <c r="G1229" s="181"/>
      <c r="H1229" s="209"/>
      <c r="I1229" s="209"/>
      <c r="J1229" s="209"/>
      <c r="K1229" s="209"/>
      <c r="L1229" s="209"/>
      <c r="M1229" s="209"/>
      <c r="N1229" s="209"/>
      <c r="O1229" s="209"/>
      <c r="P1229" s="209"/>
    </row>
    <row r="1230" spans="3:16" x14ac:dyDescent="0.25">
      <c r="C1230" s="123"/>
      <c r="D1230" s="142"/>
      <c r="E1230" s="142"/>
      <c r="F1230" s="208"/>
      <c r="G1230" s="181"/>
      <c r="H1230" s="209"/>
      <c r="I1230" s="209"/>
      <c r="J1230" s="209"/>
      <c r="K1230" s="209"/>
      <c r="L1230" s="209"/>
      <c r="M1230" s="209"/>
      <c r="N1230" s="209"/>
      <c r="O1230" s="209"/>
      <c r="P1230" s="209"/>
    </row>
    <row r="1231" spans="3:16" x14ac:dyDescent="0.25">
      <c r="C1231" s="123"/>
      <c r="D1231" s="142"/>
      <c r="E1231" s="142"/>
      <c r="F1231" s="208"/>
      <c r="G1231" s="181"/>
      <c r="H1231" s="209"/>
      <c r="I1231" s="209"/>
      <c r="J1231" s="209"/>
      <c r="K1231" s="209"/>
      <c r="L1231" s="209"/>
      <c r="M1231" s="209"/>
      <c r="N1231" s="209"/>
      <c r="O1231" s="209"/>
      <c r="P1231" s="209"/>
    </row>
    <row r="1232" spans="3:16" x14ac:dyDescent="0.25">
      <c r="C1232" s="123"/>
      <c r="D1232" s="142"/>
      <c r="E1232" s="142"/>
      <c r="F1232" s="208"/>
      <c r="G1232" s="181"/>
      <c r="H1232" s="209"/>
      <c r="I1232" s="209"/>
      <c r="J1232" s="209"/>
      <c r="K1232" s="209"/>
      <c r="L1232" s="209"/>
      <c r="M1232" s="209"/>
      <c r="N1232" s="209"/>
      <c r="O1232" s="209"/>
      <c r="P1232" s="209"/>
    </row>
    <row r="1233" spans="3:16" x14ac:dyDescent="0.25">
      <c r="C1233" s="123"/>
      <c r="D1233" s="142"/>
      <c r="E1233" s="142"/>
      <c r="F1233" s="208"/>
      <c r="G1233" s="181"/>
      <c r="H1233" s="209"/>
      <c r="I1233" s="209"/>
      <c r="J1233" s="209"/>
      <c r="K1233" s="209"/>
      <c r="L1233" s="209"/>
      <c r="M1233" s="209"/>
      <c r="N1233" s="209"/>
      <c r="O1233" s="209"/>
      <c r="P1233" s="209"/>
    </row>
    <row r="1234" spans="3:16" x14ac:dyDescent="0.25">
      <c r="C1234" s="123"/>
      <c r="D1234" s="142"/>
      <c r="E1234" s="142"/>
      <c r="F1234" s="208"/>
      <c r="G1234" s="181"/>
      <c r="H1234" s="209"/>
      <c r="I1234" s="209"/>
      <c r="J1234" s="209"/>
      <c r="K1234" s="209"/>
      <c r="L1234" s="209"/>
      <c r="M1234" s="209"/>
      <c r="N1234" s="209"/>
      <c r="O1234" s="209"/>
      <c r="P1234" s="209"/>
    </row>
    <row r="1235" spans="3:16" x14ac:dyDescent="0.25">
      <c r="C1235" s="123"/>
      <c r="D1235" s="142"/>
      <c r="E1235" s="142"/>
      <c r="F1235" s="208"/>
      <c r="G1235" s="181"/>
      <c r="H1235" s="209"/>
      <c r="I1235" s="209"/>
      <c r="J1235" s="209"/>
      <c r="K1235" s="209"/>
      <c r="L1235" s="209"/>
      <c r="M1235" s="209"/>
      <c r="N1235" s="209"/>
      <c r="O1235" s="209"/>
      <c r="P1235" s="209"/>
    </row>
    <row r="1236" spans="3:16" x14ac:dyDescent="0.25">
      <c r="C1236" s="123"/>
      <c r="D1236" s="142"/>
      <c r="E1236" s="142"/>
      <c r="F1236" s="208"/>
      <c r="G1236" s="181"/>
      <c r="H1236" s="209"/>
      <c r="I1236" s="209"/>
      <c r="J1236" s="209"/>
      <c r="K1236" s="209"/>
      <c r="L1236" s="209"/>
      <c r="M1236" s="209"/>
      <c r="N1236" s="209"/>
      <c r="O1236" s="209"/>
      <c r="P1236" s="209"/>
    </row>
    <row r="1237" spans="3:16" x14ac:dyDescent="0.25">
      <c r="C1237" s="123"/>
      <c r="D1237" s="142"/>
      <c r="E1237" s="142"/>
      <c r="F1237" s="208"/>
      <c r="G1237" s="181"/>
      <c r="H1237" s="209"/>
      <c r="I1237" s="209"/>
      <c r="J1237" s="209"/>
      <c r="K1237" s="209"/>
      <c r="L1237" s="209"/>
      <c r="M1237" s="209"/>
      <c r="N1237" s="209"/>
      <c r="O1237" s="209"/>
      <c r="P1237" s="209"/>
    </row>
    <row r="1238" spans="3:16" x14ac:dyDescent="0.25">
      <c r="C1238" s="123"/>
      <c r="D1238" s="142"/>
      <c r="E1238" s="142"/>
      <c r="F1238" s="208"/>
      <c r="G1238" s="181"/>
      <c r="H1238" s="209"/>
      <c r="I1238" s="209"/>
      <c r="J1238" s="209"/>
      <c r="K1238" s="209"/>
      <c r="L1238" s="209"/>
      <c r="M1238" s="209"/>
      <c r="N1238" s="209"/>
      <c r="O1238" s="209"/>
      <c r="P1238" s="209"/>
    </row>
    <row r="1239" spans="3:16" x14ac:dyDescent="0.25">
      <c r="C1239" s="123"/>
      <c r="D1239" s="142"/>
      <c r="E1239" s="142"/>
      <c r="F1239" s="208"/>
      <c r="G1239" s="181"/>
      <c r="H1239" s="209"/>
      <c r="I1239" s="209"/>
      <c r="J1239" s="209"/>
      <c r="K1239" s="209"/>
      <c r="L1239" s="209"/>
      <c r="M1239" s="209"/>
      <c r="N1239" s="209"/>
      <c r="O1239" s="209"/>
      <c r="P1239" s="209"/>
    </row>
    <row r="1240" spans="3:16" x14ac:dyDescent="0.25">
      <c r="C1240" s="123"/>
      <c r="D1240" s="142"/>
      <c r="E1240" s="142"/>
      <c r="F1240" s="208"/>
      <c r="G1240" s="181"/>
      <c r="H1240" s="209"/>
      <c r="I1240" s="209"/>
      <c r="J1240" s="209"/>
      <c r="K1240" s="209"/>
      <c r="L1240" s="209"/>
      <c r="M1240" s="209"/>
      <c r="N1240" s="209"/>
      <c r="O1240" s="209"/>
      <c r="P1240" s="209"/>
    </row>
    <row r="1241" spans="3:16" x14ac:dyDescent="0.25">
      <c r="C1241" s="123"/>
      <c r="D1241" s="142"/>
      <c r="E1241" s="142"/>
      <c r="F1241" s="208"/>
      <c r="G1241" s="181"/>
      <c r="H1241" s="209"/>
      <c r="I1241" s="209"/>
      <c r="J1241" s="209"/>
      <c r="K1241" s="209"/>
      <c r="L1241" s="209"/>
      <c r="M1241" s="209"/>
      <c r="N1241" s="209"/>
      <c r="O1241" s="209"/>
      <c r="P1241" s="209"/>
    </row>
    <row r="1242" spans="3:16" x14ac:dyDescent="0.25">
      <c r="C1242" s="123"/>
      <c r="D1242" s="142"/>
      <c r="E1242" s="142"/>
      <c r="F1242" s="208"/>
      <c r="G1242" s="181"/>
      <c r="H1242" s="209"/>
      <c r="I1242" s="209"/>
      <c r="J1242" s="209"/>
      <c r="K1242" s="209"/>
      <c r="L1242" s="209"/>
      <c r="M1242" s="209"/>
      <c r="N1242" s="209"/>
      <c r="O1242" s="209"/>
      <c r="P1242" s="209"/>
    </row>
    <row r="1243" spans="3:16" x14ac:dyDescent="0.25">
      <c r="C1243" s="123"/>
      <c r="D1243" s="142"/>
      <c r="E1243" s="142"/>
      <c r="F1243" s="208"/>
      <c r="G1243" s="181"/>
      <c r="H1243" s="209"/>
      <c r="I1243" s="209"/>
      <c r="J1243" s="209"/>
      <c r="K1243" s="209"/>
      <c r="L1243" s="209"/>
      <c r="M1243" s="209"/>
      <c r="N1243" s="209"/>
      <c r="O1243" s="209"/>
      <c r="P1243" s="209"/>
    </row>
    <row r="1244" spans="3:16" x14ac:dyDescent="0.25">
      <c r="C1244" s="123"/>
      <c r="D1244" s="142"/>
      <c r="E1244" s="142"/>
      <c r="F1244" s="208"/>
      <c r="G1244" s="181"/>
      <c r="H1244" s="209"/>
      <c r="I1244" s="209"/>
      <c r="J1244" s="209"/>
      <c r="K1244" s="209"/>
      <c r="L1244" s="209"/>
      <c r="M1244" s="209"/>
      <c r="N1244" s="209"/>
      <c r="O1244" s="209"/>
      <c r="P1244" s="209"/>
    </row>
    <row r="1245" spans="3:16" x14ac:dyDescent="0.25">
      <c r="C1245" s="123"/>
      <c r="D1245" s="142"/>
      <c r="E1245" s="142"/>
      <c r="F1245" s="208"/>
      <c r="G1245" s="181"/>
      <c r="H1245" s="209"/>
      <c r="I1245" s="209"/>
      <c r="J1245" s="209"/>
      <c r="K1245" s="209"/>
      <c r="L1245" s="209"/>
      <c r="M1245" s="209"/>
      <c r="N1245" s="209"/>
      <c r="O1245" s="209"/>
      <c r="P1245" s="209"/>
    </row>
    <row r="1246" spans="3:16" x14ac:dyDescent="0.25">
      <c r="C1246" s="123"/>
      <c r="D1246" s="142"/>
      <c r="E1246" s="142"/>
      <c r="F1246" s="208"/>
      <c r="G1246" s="181"/>
      <c r="H1246" s="209"/>
      <c r="I1246" s="209"/>
      <c r="J1246" s="209"/>
      <c r="K1246" s="209"/>
      <c r="L1246" s="209"/>
      <c r="M1246" s="209"/>
      <c r="N1246" s="209"/>
      <c r="O1246" s="209"/>
      <c r="P1246" s="209"/>
    </row>
    <row r="1247" spans="3:16" x14ac:dyDescent="0.25">
      <c r="C1247" s="123"/>
      <c r="D1247" s="142"/>
      <c r="E1247" s="142"/>
      <c r="F1247" s="208"/>
      <c r="G1247" s="181"/>
      <c r="H1247" s="209"/>
      <c r="I1247" s="209"/>
      <c r="J1247" s="209"/>
      <c r="K1247" s="209"/>
      <c r="L1247" s="209"/>
      <c r="M1247" s="209"/>
      <c r="N1247" s="209"/>
      <c r="O1247" s="209"/>
      <c r="P1247" s="209"/>
    </row>
    <row r="1248" spans="3:16" x14ac:dyDescent="0.25">
      <c r="C1248" s="123"/>
      <c r="D1248" s="142"/>
      <c r="E1248" s="142"/>
      <c r="F1248" s="208"/>
      <c r="G1248" s="181"/>
      <c r="H1248" s="209"/>
      <c r="I1248" s="209"/>
      <c r="J1248" s="209"/>
      <c r="K1248" s="209"/>
      <c r="L1248" s="209"/>
      <c r="M1248" s="209"/>
      <c r="N1248" s="209"/>
      <c r="O1248" s="209"/>
      <c r="P1248" s="209"/>
    </row>
    <row r="1249" spans="3:16" x14ac:dyDescent="0.25">
      <c r="C1249" s="123"/>
      <c r="D1249" s="142"/>
      <c r="E1249" s="142"/>
      <c r="F1249" s="208"/>
      <c r="G1249" s="181"/>
      <c r="H1249" s="209"/>
      <c r="I1249" s="209"/>
      <c r="J1249" s="209"/>
      <c r="K1249" s="209"/>
      <c r="L1249" s="209"/>
      <c r="M1249" s="209"/>
      <c r="N1249" s="209"/>
      <c r="O1249" s="209"/>
      <c r="P1249" s="209"/>
    </row>
    <row r="1250" spans="3:16" x14ac:dyDescent="0.25">
      <c r="C1250" s="123"/>
      <c r="D1250" s="142"/>
      <c r="E1250" s="142"/>
      <c r="F1250" s="208"/>
      <c r="G1250" s="181"/>
      <c r="H1250" s="209"/>
      <c r="I1250" s="209"/>
      <c r="J1250" s="209"/>
      <c r="K1250" s="209"/>
      <c r="L1250" s="209"/>
      <c r="M1250" s="209"/>
      <c r="N1250" s="209"/>
      <c r="O1250" s="209"/>
      <c r="P1250" s="209"/>
    </row>
    <row r="1251" spans="3:16" x14ac:dyDescent="0.25">
      <c r="C1251" s="123"/>
      <c r="D1251" s="142"/>
      <c r="E1251" s="142"/>
      <c r="F1251" s="208"/>
      <c r="G1251" s="181"/>
      <c r="H1251" s="209"/>
      <c r="I1251" s="209"/>
      <c r="J1251" s="209"/>
      <c r="K1251" s="209"/>
      <c r="L1251" s="209"/>
      <c r="M1251" s="209"/>
      <c r="N1251" s="209"/>
      <c r="O1251" s="209"/>
      <c r="P1251" s="209"/>
    </row>
    <row r="1252" spans="3:16" x14ac:dyDescent="0.25">
      <c r="C1252" s="123"/>
      <c r="D1252" s="142"/>
      <c r="E1252" s="142"/>
      <c r="F1252" s="208"/>
      <c r="G1252" s="181"/>
      <c r="H1252" s="209"/>
      <c r="I1252" s="209"/>
      <c r="J1252" s="209"/>
      <c r="K1252" s="209"/>
      <c r="L1252" s="209"/>
      <c r="M1252" s="209"/>
      <c r="N1252" s="209"/>
      <c r="O1252" s="209"/>
      <c r="P1252" s="209"/>
    </row>
    <row r="1253" spans="3:16" x14ac:dyDescent="0.25">
      <c r="C1253" s="123"/>
      <c r="D1253" s="142"/>
      <c r="E1253" s="142"/>
      <c r="F1253" s="208"/>
      <c r="G1253" s="181"/>
      <c r="H1253" s="209"/>
      <c r="I1253" s="209"/>
      <c r="J1253" s="209"/>
      <c r="K1253" s="209"/>
      <c r="L1253" s="209"/>
      <c r="M1253" s="209"/>
      <c r="N1253" s="209"/>
      <c r="O1253" s="209"/>
      <c r="P1253" s="209"/>
    </row>
    <row r="1254" spans="3:16" x14ac:dyDescent="0.25">
      <c r="C1254" s="123"/>
      <c r="D1254" s="142"/>
      <c r="E1254" s="142"/>
      <c r="F1254" s="208"/>
      <c r="G1254" s="181"/>
      <c r="H1254" s="209"/>
      <c r="I1254" s="209"/>
      <c r="J1254" s="209"/>
      <c r="K1254" s="209"/>
      <c r="L1254" s="209"/>
      <c r="M1254" s="209"/>
      <c r="N1254" s="209"/>
      <c r="O1254" s="209"/>
      <c r="P1254" s="209"/>
    </row>
    <row r="1255" spans="3:16" x14ac:dyDescent="0.25">
      <c r="C1255" s="123"/>
      <c r="D1255" s="142"/>
      <c r="E1255" s="142"/>
      <c r="F1255" s="208"/>
      <c r="G1255" s="181"/>
      <c r="H1255" s="209"/>
      <c r="I1255" s="209"/>
      <c r="J1255" s="209"/>
      <c r="K1255" s="209"/>
      <c r="L1255" s="209"/>
      <c r="M1255" s="209"/>
      <c r="N1255" s="209"/>
      <c r="O1255" s="209"/>
      <c r="P1255" s="209"/>
    </row>
    <row r="1256" spans="3:16" x14ac:dyDescent="0.25">
      <c r="C1256" s="123"/>
      <c r="D1256" s="142"/>
      <c r="E1256" s="142"/>
      <c r="F1256" s="208"/>
      <c r="G1256" s="181"/>
      <c r="H1256" s="209"/>
      <c r="I1256" s="209"/>
      <c r="J1256" s="209"/>
      <c r="K1256" s="209"/>
      <c r="L1256" s="209"/>
      <c r="M1256" s="209"/>
      <c r="N1256" s="209"/>
      <c r="O1256" s="209"/>
      <c r="P1256" s="209"/>
    </row>
    <row r="1257" spans="3:16" x14ac:dyDescent="0.25">
      <c r="C1257" s="123"/>
      <c r="D1257" s="142"/>
      <c r="E1257" s="142"/>
      <c r="F1257" s="208"/>
      <c r="G1257" s="181"/>
      <c r="H1257" s="209"/>
      <c r="I1257" s="209"/>
      <c r="J1257" s="209"/>
      <c r="K1257" s="209"/>
      <c r="L1257" s="209"/>
      <c r="M1257" s="209"/>
      <c r="N1257" s="209"/>
      <c r="O1257" s="209"/>
      <c r="P1257" s="209"/>
    </row>
    <row r="1258" spans="3:16" x14ac:dyDescent="0.25">
      <c r="C1258" s="123"/>
      <c r="D1258" s="142"/>
      <c r="E1258" s="142"/>
      <c r="F1258" s="208"/>
      <c r="G1258" s="181"/>
      <c r="H1258" s="209"/>
      <c r="I1258" s="209"/>
      <c r="J1258" s="209"/>
      <c r="K1258" s="209"/>
      <c r="L1258" s="209"/>
      <c r="M1258" s="209"/>
      <c r="N1258" s="209"/>
      <c r="O1258" s="209"/>
      <c r="P1258" s="209"/>
    </row>
    <row r="1259" spans="3:16" x14ac:dyDescent="0.25">
      <c r="C1259" s="123"/>
      <c r="D1259" s="142"/>
      <c r="E1259" s="142"/>
      <c r="F1259" s="208"/>
      <c r="G1259" s="181"/>
      <c r="H1259" s="209"/>
      <c r="I1259" s="209"/>
      <c r="J1259" s="209"/>
      <c r="K1259" s="209"/>
      <c r="L1259" s="209"/>
      <c r="M1259" s="209"/>
      <c r="N1259" s="209"/>
      <c r="O1259" s="209"/>
      <c r="P1259" s="209"/>
    </row>
    <row r="1260" spans="3:16" x14ac:dyDescent="0.25">
      <c r="C1260" s="123"/>
      <c r="D1260" s="142"/>
      <c r="E1260" s="142"/>
      <c r="F1260" s="208"/>
      <c r="G1260" s="181"/>
      <c r="H1260" s="209"/>
      <c r="I1260" s="209"/>
      <c r="J1260" s="209"/>
      <c r="K1260" s="209"/>
      <c r="L1260" s="209"/>
      <c r="M1260" s="209"/>
      <c r="N1260" s="209"/>
      <c r="O1260" s="209"/>
      <c r="P1260" s="209"/>
    </row>
    <row r="1261" spans="3:16" x14ac:dyDescent="0.25">
      <c r="C1261" s="123"/>
      <c r="D1261" s="142"/>
      <c r="E1261" s="142"/>
      <c r="F1261" s="208"/>
      <c r="G1261" s="181"/>
      <c r="H1261" s="209"/>
      <c r="I1261" s="209"/>
      <c r="J1261" s="209"/>
      <c r="K1261" s="209"/>
      <c r="L1261" s="209"/>
      <c r="M1261" s="209"/>
      <c r="N1261" s="209"/>
      <c r="O1261" s="209"/>
      <c r="P1261" s="209"/>
    </row>
    <row r="1262" spans="3:16" x14ac:dyDescent="0.25">
      <c r="C1262" s="123"/>
      <c r="D1262" s="142"/>
      <c r="E1262" s="142"/>
      <c r="F1262" s="208"/>
      <c r="G1262" s="181"/>
      <c r="H1262" s="209"/>
      <c r="I1262" s="209"/>
      <c r="J1262" s="209"/>
      <c r="K1262" s="209"/>
      <c r="L1262" s="209"/>
      <c r="M1262" s="209"/>
      <c r="N1262" s="209"/>
      <c r="O1262" s="209"/>
      <c r="P1262" s="209"/>
    </row>
    <row r="1263" spans="3:16" x14ac:dyDescent="0.25">
      <c r="C1263" s="123"/>
      <c r="D1263" s="142"/>
      <c r="E1263" s="142"/>
      <c r="F1263" s="208"/>
      <c r="G1263" s="181"/>
      <c r="H1263" s="209"/>
      <c r="I1263" s="209"/>
      <c r="J1263" s="209"/>
      <c r="K1263" s="209"/>
      <c r="L1263" s="209"/>
      <c r="M1263" s="209"/>
      <c r="N1263" s="209"/>
      <c r="O1263" s="209"/>
      <c r="P1263" s="209"/>
    </row>
    <row r="1264" spans="3:16" x14ac:dyDescent="0.25">
      <c r="C1264" s="123"/>
      <c r="D1264" s="142"/>
      <c r="E1264" s="142"/>
      <c r="F1264" s="208"/>
      <c r="G1264" s="181"/>
      <c r="H1264" s="209"/>
      <c r="I1264" s="209"/>
      <c r="J1264" s="209"/>
      <c r="K1264" s="209"/>
      <c r="L1264" s="209"/>
      <c r="M1264" s="209"/>
      <c r="N1264" s="209"/>
      <c r="O1264" s="209"/>
      <c r="P1264" s="209"/>
    </row>
    <row r="1265" spans="3:16" x14ac:dyDescent="0.25">
      <c r="C1265" s="123"/>
      <c r="D1265" s="142"/>
      <c r="E1265" s="142"/>
      <c r="F1265" s="208"/>
      <c r="G1265" s="181"/>
      <c r="H1265" s="209"/>
      <c r="I1265" s="209"/>
      <c r="J1265" s="209"/>
      <c r="K1265" s="209"/>
      <c r="L1265" s="209"/>
      <c r="M1265" s="209"/>
      <c r="N1265" s="209"/>
      <c r="O1265" s="209"/>
      <c r="P1265" s="209"/>
    </row>
    <row r="1266" spans="3:16" x14ac:dyDescent="0.25">
      <c r="C1266" s="123"/>
      <c r="D1266" s="142"/>
      <c r="E1266" s="142"/>
      <c r="F1266" s="208"/>
      <c r="G1266" s="181"/>
      <c r="H1266" s="209"/>
      <c r="I1266" s="209"/>
      <c r="J1266" s="209"/>
      <c r="K1266" s="209"/>
      <c r="L1266" s="209"/>
      <c r="M1266" s="209"/>
      <c r="N1266" s="209"/>
      <c r="O1266" s="209"/>
      <c r="P1266" s="209"/>
    </row>
    <row r="1267" spans="3:16" x14ac:dyDescent="0.25">
      <c r="C1267" s="123"/>
      <c r="D1267" s="142"/>
      <c r="E1267" s="142"/>
      <c r="F1267" s="208"/>
      <c r="G1267" s="181"/>
      <c r="H1267" s="209"/>
      <c r="I1267" s="209"/>
      <c r="J1267" s="209"/>
      <c r="K1267" s="209"/>
      <c r="L1267" s="209"/>
      <c r="M1267" s="209"/>
      <c r="N1267" s="209"/>
      <c r="O1267" s="209"/>
      <c r="P1267" s="209"/>
    </row>
    <row r="1268" spans="3:16" x14ac:dyDescent="0.25">
      <c r="C1268" s="123"/>
      <c r="D1268" s="142"/>
      <c r="E1268" s="142"/>
      <c r="F1268" s="208"/>
      <c r="G1268" s="181"/>
      <c r="H1268" s="209"/>
      <c r="I1268" s="209"/>
      <c r="J1268" s="209"/>
      <c r="K1268" s="209"/>
      <c r="L1268" s="209"/>
      <c r="M1268" s="209"/>
      <c r="N1268" s="209"/>
      <c r="O1268" s="209"/>
      <c r="P1268" s="209"/>
    </row>
    <row r="1269" spans="3:16" x14ac:dyDescent="0.25">
      <c r="C1269" s="123"/>
      <c r="D1269" s="142"/>
      <c r="E1269" s="142"/>
      <c r="F1269" s="208"/>
      <c r="G1269" s="181"/>
      <c r="H1269" s="209"/>
      <c r="I1269" s="209"/>
      <c r="J1269" s="209"/>
      <c r="K1269" s="209"/>
      <c r="L1269" s="209"/>
      <c r="M1269" s="209"/>
      <c r="N1269" s="209"/>
      <c r="O1269" s="209"/>
      <c r="P1269" s="209"/>
    </row>
    <row r="1270" spans="3:16" x14ac:dyDescent="0.25">
      <c r="C1270" s="123"/>
      <c r="D1270" s="142"/>
      <c r="E1270" s="142"/>
      <c r="F1270" s="208"/>
      <c r="G1270" s="181"/>
      <c r="H1270" s="209"/>
      <c r="I1270" s="209"/>
      <c r="J1270" s="209"/>
      <c r="K1270" s="209"/>
      <c r="L1270" s="209"/>
      <c r="M1270" s="209"/>
      <c r="N1270" s="209"/>
      <c r="O1270" s="209"/>
      <c r="P1270" s="209"/>
    </row>
    <row r="1271" spans="3:16" x14ac:dyDescent="0.25">
      <c r="C1271" s="123"/>
      <c r="D1271" s="142"/>
      <c r="E1271" s="142"/>
      <c r="F1271" s="208"/>
      <c r="G1271" s="181"/>
      <c r="H1271" s="209"/>
      <c r="I1271" s="209"/>
      <c r="J1271" s="209"/>
      <c r="K1271" s="209"/>
      <c r="L1271" s="209"/>
      <c r="M1271" s="209"/>
      <c r="N1271" s="209"/>
      <c r="O1271" s="209"/>
      <c r="P1271" s="209"/>
    </row>
    <row r="1272" spans="3:16" x14ac:dyDescent="0.25">
      <c r="C1272" s="123"/>
      <c r="D1272" s="142"/>
      <c r="E1272" s="142"/>
      <c r="F1272" s="208"/>
      <c r="G1272" s="181"/>
      <c r="H1272" s="209"/>
      <c r="I1272" s="209"/>
      <c r="J1272" s="209"/>
      <c r="K1272" s="209"/>
      <c r="L1272" s="209"/>
      <c r="M1272" s="209"/>
      <c r="N1272" s="209"/>
      <c r="O1272" s="209"/>
      <c r="P1272" s="209"/>
    </row>
    <row r="1273" spans="3:16" x14ac:dyDescent="0.25">
      <c r="C1273" s="123"/>
      <c r="D1273" s="142"/>
      <c r="E1273" s="142"/>
      <c r="F1273" s="208"/>
      <c r="G1273" s="181"/>
      <c r="H1273" s="209"/>
      <c r="I1273" s="209"/>
      <c r="J1273" s="209"/>
      <c r="K1273" s="209"/>
      <c r="L1273" s="209"/>
      <c r="M1273" s="209"/>
      <c r="N1273" s="209"/>
      <c r="O1273" s="209"/>
      <c r="P1273" s="209"/>
    </row>
    <row r="1274" spans="3:16" x14ac:dyDescent="0.25">
      <c r="C1274" s="123"/>
      <c r="D1274" s="142"/>
      <c r="E1274" s="142"/>
      <c r="F1274" s="208"/>
      <c r="G1274" s="181"/>
      <c r="H1274" s="209"/>
      <c r="I1274" s="209"/>
      <c r="J1274" s="209"/>
      <c r="K1274" s="209"/>
      <c r="L1274" s="209"/>
      <c r="M1274" s="209"/>
      <c r="N1274" s="209"/>
      <c r="O1274" s="209"/>
      <c r="P1274" s="209"/>
    </row>
    <row r="1275" spans="3:16" x14ac:dyDescent="0.25">
      <c r="C1275" s="123"/>
      <c r="D1275" s="142"/>
      <c r="E1275" s="142"/>
      <c r="F1275" s="208"/>
      <c r="G1275" s="181"/>
      <c r="H1275" s="209"/>
      <c r="I1275" s="209"/>
      <c r="J1275" s="209"/>
      <c r="K1275" s="209"/>
      <c r="L1275" s="209"/>
      <c r="M1275" s="209"/>
      <c r="N1275" s="209"/>
      <c r="O1275" s="209"/>
      <c r="P1275" s="209"/>
    </row>
    <row r="1276" spans="3:16" x14ac:dyDescent="0.25">
      <c r="C1276" s="123"/>
      <c r="D1276" s="142"/>
      <c r="E1276" s="142"/>
      <c r="F1276" s="208"/>
      <c r="G1276" s="181"/>
      <c r="H1276" s="209"/>
      <c r="I1276" s="209"/>
      <c r="J1276" s="209"/>
      <c r="K1276" s="209"/>
      <c r="L1276" s="209"/>
      <c r="M1276" s="209"/>
      <c r="N1276" s="209"/>
      <c r="O1276" s="209"/>
      <c r="P1276" s="209"/>
    </row>
    <row r="1277" spans="3:16" x14ac:dyDescent="0.25">
      <c r="C1277" s="123"/>
      <c r="D1277" s="142"/>
      <c r="E1277" s="142"/>
      <c r="F1277" s="208"/>
      <c r="G1277" s="181"/>
      <c r="H1277" s="209"/>
      <c r="I1277" s="209"/>
      <c r="J1277" s="209"/>
      <c r="K1277" s="209"/>
      <c r="L1277" s="209"/>
      <c r="M1277" s="209"/>
      <c r="N1277" s="209"/>
      <c r="O1277" s="209"/>
      <c r="P1277" s="209"/>
    </row>
    <row r="1278" spans="3:16" x14ac:dyDescent="0.25">
      <c r="C1278" s="123"/>
      <c r="D1278" s="142"/>
      <c r="E1278" s="142"/>
      <c r="F1278" s="208"/>
      <c r="G1278" s="181"/>
      <c r="H1278" s="209"/>
      <c r="I1278" s="209"/>
      <c r="J1278" s="209"/>
      <c r="K1278" s="209"/>
      <c r="L1278" s="209"/>
      <c r="M1278" s="209"/>
      <c r="N1278" s="209"/>
      <c r="O1278" s="209"/>
      <c r="P1278" s="209"/>
    </row>
    <row r="1279" spans="3:16" x14ac:dyDescent="0.25">
      <c r="C1279" s="123"/>
      <c r="D1279" s="142"/>
      <c r="E1279" s="142"/>
      <c r="F1279" s="208"/>
      <c r="G1279" s="181"/>
      <c r="H1279" s="209"/>
      <c r="I1279" s="209"/>
      <c r="J1279" s="209"/>
      <c r="K1279" s="209"/>
      <c r="L1279" s="209"/>
      <c r="M1279" s="209"/>
      <c r="N1279" s="209"/>
      <c r="O1279" s="209"/>
      <c r="P1279" s="209"/>
    </row>
    <row r="1280" spans="3:16" x14ac:dyDescent="0.25">
      <c r="C1280" s="123"/>
      <c r="D1280" s="142"/>
      <c r="E1280" s="142"/>
      <c r="F1280" s="208"/>
      <c r="G1280" s="181"/>
      <c r="H1280" s="209"/>
      <c r="I1280" s="209"/>
      <c r="J1280" s="209"/>
      <c r="K1280" s="209"/>
      <c r="L1280" s="209"/>
      <c r="M1280" s="209"/>
      <c r="N1280" s="209"/>
      <c r="O1280" s="209"/>
      <c r="P1280" s="209"/>
    </row>
    <row r="1281" spans="3:16" x14ac:dyDescent="0.25">
      <c r="C1281" s="123"/>
      <c r="D1281" s="142"/>
      <c r="E1281" s="142"/>
      <c r="F1281" s="208"/>
      <c r="G1281" s="181"/>
      <c r="H1281" s="209"/>
      <c r="I1281" s="209"/>
      <c r="J1281" s="209"/>
      <c r="K1281" s="209"/>
      <c r="L1281" s="209"/>
      <c r="M1281" s="209"/>
      <c r="N1281" s="209"/>
      <c r="O1281" s="209"/>
      <c r="P1281" s="209"/>
    </row>
    <row r="1282" spans="3:16" x14ac:dyDescent="0.25">
      <c r="C1282" s="123"/>
      <c r="D1282" s="142"/>
      <c r="E1282" s="142"/>
      <c r="F1282" s="208"/>
      <c r="G1282" s="181"/>
      <c r="H1282" s="209"/>
      <c r="I1282" s="209"/>
      <c r="J1282" s="209"/>
      <c r="K1282" s="209"/>
      <c r="L1282" s="209"/>
      <c r="M1282" s="209"/>
      <c r="N1282" s="209"/>
      <c r="O1282" s="209"/>
      <c r="P1282" s="209"/>
    </row>
    <row r="1283" spans="3:16" x14ac:dyDescent="0.25">
      <c r="C1283" s="123"/>
      <c r="D1283" s="142"/>
      <c r="E1283" s="142"/>
      <c r="F1283" s="208"/>
      <c r="G1283" s="181"/>
      <c r="H1283" s="209"/>
      <c r="I1283" s="209"/>
      <c r="J1283" s="209"/>
      <c r="K1283" s="209"/>
      <c r="L1283" s="209"/>
      <c r="M1283" s="209"/>
      <c r="N1283" s="209"/>
      <c r="O1283" s="209"/>
      <c r="P1283" s="209"/>
    </row>
    <row r="1284" spans="3:16" x14ac:dyDescent="0.25">
      <c r="C1284" s="123"/>
      <c r="D1284" s="142"/>
      <c r="E1284" s="142"/>
      <c r="F1284" s="208"/>
      <c r="G1284" s="181"/>
      <c r="H1284" s="209"/>
      <c r="I1284" s="209"/>
      <c r="J1284" s="209"/>
      <c r="K1284" s="209"/>
      <c r="L1284" s="209"/>
      <c r="M1284" s="209"/>
      <c r="N1284" s="209"/>
      <c r="O1284" s="209"/>
      <c r="P1284" s="209"/>
    </row>
    <row r="1285" spans="3:16" x14ac:dyDescent="0.25">
      <c r="C1285" s="123"/>
      <c r="D1285" s="142"/>
      <c r="E1285" s="142"/>
      <c r="F1285" s="208"/>
      <c r="G1285" s="181"/>
      <c r="H1285" s="209"/>
      <c r="I1285" s="209"/>
      <c r="J1285" s="209"/>
      <c r="K1285" s="209"/>
      <c r="L1285" s="209"/>
      <c r="M1285" s="209"/>
      <c r="N1285" s="209"/>
      <c r="O1285" s="209"/>
      <c r="P1285" s="209"/>
    </row>
    <row r="1286" spans="3:16" x14ac:dyDescent="0.25">
      <c r="C1286" s="123"/>
      <c r="D1286" s="142"/>
      <c r="E1286" s="142"/>
      <c r="F1286" s="208"/>
      <c r="G1286" s="181"/>
      <c r="H1286" s="209"/>
      <c r="I1286" s="209"/>
      <c r="J1286" s="209"/>
      <c r="K1286" s="209"/>
      <c r="L1286" s="209"/>
      <c r="M1286" s="209"/>
      <c r="N1286" s="209"/>
      <c r="O1286" s="209"/>
      <c r="P1286" s="209"/>
    </row>
    <row r="1287" spans="3:16" x14ac:dyDescent="0.25">
      <c r="C1287" s="123"/>
      <c r="D1287" s="142"/>
      <c r="E1287" s="142"/>
      <c r="F1287" s="208"/>
      <c r="G1287" s="181"/>
      <c r="H1287" s="209"/>
      <c r="I1287" s="209"/>
      <c r="J1287" s="209"/>
      <c r="K1287" s="209"/>
      <c r="L1287" s="209"/>
      <c r="M1287" s="209"/>
      <c r="N1287" s="209"/>
      <c r="O1287" s="209"/>
      <c r="P1287" s="209"/>
    </row>
    <row r="1288" spans="3:16" x14ac:dyDescent="0.25">
      <c r="C1288" s="123"/>
      <c r="D1288" s="142"/>
      <c r="E1288" s="142"/>
      <c r="F1288" s="208"/>
      <c r="G1288" s="181"/>
      <c r="H1288" s="209"/>
      <c r="I1288" s="209"/>
      <c r="J1288" s="209"/>
      <c r="K1288" s="209"/>
      <c r="L1288" s="209"/>
      <c r="M1288" s="209"/>
      <c r="N1288" s="209"/>
      <c r="O1288" s="209"/>
      <c r="P1288" s="209"/>
    </row>
    <row r="1289" spans="3:16" x14ac:dyDescent="0.25">
      <c r="C1289" s="123"/>
      <c r="D1289" s="142"/>
      <c r="E1289" s="142"/>
      <c r="F1289" s="208"/>
      <c r="G1289" s="181"/>
      <c r="H1289" s="209"/>
      <c r="I1289" s="209"/>
      <c r="J1289" s="209"/>
      <c r="K1289" s="209"/>
      <c r="L1289" s="209"/>
      <c r="M1289" s="209"/>
      <c r="N1289" s="209"/>
      <c r="O1289" s="209"/>
      <c r="P1289" s="209"/>
    </row>
    <row r="1290" spans="3:16" x14ac:dyDescent="0.25">
      <c r="C1290" s="123"/>
      <c r="D1290" s="142"/>
      <c r="E1290" s="142"/>
      <c r="F1290" s="208"/>
      <c r="G1290" s="181"/>
      <c r="H1290" s="209"/>
      <c r="I1290" s="209"/>
      <c r="J1290" s="209"/>
      <c r="K1290" s="209"/>
      <c r="L1290" s="209"/>
      <c r="M1290" s="209"/>
      <c r="N1290" s="209"/>
      <c r="O1290" s="209"/>
      <c r="P1290" s="209"/>
    </row>
    <row r="1291" spans="3:16" x14ac:dyDescent="0.25">
      <c r="C1291" s="123"/>
      <c r="D1291" s="142"/>
      <c r="E1291" s="142"/>
      <c r="F1291" s="208"/>
      <c r="G1291" s="181"/>
      <c r="H1291" s="209"/>
      <c r="I1291" s="209"/>
      <c r="J1291" s="209"/>
      <c r="K1291" s="209"/>
      <c r="L1291" s="209"/>
      <c r="M1291" s="209"/>
      <c r="N1291" s="209"/>
      <c r="O1291" s="209"/>
      <c r="P1291" s="209"/>
    </row>
    <row r="1292" spans="3:16" x14ac:dyDescent="0.25">
      <c r="C1292" s="123"/>
      <c r="D1292" s="142"/>
      <c r="E1292" s="142"/>
      <c r="F1292" s="208"/>
      <c r="G1292" s="181"/>
      <c r="H1292" s="209"/>
      <c r="I1292" s="209"/>
      <c r="J1292" s="209"/>
      <c r="K1292" s="209"/>
      <c r="L1292" s="209"/>
      <c r="M1292" s="209"/>
      <c r="N1292" s="209"/>
      <c r="O1292" s="209"/>
      <c r="P1292" s="209"/>
    </row>
    <row r="1293" spans="3:16" x14ac:dyDescent="0.25">
      <c r="C1293" s="123"/>
      <c r="D1293" s="142"/>
      <c r="E1293" s="142"/>
      <c r="F1293" s="208"/>
      <c r="G1293" s="181"/>
      <c r="H1293" s="209"/>
      <c r="I1293" s="209"/>
      <c r="J1293" s="209"/>
      <c r="K1293" s="209"/>
      <c r="L1293" s="209"/>
      <c r="M1293" s="209"/>
      <c r="N1293" s="209"/>
      <c r="O1293" s="209"/>
      <c r="P1293" s="209"/>
    </row>
    <row r="1294" spans="3:16" x14ac:dyDescent="0.25">
      <c r="C1294" s="123"/>
      <c r="D1294" s="142"/>
      <c r="E1294" s="142"/>
      <c r="F1294" s="208"/>
      <c r="G1294" s="181"/>
      <c r="H1294" s="209"/>
      <c r="I1294" s="209"/>
      <c r="J1294" s="209"/>
      <c r="K1294" s="209"/>
      <c r="L1294" s="209"/>
      <c r="M1294" s="209"/>
      <c r="N1294" s="209"/>
      <c r="O1294" s="209"/>
      <c r="P1294" s="209"/>
    </row>
    <row r="1295" spans="3:16" x14ac:dyDescent="0.25">
      <c r="C1295" s="123"/>
      <c r="D1295" s="142"/>
      <c r="E1295" s="142"/>
      <c r="F1295" s="208"/>
      <c r="G1295" s="181"/>
      <c r="H1295" s="209"/>
      <c r="I1295" s="209"/>
      <c r="J1295" s="209"/>
      <c r="K1295" s="209"/>
      <c r="L1295" s="209"/>
      <c r="M1295" s="209"/>
      <c r="N1295" s="209"/>
      <c r="O1295" s="209"/>
      <c r="P1295" s="209"/>
    </row>
    <row r="1296" spans="3:16" x14ac:dyDescent="0.25">
      <c r="C1296" s="123"/>
      <c r="D1296" s="142"/>
      <c r="E1296" s="142"/>
      <c r="F1296" s="208"/>
      <c r="G1296" s="181"/>
      <c r="H1296" s="209"/>
      <c r="I1296" s="209"/>
      <c r="J1296" s="209"/>
      <c r="K1296" s="209"/>
      <c r="L1296" s="209"/>
      <c r="M1296" s="209"/>
      <c r="N1296" s="209"/>
      <c r="O1296" s="209"/>
      <c r="P1296" s="209"/>
    </row>
    <row r="1297" spans="3:16" x14ac:dyDescent="0.25">
      <c r="C1297" s="123"/>
      <c r="D1297" s="142"/>
      <c r="E1297" s="142"/>
      <c r="F1297" s="208"/>
      <c r="G1297" s="181"/>
      <c r="H1297" s="209"/>
      <c r="I1297" s="209"/>
      <c r="J1297" s="209"/>
      <c r="K1297" s="209"/>
      <c r="L1297" s="209"/>
      <c r="M1297" s="209"/>
      <c r="N1297" s="209"/>
      <c r="O1297" s="209"/>
      <c r="P1297" s="209"/>
    </row>
    <row r="1298" spans="3:16" x14ac:dyDescent="0.25">
      <c r="C1298" s="123"/>
      <c r="D1298" s="142"/>
      <c r="E1298" s="142"/>
      <c r="F1298" s="208"/>
      <c r="G1298" s="181"/>
      <c r="H1298" s="209"/>
      <c r="I1298" s="209"/>
      <c r="J1298" s="209"/>
      <c r="K1298" s="209"/>
      <c r="L1298" s="209"/>
      <c r="M1298" s="209"/>
      <c r="N1298" s="209"/>
      <c r="O1298" s="209"/>
      <c r="P1298" s="209"/>
    </row>
    <row r="1299" spans="3:16" x14ac:dyDescent="0.25">
      <c r="C1299" s="123"/>
      <c r="D1299" s="142"/>
      <c r="E1299" s="142"/>
      <c r="F1299" s="208"/>
      <c r="G1299" s="181"/>
      <c r="H1299" s="209"/>
      <c r="I1299" s="209"/>
      <c r="J1299" s="209"/>
      <c r="K1299" s="209"/>
      <c r="L1299" s="209"/>
      <c r="M1299" s="209"/>
      <c r="N1299" s="209"/>
      <c r="O1299" s="209"/>
      <c r="P1299" s="209"/>
    </row>
    <row r="1300" spans="3:16" x14ac:dyDescent="0.25">
      <c r="C1300" s="123"/>
      <c r="D1300" s="142"/>
      <c r="E1300" s="142"/>
      <c r="F1300" s="208"/>
      <c r="G1300" s="181"/>
      <c r="H1300" s="209"/>
      <c r="I1300" s="209"/>
      <c r="J1300" s="209"/>
      <c r="K1300" s="209"/>
      <c r="L1300" s="209"/>
      <c r="M1300" s="209"/>
      <c r="N1300" s="209"/>
      <c r="O1300" s="209"/>
      <c r="P1300" s="209"/>
    </row>
    <row r="1301" spans="3:16" x14ac:dyDescent="0.25">
      <c r="C1301" s="123"/>
      <c r="D1301" s="142"/>
      <c r="E1301" s="142"/>
      <c r="F1301" s="208"/>
      <c r="G1301" s="181"/>
      <c r="H1301" s="209"/>
      <c r="I1301" s="209"/>
      <c r="J1301" s="209"/>
      <c r="K1301" s="209"/>
      <c r="L1301" s="209"/>
      <c r="M1301" s="209"/>
      <c r="N1301" s="209"/>
      <c r="O1301" s="209"/>
      <c r="P1301" s="209"/>
    </row>
    <row r="1302" spans="3:16" x14ac:dyDescent="0.25">
      <c r="C1302" s="123"/>
      <c r="D1302" s="142"/>
      <c r="E1302" s="142"/>
      <c r="F1302" s="208"/>
      <c r="G1302" s="181"/>
      <c r="H1302" s="209"/>
      <c r="I1302" s="209"/>
      <c r="J1302" s="209"/>
      <c r="K1302" s="209"/>
      <c r="L1302" s="209"/>
      <c r="M1302" s="209"/>
      <c r="N1302" s="209"/>
      <c r="O1302" s="209"/>
      <c r="P1302" s="209"/>
    </row>
    <row r="1303" spans="3:16" x14ac:dyDescent="0.25">
      <c r="C1303" s="123"/>
      <c r="D1303" s="142"/>
      <c r="E1303" s="142"/>
      <c r="F1303" s="208"/>
      <c r="G1303" s="181"/>
      <c r="H1303" s="209"/>
      <c r="I1303" s="209"/>
      <c r="J1303" s="209"/>
      <c r="K1303" s="209"/>
      <c r="L1303" s="209"/>
      <c r="M1303" s="209"/>
      <c r="N1303" s="209"/>
      <c r="O1303" s="209"/>
      <c r="P1303" s="209"/>
    </row>
    <row r="1304" spans="3:16" x14ac:dyDescent="0.25">
      <c r="C1304" s="123"/>
      <c r="D1304" s="142"/>
      <c r="E1304" s="142"/>
      <c r="F1304" s="208"/>
      <c r="G1304" s="181"/>
      <c r="H1304" s="209"/>
      <c r="I1304" s="209"/>
      <c r="J1304" s="209"/>
      <c r="K1304" s="209"/>
      <c r="L1304" s="209"/>
      <c r="M1304" s="209"/>
      <c r="N1304" s="209"/>
      <c r="O1304" s="209"/>
      <c r="P1304" s="209"/>
    </row>
    <row r="1305" spans="3:16" x14ac:dyDescent="0.25">
      <c r="C1305" s="123"/>
      <c r="D1305" s="142"/>
      <c r="E1305" s="142"/>
      <c r="F1305" s="208"/>
      <c r="G1305" s="181"/>
      <c r="H1305" s="209"/>
      <c r="I1305" s="209"/>
      <c r="J1305" s="209"/>
      <c r="K1305" s="209"/>
      <c r="L1305" s="209"/>
      <c r="M1305" s="209"/>
      <c r="N1305" s="209"/>
      <c r="O1305" s="209"/>
      <c r="P1305" s="209"/>
    </row>
    <row r="1306" spans="3:16" x14ac:dyDescent="0.25">
      <c r="C1306" s="123"/>
      <c r="D1306" s="142"/>
      <c r="E1306" s="142"/>
      <c r="F1306" s="208"/>
      <c r="G1306" s="181"/>
      <c r="H1306" s="209"/>
      <c r="I1306" s="209"/>
      <c r="J1306" s="209"/>
      <c r="K1306" s="209"/>
      <c r="L1306" s="209"/>
      <c r="M1306" s="209"/>
      <c r="N1306" s="209"/>
      <c r="O1306" s="209"/>
      <c r="P1306" s="209"/>
    </row>
    <row r="1307" spans="3:16" x14ac:dyDescent="0.25">
      <c r="C1307" s="123"/>
      <c r="D1307" s="142"/>
      <c r="E1307" s="142"/>
      <c r="F1307" s="208"/>
      <c r="G1307" s="181"/>
      <c r="H1307" s="209"/>
      <c r="I1307" s="209"/>
      <c r="J1307" s="209"/>
      <c r="K1307" s="209"/>
      <c r="L1307" s="209"/>
      <c r="M1307" s="209"/>
      <c r="N1307" s="209"/>
      <c r="O1307" s="209"/>
      <c r="P1307" s="209"/>
    </row>
    <row r="1308" spans="3:16" x14ac:dyDescent="0.25">
      <c r="C1308" s="123"/>
      <c r="D1308" s="142"/>
      <c r="E1308" s="142"/>
      <c r="F1308" s="208"/>
      <c r="G1308" s="181"/>
      <c r="H1308" s="209"/>
      <c r="I1308" s="209"/>
      <c r="J1308" s="209"/>
      <c r="K1308" s="209"/>
      <c r="L1308" s="209"/>
      <c r="M1308" s="209"/>
      <c r="N1308" s="209"/>
      <c r="O1308" s="209"/>
      <c r="P1308" s="209"/>
    </row>
    <row r="1309" spans="3:16" x14ac:dyDescent="0.25">
      <c r="C1309" s="123"/>
      <c r="D1309" s="142"/>
      <c r="E1309" s="142"/>
      <c r="F1309" s="208"/>
      <c r="G1309" s="181"/>
      <c r="H1309" s="209"/>
      <c r="I1309" s="209"/>
      <c r="J1309" s="209"/>
      <c r="K1309" s="209"/>
      <c r="L1309" s="209"/>
      <c r="M1309" s="209"/>
      <c r="N1309" s="209"/>
      <c r="O1309" s="209"/>
      <c r="P1309" s="209"/>
    </row>
    <row r="1310" spans="3:16" x14ac:dyDescent="0.25">
      <c r="C1310" s="123"/>
      <c r="D1310" s="142"/>
      <c r="E1310" s="142"/>
      <c r="F1310" s="208"/>
      <c r="G1310" s="181"/>
      <c r="H1310" s="209"/>
      <c r="I1310" s="209"/>
      <c r="J1310" s="209"/>
      <c r="K1310" s="209"/>
      <c r="L1310" s="209"/>
      <c r="M1310" s="209"/>
      <c r="N1310" s="209"/>
      <c r="O1310" s="209"/>
      <c r="P1310" s="209"/>
    </row>
    <row r="1311" spans="3:16" x14ac:dyDescent="0.25">
      <c r="C1311" s="123"/>
      <c r="D1311" s="142"/>
      <c r="E1311" s="142"/>
      <c r="F1311" s="208"/>
      <c r="G1311" s="181"/>
      <c r="H1311" s="209"/>
      <c r="I1311" s="209"/>
      <c r="J1311" s="209"/>
      <c r="K1311" s="209"/>
      <c r="L1311" s="209"/>
      <c r="M1311" s="209"/>
      <c r="N1311" s="209"/>
      <c r="O1311" s="209"/>
      <c r="P1311" s="209"/>
    </row>
    <row r="1312" spans="3:16" x14ac:dyDescent="0.25">
      <c r="C1312" s="123"/>
      <c r="D1312" s="142"/>
      <c r="E1312" s="142"/>
      <c r="F1312" s="208"/>
      <c r="G1312" s="181"/>
      <c r="H1312" s="209"/>
      <c r="I1312" s="209"/>
      <c r="J1312" s="209"/>
      <c r="K1312" s="209"/>
      <c r="L1312" s="209"/>
      <c r="M1312" s="209"/>
      <c r="N1312" s="209"/>
      <c r="O1312" s="209"/>
      <c r="P1312" s="209"/>
    </row>
    <row r="1313" spans="3:16" x14ac:dyDescent="0.25">
      <c r="C1313" s="123"/>
      <c r="D1313" s="142"/>
      <c r="E1313" s="142"/>
      <c r="F1313" s="208"/>
      <c r="G1313" s="181"/>
      <c r="H1313" s="209"/>
      <c r="I1313" s="209"/>
      <c r="J1313" s="209"/>
      <c r="K1313" s="209"/>
      <c r="L1313" s="209"/>
      <c r="M1313" s="209"/>
      <c r="N1313" s="209"/>
      <c r="O1313" s="209"/>
      <c r="P1313" s="209"/>
    </row>
    <row r="1314" spans="3:16" x14ac:dyDescent="0.25">
      <c r="C1314" s="123"/>
      <c r="D1314" s="142"/>
      <c r="E1314" s="142"/>
      <c r="F1314" s="208"/>
      <c r="G1314" s="181"/>
      <c r="H1314" s="209"/>
      <c r="I1314" s="209"/>
      <c r="J1314" s="209"/>
      <c r="K1314" s="209"/>
      <c r="L1314" s="209"/>
      <c r="M1314" s="209"/>
      <c r="N1314" s="209"/>
      <c r="O1314" s="209"/>
      <c r="P1314" s="209"/>
    </row>
    <row r="1315" spans="3:16" x14ac:dyDescent="0.25">
      <c r="C1315" s="123"/>
      <c r="D1315" s="142"/>
      <c r="E1315" s="142"/>
      <c r="F1315" s="208"/>
      <c r="G1315" s="181"/>
      <c r="H1315" s="209"/>
      <c r="I1315" s="209"/>
      <c r="J1315" s="209"/>
      <c r="K1315" s="209"/>
      <c r="L1315" s="209"/>
      <c r="M1315" s="209"/>
      <c r="N1315" s="209"/>
      <c r="O1315" s="209"/>
      <c r="P1315" s="209"/>
    </row>
    <row r="1316" spans="3:16" x14ac:dyDescent="0.25">
      <c r="C1316" s="123"/>
      <c r="D1316" s="142"/>
      <c r="E1316" s="142"/>
      <c r="F1316" s="208"/>
      <c r="G1316" s="181"/>
      <c r="H1316" s="209"/>
      <c r="I1316" s="209"/>
      <c r="J1316" s="209"/>
      <c r="K1316" s="209"/>
      <c r="L1316" s="209"/>
      <c r="M1316" s="209"/>
      <c r="N1316" s="209"/>
      <c r="O1316" s="209"/>
      <c r="P1316" s="209"/>
    </row>
    <row r="1317" spans="3:16" x14ac:dyDescent="0.25">
      <c r="C1317" s="123"/>
      <c r="D1317" s="142"/>
      <c r="E1317" s="142"/>
      <c r="F1317" s="208"/>
      <c r="G1317" s="181"/>
      <c r="H1317" s="209"/>
      <c r="I1317" s="209"/>
      <c r="J1317" s="209"/>
      <c r="K1317" s="209"/>
      <c r="L1317" s="209"/>
      <c r="M1317" s="209"/>
      <c r="N1317" s="209"/>
      <c r="O1317" s="209"/>
      <c r="P1317" s="209"/>
    </row>
    <row r="1318" spans="3:16" x14ac:dyDescent="0.25">
      <c r="C1318" s="123"/>
      <c r="D1318" s="142"/>
      <c r="E1318" s="142"/>
      <c r="F1318" s="208"/>
      <c r="G1318" s="181"/>
      <c r="H1318" s="209"/>
      <c r="I1318" s="209"/>
      <c r="J1318" s="209"/>
      <c r="K1318" s="209"/>
      <c r="L1318" s="209"/>
      <c r="M1318" s="209"/>
      <c r="N1318" s="209"/>
      <c r="O1318" s="209"/>
      <c r="P1318" s="209"/>
    </row>
    <row r="1319" spans="3:16" x14ac:dyDescent="0.25">
      <c r="C1319" s="123"/>
      <c r="D1319" s="142"/>
      <c r="E1319" s="142"/>
      <c r="F1319" s="208"/>
      <c r="G1319" s="181"/>
      <c r="H1319" s="209"/>
      <c r="I1319" s="209"/>
      <c r="J1319" s="209"/>
      <c r="K1319" s="209"/>
      <c r="L1319" s="209"/>
      <c r="M1319" s="209"/>
      <c r="N1319" s="209"/>
      <c r="O1319" s="209"/>
      <c r="P1319" s="209"/>
    </row>
    <row r="1320" spans="3:16" x14ac:dyDescent="0.25">
      <c r="C1320" s="123"/>
      <c r="D1320" s="142"/>
      <c r="E1320" s="142"/>
      <c r="F1320" s="208"/>
      <c r="G1320" s="181"/>
      <c r="H1320" s="209"/>
      <c r="I1320" s="209"/>
      <c r="J1320" s="209"/>
      <c r="K1320" s="209"/>
      <c r="L1320" s="209"/>
      <c r="M1320" s="209"/>
      <c r="N1320" s="209"/>
      <c r="O1320" s="209"/>
      <c r="P1320" s="209"/>
    </row>
    <row r="1321" spans="3:16" x14ac:dyDescent="0.25">
      <c r="C1321" s="123"/>
      <c r="D1321" s="142"/>
      <c r="E1321" s="142"/>
      <c r="F1321" s="208"/>
      <c r="G1321" s="181"/>
      <c r="H1321" s="209"/>
      <c r="I1321" s="209"/>
      <c r="J1321" s="209"/>
      <c r="K1321" s="209"/>
      <c r="L1321" s="209"/>
      <c r="M1321" s="209"/>
      <c r="N1321" s="209"/>
      <c r="O1321" s="209"/>
      <c r="P1321" s="209"/>
    </row>
    <row r="1322" spans="3:16" x14ac:dyDescent="0.25">
      <c r="C1322" s="123"/>
      <c r="D1322" s="142"/>
      <c r="E1322" s="142"/>
      <c r="F1322" s="208"/>
      <c r="G1322" s="181"/>
      <c r="H1322" s="209"/>
      <c r="I1322" s="209"/>
      <c r="J1322" s="209"/>
      <c r="K1322" s="209"/>
      <c r="L1322" s="209"/>
      <c r="M1322" s="209"/>
      <c r="N1322" s="209"/>
      <c r="O1322" s="209"/>
      <c r="P1322" s="209"/>
    </row>
    <row r="1323" spans="3:16" x14ac:dyDescent="0.25">
      <c r="C1323" s="123"/>
      <c r="D1323" s="142"/>
      <c r="E1323" s="142"/>
      <c r="F1323" s="208"/>
      <c r="G1323" s="181"/>
      <c r="H1323" s="209"/>
      <c r="I1323" s="209"/>
      <c r="J1323" s="209"/>
      <c r="K1323" s="209"/>
      <c r="L1323" s="209"/>
      <c r="M1323" s="209"/>
      <c r="N1323" s="209"/>
      <c r="O1323" s="209"/>
      <c r="P1323" s="209"/>
    </row>
    <row r="1324" spans="3:16" x14ac:dyDescent="0.25">
      <c r="C1324" s="123"/>
      <c r="D1324" s="142"/>
      <c r="E1324" s="142"/>
      <c r="F1324" s="208"/>
      <c r="G1324" s="181"/>
      <c r="H1324" s="209"/>
      <c r="I1324" s="209"/>
      <c r="J1324" s="209"/>
      <c r="K1324" s="209"/>
      <c r="L1324" s="209"/>
      <c r="M1324" s="209"/>
      <c r="N1324" s="209"/>
      <c r="O1324" s="209"/>
      <c r="P1324" s="209"/>
    </row>
    <row r="1325" spans="3:16" x14ac:dyDescent="0.25">
      <c r="C1325" s="123"/>
      <c r="D1325" s="142"/>
      <c r="E1325" s="142"/>
      <c r="F1325" s="208"/>
      <c r="G1325" s="181"/>
      <c r="H1325" s="209"/>
      <c r="I1325" s="209"/>
      <c r="J1325" s="209"/>
      <c r="K1325" s="209"/>
      <c r="L1325" s="209"/>
      <c r="M1325" s="209"/>
      <c r="N1325" s="209"/>
      <c r="O1325" s="209"/>
      <c r="P1325" s="209"/>
    </row>
    <row r="1326" spans="3:16" x14ac:dyDescent="0.25">
      <c r="C1326" s="123"/>
      <c r="D1326" s="142"/>
      <c r="E1326" s="142"/>
      <c r="F1326" s="208"/>
      <c r="G1326" s="181"/>
      <c r="H1326" s="209"/>
      <c r="I1326" s="209"/>
      <c r="J1326" s="209"/>
      <c r="K1326" s="209"/>
      <c r="L1326" s="209"/>
      <c r="M1326" s="209"/>
      <c r="N1326" s="209"/>
      <c r="O1326" s="209"/>
      <c r="P1326" s="209"/>
    </row>
    <row r="1327" spans="3:16" x14ac:dyDescent="0.25">
      <c r="C1327" s="123"/>
      <c r="D1327" s="142"/>
      <c r="E1327" s="142"/>
      <c r="F1327" s="208"/>
      <c r="G1327" s="181"/>
      <c r="H1327" s="209"/>
      <c r="I1327" s="209"/>
      <c r="J1327" s="209"/>
      <c r="K1327" s="209"/>
      <c r="L1327" s="209"/>
      <c r="M1327" s="209"/>
      <c r="N1327" s="209"/>
      <c r="O1327" s="209"/>
      <c r="P1327" s="209"/>
    </row>
    <row r="1328" spans="3:16" x14ac:dyDescent="0.25">
      <c r="C1328" s="123"/>
      <c r="D1328" s="142"/>
      <c r="E1328" s="142"/>
      <c r="F1328" s="208"/>
      <c r="G1328" s="181"/>
      <c r="H1328" s="209"/>
      <c r="I1328" s="209"/>
      <c r="J1328" s="209"/>
      <c r="K1328" s="209"/>
      <c r="L1328" s="209"/>
      <c r="M1328" s="209"/>
      <c r="N1328" s="209"/>
      <c r="O1328" s="209"/>
      <c r="P1328" s="209"/>
    </row>
    <row r="1329" spans="3:16" x14ac:dyDescent="0.25">
      <c r="C1329" s="123"/>
      <c r="D1329" s="142"/>
      <c r="E1329" s="142"/>
      <c r="F1329" s="208"/>
      <c r="G1329" s="181"/>
      <c r="H1329" s="209"/>
      <c r="I1329" s="209"/>
      <c r="J1329" s="209"/>
      <c r="K1329" s="209"/>
      <c r="L1329" s="209"/>
      <c r="M1329" s="209"/>
      <c r="N1329" s="209"/>
      <c r="O1329" s="209"/>
      <c r="P1329" s="209"/>
    </row>
    <row r="1330" spans="3:16" x14ac:dyDescent="0.25">
      <c r="C1330" s="123"/>
      <c r="D1330" s="142"/>
      <c r="E1330" s="142"/>
      <c r="F1330" s="208"/>
      <c r="G1330" s="181"/>
      <c r="H1330" s="209"/>
      <c r="I1330" s="209"/>
      <c r="J1330" s="209"/>
      <c r="K1330" s="209"/>
      <c r="L1330" s="209"/>
      <c r="M1330" s="209"/>
      <c r="N1330" s="209"/>
      <c r="O1330" s="209"/>
      <c r="P1330" s="209"/>
    </row>
    <row r="1331" spans="3:16" x14ac:dyDescent="0.25">
      <c r="C1331" s="123"/>
      <c r="D1331" s="142"/>
      <c r="E1331" s="142"/>
      <c r="F1331" s="208"/>
      <c r="G1331" s="181"/>
      <c r="H1331" s="209"/>
      <c r="I1331" s="209"/>
      <c r="J1331" s="209"/>
      <c r="K1331" s="209"/>
      <c r="L1331" s="209"/>
      <c r="M1331" s="209"/>
      <c r="N1331" s="209"/>
      <c r="O1331" s="209"/>
      <c r="P1331" s="209"/>
    </row>
    <row r="1332" spans="3:16" x14ac:dyDescent="0.25">
      <c r="C1332" s="123"/>
      <c r="D1332" s="142"/>
      <c r="E1332" s="142"/>
      <c r="F1332" s="208"/>
      <c r="G1332" s="181"/>
      <c r="H1332" s="209"/>
      <c r="I1332" s="209"/>
      <c r="J1332" s="209"/>
      <c r="K1332" s="209"/>
      <c r="L1332" s="209"/>
      <c r="M1332" s="209"/>
      <c r="N1332" s="209"/>
      <c r="O1332" s="209"/>
      <c r="P1332" s="209"/>
    </row>
    <row r="1333" spans="3:16" x14ac:dyDescent="0.25">
      <c r="C1333" s="123"/>
      <c r="D1333" s="142"/>
      <c r="E1333" s="142"/>
      <c r="F1333" s="208"/>
      <c r="G1333" s="181"/>
      <c r="H1333" s="209"/>
      <c r="I1333" s="209"/>
      <c r="J1333" s="209"/>
      <c r="K1333" s="209"/>
      <c r="L1333" s="209"/>
      <c r="M1333" s="209"/>
      <c r="N1333" s="209"/>
      <c r="O1333" s="209"/>
      <c r="P1333" s="209"/>
    </row>
    <row r="1334" spans="3:16" x14ac:dyDescent="0.25">
      <c r="C1334" s="123"/>
      <c r="D1334" s="142"/>
      <c r="E1334" s="142"/>
      <c r="F1334" s="208"/>
      <c r="G1334" s="181"/>
      <c r="H1334" s="209"/>
      <c r="I1334" s="209"/>
      <c r="J1334" s="209"/>
      <c r="K1334" s="209"/>
      <c r="L1334" s="209"/>
      <c r="M1334" s="209"/>
      <c r="N1334" s="209"/>
      <c r="O1334" s="209"/>
      <c r="P1334" s="209"/>
    </row>
    <row r="1335" spans="3:16" x14ac:dyDescent="0.25">
      <c r="C1335" s="123"/>
      <c r="D1335" s="142"/>
      <c r="E1335" s="142"/>
      <c r="F1335" s="208"/>
      <c r="G1335" s="181"/>
      <c r="H1335" s="209"/>
      <c r="I1335" s="209"/>
      <c r="J1335" s="209"/>
      <c r="K1335" s="209"/>
      <c r="L1335" s="209"/>
      <c r="M1335" s="209"/>
      <c r="N1335" s="209"/>
      <c r="O1335" s="209"/>
      <c r="P1335" s="209"/>
    </row>
    <row r="1336" spans="3:16" x14ac:dyDescent="0.25">
      <c r="C1336" s="123"/>
      <c r="D1336" s="142"/>
      <c r="E1336" s="142"/>
      <c r="F1336" s="208"/>
      <c r="G1336" s="181"/>
      <c r="H1336" s="209"/>
      <c r="I1336" s="209"/>
      <c r="J1336" s="209"/>
      <c r="K1336" s="209"/>
      <c r="L1336" s="209"/>
      <c r="M1336" s="209"/>
      <c r="N1336" s="209"/>
      <c r="O1336" s="209"/>
      <c r="P1336" s="209"/>
    </row>
    <row r="1337" spans="3:16" x14ac:dyDescent="0.25">
      <c r="C1337" s="123"/>
      <c r="D1337" s="142"/>
      <c r="E1337" s="142"/>
      <c r="F1337" s="208"/>
      <c r="G1337" s="181"/>
      <c r="H1337" s="209"/>
      <c r="I1337" s="209"/>
      <c r="J1337" s="209"/>
      <c r="K1337" s="209"/>
      <c r="L1337" s="209"/>
      <c r="M1337" s="209"/>
      <c r="N1337" s="209"/>
      <c r="O1337" s="209"/>
      <c r="P1337" s="209"/>
    </row>
    <row r="1338" spans="3:16" x14ac:dyDescent="0.25">
      <c r="C1338" s="123"/>
      <c r="D1338" s="142"/>
      <c r="E1338" s="142"/>
      <c r="F1338" s="208"/>
      <c r="G1338" s="181"/>
      <c r="H1338" s="209"/>
      <c r="I1338" s="209"/>
      <c r="J1338" s="209"/>
      <c r="K1338" s="209"/>
      <c r="L1338" s="209"/>
      <c r="M1338" s="209"/>
      <c r="N1338" s="209"/>
      <c r="O1338" s="209"/>
      <c r="P1338" s="209"/>
    </row>
    <row r="1339" spans="3:16" x14ac:dyDescent="0.25">
      <c r="C1339" s="123"/>
      <c r="D1339" s="142"/>
      <c r="E1339" s="142"/>
      <c r="F1339" s="208"/>
      <c r="G1339" s="181"/>
      <c r="H1339" s="209"/>
      <c r="I1339" s="209"/>
      <c r="J1339" s="209"/>
      <c r="K1339" s="209"/>
      <c r="L1339" s="209"/>
      <c r="M1339" s="209"/>
      <c r="N1339" s="209"/>
      <c r="O1339" s="209"/>
      <c r="P1339" s="209"/>
    </row>
    <row r="1340" spans="3:16" x14ac:dyDescent="0.25">
      <c r="C1340" s="123"/>
      <c r="D1340" s="142"/>
      <c r="E1340" s="142"/>
      <c r="F1340" s="208"/>
      <c r="G1340" s="181"/>
      <c r="H1340" s="209"/>
      <c r="I1340" s="209"/>
      <c r="J1340" s="209"/>
      <c r="K1340" s="209"/>
      <c r="L1340" s="209"/>
      <c r="M1340" s="209"/>
      <c r="N1340" s="209"/>
      <c r="O1340" s="209"/>
      <c r="P1340" s="209"/>
    </row>
    <row r="1341" spans="3:16" x14ac:dyDescent="0.25">
      <c r="C1341" s="123"/>
      <c r="D1341" s="142"/>
      <c r="E1341" s="142"/>
      <c r="F1341" s="208"/>
      <c r="G1341" s="181"/>
      <c r="H1341" s="209"/>
      <c r="I1341" s="209"/>
      <c r="J1341" s="209"/>
      <c r="K1341" s="209"/>
      <c r="L1341" s="209"/>
      <c r="M1341" s="209"/>
      <c r="N1341" s="209"/>
      <c r="O1341" s="209"/>
      <c r="P1341" s="209"/>
    </row>
    <row r="1342" spans="3:16" x14ac:dyDescent="0.25">
      <c r="C1342" s="123"/>
      <c r="D1342" s="142"/>
      <c r="E1342" s="142"/>
      <c r="F1342" s="208"/>
      <c r="G1342" s="181"/>
      <c r="H1342" s="209"/>
      <c r="I1342" s="209"/>
      <c r="J1342" s="209"/>
      <c r="K1342" s="209"/>
      <c r="L1342" s="209"/>
      <c r="M1342" s="209"/>
      <c r="N1342" s="209"/>
      <c r="O1342" s="209"/>
      <c r="P1342" s="209"/>
    </row>
    <row r="1343" spans="3:16" x14ac:dyDescent="0.25">
      <c r="C1343" s="123"/>
      <c r="D1343" s="142"/>
      <c r="E1343" s="142"/>
      <c r="F1343" s="208"/>
      <c r="G1343" s="181"/>
      <c r="H1343" s="209"/>
      <c r="I1343" s="209"/>
      <c r="J1343" s="209"/>
      <c r="K1343" s="209"/>
      <c r="L1343" s="209"/>
      <c r="M1343" s="209"/>
      <c r="N1343" s="209"/>
      <c r="O1343" s="209"/>
      <c r="P1343" s="209"/>
    </row>
    <row r="1344" spans="3:16" x14ac:dyDescent="0.25">
      <c r="C1344" s="123"/>
      <c r="D1344" s="142"/>
      <c r="E1344" s="142"/>
      <c r="F1344" s="208"/>
      <c r="G1344" s="181"/>
      <c r="H1344" s="209"/>
      <c r="I1344" s="209"/>
      <c r="J1344" s="209"/>
      <c r="K1344" s="209"/>
      <c r="L1344" s="209"/>
      <c r="M1344" s="209"/>
      <c r="N1344" s="209"/>
      <c r="O1344" s="209"/>
      <c r="P1344" s="209"/>
    </row>
    <row r="1345" spans="3:16" x14ac:dyDescent="0.25">
      <c r="C1345" s="123"/>
      <c r="D1345" s="142"/>
      <c r="E1345" s="142"/>
      <c r="F1345" s="208"/>
      <c r="G1345" s="181"/>
      <c r="H1345" s="209"/>
      <c r="I1345" s="209"/>
      <c r="J1345" s="209"/>
      <c r="K1345" s="209"/>
      <c r="L1345" s="209"/>
      <c r="M1345" s="209"/>
      <c r="N1345" s="209"/>
      <c r="O1345" s="209"/>
      <c r="P1345" s="209"/>
    </row>
    <row r="1346" spans="3:16" x14ac:dyDescent="0.25">
      <c r="C1346" s="123"/>
      <c r="D1346" s="142"/>
      <c r="E1346" s="142"/>
      <c r="F1346" s="208"/>
      <c r="G1346" s="181"/>
      <c r="H1346" s="209"/>
      <c r="I1346" s="209"/>
      <c r="J1346" s="209"/>
      <c r="K1346" s="209"/>
      <c r="L1346" s="209"/>
      <c r="M1346" s="209"/>
      <c r="N1346" s="209"/>
      <c r="O1346" s="209"/>
      <c r="P1346" s="209"/>
    </row>
    <row r="1347" spans="3:16" x14ac:dyDescent="0.25">
      <c r="C1347" s="123"/>
      <c r="D1347" s="142"/>
      <c r="E1347" s="142"/>
      <c r="F1347" s="208"/>
      <c r="G1347" s="181"/>
      <c r="H1347" s="209"/>
      <c r="I1347" s="209"/>
      <c r="J1347" s="209"/>
      <c r="K1347" s="209"/>
      <c r="L1347" s="209"/>
      <c r="M1347" s="209"/>
      <c r="N1347" s="209"/>
      <c r="O1347" s="209"/>
      <c r="P1347" s="209"/>
    </row>
    <row r="1348" spans="3:16" x14ac:dyDescent="0.25">
      <c r="C1348" s="123"/>
      <c r="D1348" s="142"/>
      <c r="E1348" s="142"/>
      <c r="F1348" s="208"/>
      <c r="G1348" s="181"/>
      <c r="H1348" s="209"/>
      <c r="I1348" s="209"/>
      <c r="J1348" s="209"/>
      <c r="K1348" s="209"/>
      <c r="L1348" s="209"/>
      <c r="M1348" s="209"/>
      <c r="N1348" s="209"/>
      <c r="O1348" s="209"/>
      <c r="P1348" s="209"/>
    </row>
    <row r="1349" spans="3:16" x14ac:dyDescent="0.25">
      <c r="C1349" s="123"/>
      <c r="D1349" s="142"/>
      <c r="E1349" s="142"/>
      <c r="F1349" s="208"/>
      <c r="G1349" s="181"/>
      <c r="H1349" s="209"/>
      <c r="I1349" s="209"/>
      <c r="J1349" s="209"/>
      <c r="K1349" s="209"/>
      <c r="L1349" s="209"/>
      <c r="M1349" s="209"/>
      <c r="N1349" s="209"/>
      <c r="O1349" s="209"/>
      <c r="P1349" s="209"/>
    </row>
    <row r="1350" spans="3:16" x14ac:dyDescent="0.25">
      <c r="C1350" s="123"/>
      <c r="D1350" s="142"/>
      <c r="E1350" s="142"/>
      <c r="F1350" s="208"/>
      <c r="G1350" s="181"/>
      <c r="H1350" s="209"/>
      <c r="I1350" s="209"/>
      <c r="J1350" s="209"/>
      <c r="K1350" s="209"/>
      <c r="L1350" s="209"/>
      <c r="M1350" s="209"/>
      <c r="N1350" s="209"/>
      <c r="O1350" s="209"/>
      <c r="P1350" s="209"/>
    </row>
    <row r="1351" spans="3:16" x14ac:dyDescent="0.25">
      <c r="C1351" s="123"/>
      <c r="D1351" s="142"/>
      <c r="E1351" s="142"/>
      <c r="F1351" s="208"/>
      <c r="G1351" s="181"/>
      <c r="H1351" s="209"/>
      <c r="I1351" s="209"/>
      <c r="J1351" s="209"/>
      <c r="K1351" s="209"/>
      <c r="L1351" s="209"/>
      <c r="M1351" s="209"/>
      <c r="N1351" s="209"/>
      <c r="O1351" s="209"/>
      <c r="P1351" s="209"/>
    </row>
    <row r="1352" spans="3:16" x14ac:dyDescent="0.25">
      <c r="C1352" s="123"/>
      <c r="D1352" s="142"/>
      <c r="E1352" s="142"/>
      <c r="F1352" s="208"/>
      <c r="G1352" s="181"/>
      <c r="H1352" s="209"/>
      <c r="I1352" s="209"/>
      <c r="J1352" s="209"/>
      <c r="K1352" s="209"/>
      <c r="L1352" s="209"/>
      <c r="M1352" s="209"/>
      <c r="N1352" s="209"/>
      <c r="O1352" s="209"/>
      <c r="P1352" s="209"/>
    </row>
    <row r="1353" spans="3:16" x14ac:dyDescent="0.25">
      <c r="C1353" s="123"/>
      <c r="D1353" s="142"/>
      <c r="E1353" s="142"/>
      <c r="F1353" s="208"/>
      <c r="G1353" s="181"/>
      <c r="H1353" s="209"/>
      <c r="I1353" s="209"/>
      <c r="J1353" s="209"/>
      <c r="K1353" s="209"/>
      <c r="L1353" s="209"/>
      <c r="M1353" s="209"/>
      <c r="N1353" s="209"/>
      <c r="O1353" s="209"/>
      <c r="P1353" s="209"/>
    </row>
    <row r="1354" spans="3:16" x14ac:dyDescent="0.25">
      <c r="C1354" s="123"/>
      <c r="D1354" s="142"/>
      <c r="E1354" s="142"/>
      <c r="F1354" s="208"/>
      <c r="G1354" s="181"/>
      <c r="H1354" s="209"/>
      <c r="I1354" s="209"/>
      <c r="J1354" s="209"/>
      <c r="K1354" s="209"/>
      <c r="L1354" s="209"/>
      <c r="M1354" s="209"/>
      <c r="N1354" s="209"/>
      <c r="O1354" s="209"/>
      <c r="P1354" s="209"/>
    </row>
    <row r="1355" spans="3:16" x14ac:dyDescent="0.25">
      <c r="C1355" s="123"/>
      <c r="D1355" s="142"/>
      <c r="E1355" s="142"/>
      <c r="F1355" s="208"/>
      <c r="G1355" s="181"/>
      <c r="H1355" s="209"/>
      <c r="I1355" s="209"/>
      <c r="J1355" s="209"/>
      <c r="K1355" s="209"/>
      <c r="L1355" s="209"/>
      <c r="M1355" s="209"/>
      <c r="N1355" s="209"/>
      <c r="O1355" s="209"/>
      <c r="P1355" s="209"/>
    </row>
    <row r="1356" spans="3:16" x14ac:dyDescent="0.25">
      <c r="C1356" s="123"/>
      <c r="D1356" s="142"/>
      <c r="E1356" s="142"/>
      <c r="F1356" s="208"/>
      <c r="G1356" s="181"/>
      <c r="H1356" s="209"/>
      <c r="I1356" s="209"/>
      <c r="J1356" s="209"/>
      <c r="K1356" s="209"/>
      <c r="L1356" s="209"/>
      <c r="M1356" s="209"/>
      <c r="N1356" s="209"/>
      <c r="O1356" s="209"/>
      <c r="P1356" s="209"/>
    </row>
    <row r="1357" spans="3:16" x14ac:dyDescent="0.25">
      <c r="C1357" s="123"/>
      <c r="D1357" s="142"/>
      <c r="E1357" s="142"/>
      <c r="F1357" s="208"/>
      <c r="G1357" s="181"/>
      <c r="H1357" s="209"/>
      <c r="I1357" s="209"/>
      <c r="J1357" s="209"/>
      <c r="K1357" s="209"/>
      <c r="L1357" s="209"/>
      <c r="M1357" s="209"/>
      <c r="N1357" s="209"/>
      <c r="O1357" s="209"/>
      <c r="P1357" s="209"/>
    </row>
    <row r="1358" spans="3:16" x14ac:dyDescent="0.25">
      <c r="C1358" s="123"/>
      <c r="D1358" s="142"/>
      <c r="E1358" s="142"/>
      <c r="F1358" s="208"/>
      <c r="G1358" s="181"/>
      <c r="H1358" s="209"/>
      <c r="I1358" s="209"/>
      <c r="J1358" s="209"/>
      <c r="K1358" s="209"/>
      <c r="L1358" s="209"/>
      <c r="M1358" s="209"/>
      <c r="N1358" s="209"/>
      <c r="O1358" s="209"/>
      <c r="P1358" s="209"/>
    </row>
    <row r="1359" spans="3:16" x14ac:dyDescent="0.25">
      <c r="C1359" s="123"/>
      <c r="D1359" s="142"/>
      <c r="E1359" s="142"/>
      <c r="F1359" s="208"/>
      <c r="G1359" s="181"/>
      <c r="H1359" s="209"/>
      <c r="I1359" s="209"/>
      <c r="J1359" s="209"/>
      <c r="K1359" s="209"/>
      <c r="L1359" s="209"/>
      <c r="M1359" s="209"/>
      <c r="N1359" s="209"/>
      <c r="O1359" s="209"/>
      <c r="P1359" s="209"/>
    </row>
    <row r="1360" spans="3:16" x14ac:dyDescent="0.25">
      <c r="C1360" s="123"/>
      <c r="D1360" s="142"/>
      <c r="E1360" s="142"/>
      <c r="F1360" s="208"/>
      <c r="G1360" s="181"/>
      <c r="H1360" s="209"/>
      <c r="I1360" s="209"/>
      <c r="J1360" s="209"/>
      <c r="K1360" s="209"/>
      <c r="L1360" s="209"/>
      <c r="M1360" s="209"/>
      <c r="N1360" s="209"/>
      <c r="O1360" s="209"/>
      <c r="P1360" s="209"/>
    </row>
    <row r="1361" spans="3:16" x14ac:dyDescent="0.25">
      <c r="C1361" s="123"/>
      <c r="D1361" s="142"/>
      <c r="E1361" s="142"/>
      <c r="F1361" s="208"/>
      <c r="G1361" s="181"/>
      <c r="H1361" s="209"/>
      <c r="I1361" s="209"/>
      <c r="J1361" s="209"/>
      <c r="K1361" s="209"/>
      <c r="L1361" s="209"/>
      <c r="M1361" s="209"/>
      <c r="N1361" s="209"/>
      <c r="O1361" s="209"/>
      <c r="P1361" s="209"/>
    </row>
    <row r="1362" spans="3:16" x14ac:dyDescent="0.25">
      <c r="C1362" s="123"/>
      <c r="D1362" s="142"/>
      <c r="E1362" s="142"/>
      <c r="F1362" s="208"/>
      <c r="G1362" s="181"/>
      <c r="H1362" s="209"/>
      <c r="I1362" s="209"/>
      <c r="J1362" s="209"/>
      <c r="K1362" s="209"/>
      <c r="L1362" s="209"/>
      <c r="M1362" s="209"/>
      <c r="N1362" s="209"/>
      <c r="O1362" s="209"/>
      <c r="P1362" s="209"/>
    </row>
    <row r="1363" spans="3:16" x14ac:dyDescent="0.25">
      <c r="C1363" s="123"/>
      <c r="D1363" s="142"/>
      <c r="E1363" s="142"/>
      <c r="F1363" s="208"/>
      <c r="G1363" s="181"/>
      <c r="H1363" s="209"/>
      <c r="I1363" s="209"/>
      <c r="J1363" s="209"/>
      <c r="K1363" s="209"/>
      <c r="L1363" s="209"/>
      <c r="M1363" s="209"/>
      <c r="N1363" s="209"/>
      <c r="O1363" s="209"/>
      <c r="P1363" s="209"/>
    </row>
    <row r="1364" spans="3:16" x14ac:dyDescent="0.25">
      <c r="C1364" s="123"/>
      <c r="D1364" s="142"/>
      <c r="E1364" s="142"/>
      <c r="F1364" s="208"/>
      <c r="G1364" s="181"/>
      <c r="H1364" s="209"/>
      <c r="I1364" s="209"/>
      <c r="J1364" s="209"/>
      <c r="K1364" s="209"/>
      <c r="L1364" s="209"/>
      <c r="M1364" s="209"/>
      <c r="N1364" s="209"/>
      <c r="O1364" s="209"/>
      <c r="P1364" s="209"/>
    </row>
    <row r="1365" spans="3:16" x14ac:dyDescent="0.25">
      <c r="C1365" s="123"/>
      <c r="D1365" s="142"/>
      <c r="E1365" s="142"/>
      <c r="F1365" s="208"/>
      <c r="G1365" s="181"/>
      <c r="H1365" s="209"/>
      <c r="I1365" s="209"/>
      <c r="J1365" s="209"/>
      <c r="K1365" s="209"/>
      <c r="L1365" s="209"/>
      <c r="M1365" s="209"/>
      <c r="N1365" s="209"/>
      <c r="O1365" s="209"/>
      <c r="P1365" s="209"/>
    </row>
    <row r="1366" spans="3:16" x14ac:dyDescent="0.25">
      <c r="C1366" s="123"/>
      <c r="D1366" s="142"/>
      <c r="E1366" s="142"/>
      <c r="F1366" s="208"/>
      <c r="G1366" s="181"/>
      <c r="H1366" s="209"/>
      <c r="I1366" s="209"/>
      <c r="J1366" s="209"/>
      <c r="K1366" s="209"/>
      <c r="L1366" s="209"/>
      <c r="M1366" s="209"/>
      <c r="N1366" s="209"/>
      <c r="O1366" s="209"/>
      <c r="P1366" s="209"/>
    </row>
    <row r="1367" spans="3:16" x14ac:dyDescent="0.25">
      <c r="C1367" s="123"/>
      <c r="D1367" s="142"/>
      <c r="E1367" s="142"/>
      <c r="F1367" s="208"/>
      <c r="G1367" s="181"/>
      <c r="H1367" s="209"/>
      <c r="I1367" s="209"/>
      <c r="J1367" s="209"/>
      <c r="K1367" s="209"/>
      <c r="L1367" s="209"/>
      <c r="M1367" s="209"/>
      <c r="N1367" s="209"/>
      <c r="O1367" s="209"/>
      <c r="P1367" s="209"/>
    </row>
    <row r="1368" spans="3:16" x14ac:dyDescent="0.25">
      <c r="C1368" s="123"/>
      <c r="D1368" s="142"/>
      <c r="E1368" s="142"/>
      <c r="F1368" s="208"/>
      <c r="G1368" s="181"/>
      <c r="H1368" s="209"/>
      <c r="I1368" s="209"/>
      <c r="J1368" s="209"/>
      <c r="K1368" s="209"/>
      <c r="L1368" s="209"/>
      <c r="M1368" s="209"/>
      <c r="N1368" s="209"/>
      <c r="O1368" s="209"/>
      <c r="P1368" s="209"/>
    </row>
    <row r="1369" spans="3:16" x14ac:dyDescent="0.25">
      <c r="C1369" s="123"/>
      <c r="D1369" s="142"/>
      <c r="E1369" s="142"/>
      <c r="F1369" s="208"/>
      <c r="G1369" s="181"/>
      <c r="H1369" s="209"/>
      <c r="I1369" s="209"/>
      <c r="J1369" s="209"/>
      <c r="K1369" s="209"/>
      <c r="L1369" s="209"/>
      <c r="M1369" s="209"/>
      <c r="N1369" s="209"/>
      <c r="O1369" s="209"/>
      <c r="P1369" s="209"/>
    </row>
    <row r="1370" spans="3:16" x14ac:dyDescent="0.25">
      <c r="C1370" s="123"/>
      <c r="D1370" s="142"/>
      <c r="E1370" s="142"/>
      <c r="F1370" s="208"/>
      <c r="G1370" s="181"/>
      <c r="H1370" s="209"/>
      <c r="I1370" s="209"/>
      <c r="J1370" s="209"/>
      <c r="K1370" s="209"/>
      <c r="L1370" s="209"/>
      <c r="M1370" s="209"/>
      <c r="N1370" s="209"/>
      <c r="O1370" s="209"/>
      <c r="P1370" s="209"/>
    </row>
    <row r="1371" spans="3:16" x14ac:dyDescent="0.25">
      <c r="C1371" s="123"/>
      <c r="D1371" s="142"/>
      <c r="E1371" s="142"/>
      <c r="F1371" s="208"/>
      <c r="G1371" s="181"/>
      <c r="H1371" s="209"/>
      <c r="I1371" s="209"/>
      <c r="J1371" s="209"/>
      <c r="K1371" s="209"/>
      <c r="L1371" s="209"/>
      <c r="M1371" s="209"/>
      <c r="N1371" s="209"/>
      <c r="O1371" s="209"/>
      <c r="P1371" s="209"/>
    </row>
    <row r="1372" spans="3:16" x14ac:dyDescent="0.25">
      <c r="C1372" s="123"/>
      <c r="D1372" s="142"/>
      <c r="E1372" s="142"/>
      <c r="F1372" s="208"/>
      <c r="G1372" s="181"/>
      <c r="H1372" s="209"/>
      <c r="I1372" s="209"/>
      <c r="J1372" s="209"/>
      <c r="K1372" s="209"/>
      <c r="L1372" s="209"/>
      <c r="M1372" s="209"/>
      <c r="N1372" s="209"/>
      <c r="O1372" s="209"/>
      <c r="P1372" s="209"/>
    </row>
    <row r="1373" spans="3:16" x14ac:dyDescent="0.25">
      <c r="C1373" s="123"/>
      <c r="D1373" s="142"/>
      <c r="E1373" s="142"/>
      <c r="F1373" s="208"/>
      <c r="G1373" s="181"/>
      <c r="H1373" s="209"/>
      <c r="I1373" s="209"/>
      <c r="J1373" s="209"/>
      <c r="K1373" s="209"/>
      <c r="L1373" s="209"/>
      <c r="M1373" s="209"/>
      <c r="N1373" s="209"/>
      <c r="O1373" s="209"/>
      <c r="P1373" s="209"/>
    </row>
    <row r="1374" spans="3:16" x14ac:dyDescent="0.25">
      <c r="C1374" s="123"/>
      <c r="D1374" s="142"/>
      <c r="E1374" s="142"/>
      <c r="F1374" s="208"/>
      <c r="G1374" s="181"/>
      <c r="H1374" s="209"/>
      <c r="I1374" s="209"/>
      <c r="J1374" s="209"/>
      <c r="K1374" s="209"/>
      <c r="L1374" s="209"/>
      <c r="M1374" s="209"/>
      <c r="N1374" s="209"/>
      <c r="O1374" s="209"/>
      <c r="P1374" s="209"/>
    </row>
    <row r="1375" spans="3:16" x14ac:dyDescent="0.25">
      <c r="C1375" s="123"/>
      <c r="D1375" s="142"/>
      <c r="E1375" s="142"/>
      <c r="F1375" s="208"/>
      <c r="G1375" s="181"/>
      <c r="H1375" s="209"/>
      <c r="I1375" s="209"/>
      <c r="J1375" s="209"/>
      <c r="K1375" s="209"/>
      <c r="L1375" s="209"/>
      <c r="M1375" s="209"/>
      <c r="N1375" s="209"/>
      <c r="O1375" s="209"/>
      <c r="P1375" s="209"/>
    </row>
    <row r="1376" spans="3:16" x14ac:dyDescent="0.25">
      <c r="C1376" s="123"/>
      <c r="D1376" s="142"/>
      <c r="E1376" s="142"/>
      <c r="F1376" s="208"/>
      <c r="G1376" s="181"/>
      <c r="H1376" s="209"/>
      <c r="I1376" s="209"/>
      <c r="J1376" s="209"/>
      <c r="K1376" s="209"/>
      <c r="L1376" s="209"/>
      <c r="M1376" s="209"/>
      <c r="N1376" s="209"/>
      <c r="O1376" s="209"/>
      <c r="P1376" s="209"/>
    </row>
    <row r="1377" spans="3:16" x14ac:dyDescent="0.25">
      <c r="C1377" s="123"/>
      <c r="D1377" s="142"/>
      <c r="E1377" s="142"/>
      <c r="F1377" s="208"/>
      <c r="G1377" s="181"/>
      <c r="H1377" s="209"/>
      <c r="I1377" s="209"/>
      <c r="J1377" s="209"/>
      <c r="K1377" s="209"/>
      <c r="L1377" s="209"/>
      <c r="M1377" s="209"/>
      <c r="N1377" s="209"/>
      <c r="O1377" s="209"/>
      <c r="P1377" s="209"/>
    </row>
    <row r="1378" spans="3:16" x14ac:dyDescent="0.25">
      <c r="C1378" s="123"/>
      <c r="D1378" s="142"/>
      <c r="E1378" s="142"/>
      <c r="F1378" s="208"/>
      <c r="G1378" s="181"/>
      <c r="H1378" s="209"/>
      <c r="I1378" s="209"/>
      <c r="J1378" s="209"/>
      <c r="K1378" s="209"/>
      <c r="L1378" s="209"/>
      <c r="M1378" s="209"/>
      <c r="N1378" s="209"/>
      <c r="O1378" s="209"/>
      <c r="P1378" s="209"/>
    </row>
    <row r="1379" spans="3:16" x14ac:dyDescent="0.25">
      <c r="C1379" s="123"/>
      <c r="D1379" s="142"/>
      <c r="E1379" s="142"/>
      <c r="F1379" s="208"/>
      <c r="G1379" s="181"/>
      <c r="H1379" s="209"/>
      <c r="I1379" s="209"/>
      <c r="J1379" s="209"/>
      <c r="K1379" s="209"/>
      <c r="L1379" s="209"/>
      <c r="M1379" s="209"/>
      <c r="N1379" s="209"/>
      <c r="O1379" s="209"/>
      <c r="P1379" s="209"/>
    </row>
    <row r="1380" spans="3:16" x14ac:dyDescent="0.25">
      <c r="C1380" s="123"/>
      <c r="D1380" s="142"/>
      <c r="E1380" s="142"/>
      <c r="F1380" s="208"/>
      <c r="G1380" s="181"/>
      <c r="H1380" s="209"/>
      <c r="I1380" s="209"/>
      <c r="J1380" s="209"/>
      <c r="K1380" s="209"/>
      <c r="L1380" s="209"/>
      <c r="M1380" s="209"/>
      <c r="N1380" s="209"/>
      <c r="O1380" s="209"/>
      <c r="P1380" s="209"/>
    </row>
    <row r="1381" spans="3:16" x14ac:dyDescent="0.25">
      <c r="C1381" s="123"/>
      <c r="D1381" s="142"/>
      <c r="E1381" s="142"/>
      <c r="F1381" s="208"/>
      <c r="G1381" s="181"/>
      <c r="H1381" s="209"/>
      <c r="I1381" s="209"/>
      <c r="J1381" s="209"/>
      <c r="K1381" s="209"/>
      <c r="L1381" s="209"/>
      <c r="M1381" s="209"/>
      <c r="N1381" s="209"/>
      <c r="O1381" s="209"/>
      <c r="P1381" s="209"/>
    </row>
    <row r="1382" spans="3:16" x14ac:dyDescent="0.25">
      <c r="C1382" s="123"/>
      <c r="D1382" s="142"/>
      <c r="E1382" s="142"/>
      <c r="F1382" s="208"/>
      <c r="G1382" s="181"/>
      <c r="H1382" s="209"/>
      <c r="I1382" s="209"/>
      <c r="J1382" s="209"/>
      <c r="K1382" s="209"/>
      <c r="L1382" s="209"/>
      <c r="M1382" s="209"/>
      <c r="N1382" s="209"/>
      <c r="O1382" s="209"/>
      <c r="P1382" s="209"/>
    </row>
    <row r="1383" spans="3:16" x14ac:dyDescent="0.25">
      <c r="C1383" s="123"/>
      <c r="D1383" s="142"/>
      <c r="E1383" s="142"/>
      <c r="F1383" s="208"/>
      <c r="G1383" s="181"/>
      <c r="H1383" s="209"/>
      <c r="I1383" s="209"/>
      <c r="J1383" s="209"/>
      <c r="K1383" s="209"/>
      <c r="L1383" s="209"/>
      <c r="M1383" s="209"/>
      <c r="N1383" s="209"/>
      <c r="O1383" s="209"/>
      <c r="P1383" s="209"/>
    </row>
    <row r="1384" spans="3:16" x14ac:dyDescent="0.25">
      <c r="C1384" s="123"/>
      <c r="D1384" s="142"/>
      <c r="E1384" s="142"/>
      <c r="F1384" s="208"/>
      <c r="G1384" s="181"/>
      <c r="H1384" s="209"/>
      <c r="I1384" s="209"/>
      <c r="J1384" s="209"/>
      <c r="K1384" s="209"/>
      <c r="L1384" s="209"/>
      <c r="M1384" s="209"/>
      <c r="N1384" s="209"/>
      <c r="O1384" s="209"/>
      <c r="P1384" s="209"/>
    </row>
    <row r="1385" spans="3:16" x14ac:dyDescent="0.25">
      <c r="C1385" s="123"/>
      <c r="D1385" s="142"/>
      <c r="E1385" s="142"/>
      <c r="F1385" s="208"/>
      <c r="G1385" s="181"/>
      <c r="H1385" s="209"/>
      <c r="I1385" s="209"/>
      <c r="J1385" s="209"/>
      <c r="K1385" s="209"/>
      <c r="L1385" s="209"/>
      <c r="M1385" s="209"/>
      <c r="N1385" s="209"/>
      <c r="O1385" s="209"/>
      <c r="P1385" s="209"/>
    </row>
    <row r="1386" spans="3:16" x14ac:dyDescent="0.25">
      <c r="C1386" s="123"/>
      <c r="D1386" s="142"/>
      <c r="E1386" s="142"/>
      <c r="F1386" s="208"/>
      <c r="G1386" s="181"/>
      <c r="H1386" s="209"/>
      <c r="I1386" s="209"/>
      <c r="J1386" s="209"/>
      <c r="K1386" s="209"/>
      <c r="L1386" s="209"/>
      <c r="M1386" s="209"/>
      <c r="N1386" s="209"/>
      <c r="O1386" s="209"/>
      <c r="P1386" s="209"/>
    </row>
    <row r="1387" spans="3:16" x14ac:dyDescent="0.25">
      <c r="C1387" s="123"/>
      <c r="D1387" s="142"/>
      <c r="E1387" s="142"/>
      <c r="F1387" s="208"/>
      <c r="G1387" s="181"/>
      <c r="H1387" s="209"/>
      <c r="I1387" s="209"/>
      <c r="J1387" s="209"/>
      <c r="K1387" s="209"/>
      <c r="L1387" s="209"/>
      <c r="M1387" s="209"/>
      <c r="N1387" s="209"/>
      <c r="O1387" s="209"/>
      <c r="P1387" s="209"/>
    </row>
    <row r="1388" spans="3:16" x14ac:dyDescent="0.25">
      <c r="C1388" s="123"/>
      <c r="D1388" s="142"/>
      <c r="E1388" s="142"/>
      <c r="F1388" s="208"/>
      <c r="G1388" s="181"/>
      <c r="H1388" s="209"/>
      <c r="I1388" s="209"/>
      <c r="J1388" s="209"/>
      <c r="K1388" s="209"/>
      <c r="L1388" s="209"/>
      <c r="M1388" s="209"/>
      <c r="N1388" s="209"/>
      <c r="O1388" s="209"/>
      <c r="P1388" s="209"/>
    </row>
    <row r="1389" spans="3:16" x14ac:dyDescent="0.25">
      <c r="C1389" s="123"/>
      <c r="D1389" s="142"/>
      <c r="E1389" s="142"/>
      <c r="F1389" s="208"/>
      <c r="G1389" s="181"/>
      <c r="H1389" s="209"/>
      <c r="I1389" s="209"/>
      <c r="J1389" s="209"/>
      <c r="K1389" s="209"/>
      <c r="L1389" s="209"/>
      <c r="M1389" s="209"/>
      <c r="N1389" s="209"/>
      <c r="O1389" s="209"/>
      <c r="P1389" s="209"/>
    </row>
    <row r="1390" spans="3:16" x14ac:dyDescent="0.25">
      <c r="C1390" s="123"/>
      <c r="D1390" s="142"/>
      <c r="E1390" s="142"/>
      <c r="F1390" s="208"/>
      <c r="G1390" s="181"/>
      <c r="H1390" s="209"/>
      <c r="I1390" s="209"/>
      <c r="J1390" s="209"/>
      <c r="K1390" s="209"/>
      <c r="L1390" s="209"/>
      <c r="M1390" s="209"/>
      <c r="N1390" s="209"/>
      <c r="O1390" s="209"/>
      <c r="P1390" s="209"/>
    </row>
    <row r="1391" spans="3:16" x14ac:dyDescent="0.25">
      <c r="C1391" s="123"/>
      <c r="D1391" s="142"/>
      <c r="E1391" s="142"/>
      <c r="F1391" s="208"/>
      <c r="G1391" s="181"/>
      <c r="H1391" s="209"/>
      <c r="I1391" s="209"/>
      <c r="J1391" s="209"/>
      <c r="K1391" s="209"/>
      <c r="L1391" s="209"/>
      <c r="M1391" s="209"/>
      <c r="N1391" s="209"/>
      <c r="O1391" s="209"/>
      <c r="P1391" s="209"/>
    </row>
    <row r="1392" spans="3:16" x14ac:dyDescent="0.25">
      <c r="C1392" s="123"/>
      <c r="D1392" s="142"/>
      <c r="E1392" s="142"/>
      <c r="F1392" s="208"/>
      <c r="G1392" s="181"/>
      <c r="H1392" s="209"/>
      <c r="I1392" s="209"/>
      <c r="J1392" s="209"/>
      <c r="K1392" s="209"/>
      <c r="L1392" s="209"/>
      <c r="M1392" s="209"/>
      <c r="N1392" s="209"/>
      <c r="O1392" s="209"/>
      <c r="P1392" s="209"/>
    </row>
    <row r="1393" spans="3:16" x14ac:dyDescent="0.25">
      <c r="C1393" s="123"/>
      <c r="D1393" s="142"/>
      <c r="E1393" s="142"/>
      <c r="F1393" s="208"/>
      <c r="G1393" s="181"/>
      <c r="H1393" s="209"/>
      <c r="I1393" s="209"/>
      <c r="J1393" s="209"/>
      <c r="K1393" s="209"/>
      <c r="L1393" s="209"/>
      <c r="M1393" s="209"/>
      <c r="N1393" s="209"/>
      <c r="O1393" s="209"/>
      <c r="P1393" s="209"/>
    </row>
    <row r="1394" spans="3:16" x14ac:dyDescent="0.25">
      <c r="C1394" s="123"/>
      <c r="D1394" s="142"/>
      <c r="E1394" s="142"/>
      <c r="F1394" s="208"/>
      <c r="G1394" s="181"/>
      <c r="H1394" s="209"/>
      <c r="I1394" s="209"/>
      <c r="J1394" s="209"/>
      <c r="K1394" s="209"/>
      <c r="L1394" s="209"/>
      <c r="M1394" s="209"/>
      <c r="N1394" s="209"/>
      <c r="O1394" s="209"/>
      <c r="P1394" s="209"/>
    </row>
    <row r="1395" spans="3:16" x14ac:dyDescent="0.25">
      <c r="C1395" s="123"/>
      <c r="D1395" s="142"/>
      <c r="E1395" s="142"/>
      <c r="F1395" s="208"/>
      <c r="G1395" s="181"/>
      <c r="H1395" s="209"/>
      <c r="I1395" s="209"/>
      <c r="J1395" s="209"/>
      <c r="K1395" s="209"/>
      <c r="L1395" s="209"/>
      <c r="M1395" s="209"/>
      <c r="N1395" s="209"/>
      <c r="O1395" s="209"/>
      <c r="P1395" s="209"/>
    </row>
    <row r="1396" spans="3:16" x14ac:dyDescent="0.25">
      <c r="C1396" s="123"/>
      <c r="D1396" s="142"/>
      <c r="E1396" s="142"/>
      <c r="F1396" s="208"/>
      <c r="G1396" s="181"/>
      <c r="H1396" s="209"/>
      <c r="I1396" s="209"/>
      <c r="J1396" s="209"/>
      <c r="K1396" s="209"/>
      <c r="L1396" s="209"/>
      <c r="M1396" s="209"/>
      <c r="N1396" s="209"/>
      <c r="O1396" s="209"/>
      <c r="P1396" s="209"/>
    </row>
    <row r="1397" spans="3:16" x14ac:dyDescent="0.25">
      <c r="C1397" s="123"/>
      <c r="D1397" s="142"/>
      <c r="E1397" s="142"/>
      <c r="F1397" s="208"/>
      <c r="G1397" s="181"/>
      <c r="H1397" s="209"/>
      <c r="I1397" s="209"/>
      <c r="J1397" s="209"/>
      <c r="K1397" s="209"/>
      <c r="L1397" s="209"/>
      <c r="M1397" s="209"/>
      <c r="N1397" s="209"/>
      <c r="O1397" s="209"/>
      <c r="P1397" s="209"/>
    </row>
    <row r="1398" spans="3:16" x14ac:dyDescent="0.25">
      <c r="C1398" s="123"/>
      <c r="D1398" s="142"/>
      <c r="E1398" s="142"/>
      <c r="F1398" s="208"/>
      <c r="G1398" s="181"/>
      <c r="H1398" s="209"/>
      <c r="I1398" s="209"/>
      <c r="J1398" s="209"/>
      <c r="K1398" s="209"/>
      <c r="L1398" s="209"/>
      <c r="M1398" s="209"/>
      <c r="N1398" s="209"/>
      <c r="O1398" s="209"/>
      <c r="P1398" s="209"/>
    </row>
    <row r="1399" spans="3:16" x14ac:dyDescent="0.25">
      <c r="C1399" s="123"/>
      <c r="D1399" s="142"/>
      <c r="E1399" s="142"/>
      <c r="F1399" s="208"/>
      <c r="G1399" s="181"/>
      <c r="H1399" s="209"/>
      <c r="I1399" s="209"/>
      <c r="J1399" s="209"/>
      <c r="K1399" s="209"/>
      <c r="L1399" s="209"/>
      <c r="M1399" s="209"/>
      <c r="N1399" s="209"/>
      <c r="O1399" s="209"/>
      <c r="P1399" s="209"/>
    </row>
    <row r="1400" spans="3:16" x14ac:dyDescent="0.25">
      <c r="C1400" s="123"/>
      <c r="D1400" s="142"/>
      <c r="E1400" s="142"/>
      <c r="F1400" s="208"/>
      <c r="G1400" s="181"/>
      <c r="H1400" s="209"/>
      <c r="I1400" s="209"/>
      <c r="J1400" s="209"/>
      <c r="K1400" s="209"/>
      <c r="L1400" s="209"/>
      <c r="M1400" s="209"/>
      <c r="N1400" s="209"/>
      <c r="O1400" s="209"/>
      <c r="P1400" s="209"/>
    </row>
    <row r="1401" spans="3:16" x14ac:dyDescent="0.25">
      <c r="C1401" s="123"/>
      <c r="D1401" s="142"/>
      <c r="E1401" s="142"/>
      <c r="F1401" s="208"/>
      <c r="G1401" s="181"/>
      <c r="H1401" s="209"/>
      <c r="I1401" s="209"/>
      <c r="J1401" s="209"/>
      <c r="K1401" s="209"/>
      <c r="L1401" s="209"/>
      <c r="M1401" s="209"/>
      <c r="N1401" s="209"/>
      <c r="O1401" s="209"/>
      <c r="P1401" s="209"/>
    </row>
    <row r="1402" spans="3:16" x14ac:dyDescent="0.25">
      <c r="C1402" s="123"/>
      <c r="D1402" s="142"/>
      <c r="E1402" s="142"/>
      <c r="F1402" s="208"/>
      <c r="G1402" s="181"/>
      <c r="H1402" s="209"/>
      <c r="I1402" s="209"/>
      <c r="J1402" s="209"/>
      <c r="K1402" s="209"/>
      <c r="L1402" s="209"/>
      <c r="M1402" s="209"/>
      <c r="N1402" s="209"/>
      <c r="O1402" s="209"/>
      <c r="P1402" s="209"/>
    </row>
    <row r="1403" spans="3:16" x14ac:dyDescent="0.25">
      <c r="C1403" s="123"/>
      <c r="D1403" s="142"/>
      <c r="E1403" s="142"/>
      <c r="F1403" s="208"/>
      <c r="G1403" s="181"/>
      <c r="H1403" s="209"/>
      <c r="I1403" s="209"/>
      <c r="J1403" s="209"/>
      <c r="K1403" s="209"/>
      <c r="L1403" s="209"/>
      <c r="M1403" s="209"/>
      <c r="N1403" s="209"/>
      <c r="O1403" s="209"/>
      <c r="P1403" s="209"/>
    </row>
    <row r="1404" spans="3:16" x14ac:dyDescent="0.25">
      <c r="C1404" s="123"/>
      <c r="D1404" s="142"/>
      <c r="E1404" s="142"/>
      <c r="F1404" s="208"/>
      <c r="G1404" s="181"/>
      <c r="H1404" s="209"/>
      <c r="I1404" s="209"/>
      <c r="J1404" s="209"/>
      <c r="K1404" s="209"/>
      <c r="L1404" s="209"/>
      <c r="M1404" s="209"/>
      <c r="N1404" s="209"/>
      <c r="O1404" s="209"/>
      <c r="P1404" s="209"/>
    </row>
    <row r="1405" spans="3:16" x14ac:dyDescent="0.25">
      <c r="C1405" s="123"/>
      <c r="D1405" s="142"/>
      <c r="E1405" s="142"/>
      <c r="F1405" s="208"/>
      <c r="G1405" s="181"/>
      <c r="H1405" s="209"/>
      <c r="I1405" s="209"/>
      <c r="J1405" s="209"/>
      <c r="K1405" s="209"/>
      <c r="L1405" s="209"/>
      <c r="M1405" s="209"/>
      <c r="N1405" s="209"/>
      <c r="O1405" s="209"/>
      <c r="P1405" s="209"/>
    </row>
    <row r="1406" spans="3:16" x14ac:dyDescent="0.25">
      <c r="C1406" s="123"/>
      <c r="D1406" s="142"/>
      <c r="E1406" s="142"/>
      <c r="F1406" s="208"/>
      <c r="G1406" s="181"/>
      <c r="H1406" s="209"/>
      <c r="I1406" s="209"/>
      <c r="J1406" s="209"/>
      <c r="K1406" s="209"/>
      <c r="L1406" s="209"/>
      <c r="M1406" s="209"/>
      <c r="N1406" s="209"/>
      <c r="O1406" s="209"/>
      <c r="P1406" s="209"/>
    </row>
    <row r="1407" spans="3:16" x14ac:dyDescent="0.25">
      <c r="C1407" s="123"/>
      <c r="D1407" s="142"/>
      <c r="E1407" s="142"/>
      <c r="F1407" s="208"/>
      <c r="G1407" s="181"/>
      <c r="H1407" s="209"/>
      <c r="I1407" s="209"/>
      <c r="J1407" s="209"/>
      <c r="K1407" s="209"/>
      <c r="L1407" s="209"/>
      <c r="M1407" s="209"/>
      <c r="N1407" s="209"/>
      <c r="O1407" s="209"/>
      <c r="P1407" s="209"/>
    </row>
    <row r="1408" spans="3:16" x14ac:dyDescent="0.25">
      <c r="C1408" s="123"/>
      <c r="D1408" s="142"/>
      <c r="E1408" s="142"/>
      <c r="F1408" s="208"/>
      <c r="G1408" s="181"/>
      <c r="H1408" s="209"/>
      <c r="I1408" s="209"/>
      <c r="J1408" s="209"/>
      <c r="K1408" s="209"/>
      <c r="L1408" s="209"/>
      <c r="M1408" s="209"/>
      <c r="N1408" s="209"/>
      <c r="O1408" s="209"/>
      <c r="P1408" s="209"/>
    </row>
    <row r="1409" spans="3:16" x14ac:dyDescent="0.25">
      <c r="C1409" s="123"/>
      <c r="D1409" s="142"/>
      <c r="E1409" s="142"/>
      <c r="F1409" s="208"/>
      <c r="G1409" s="181"/>
      <c r="H1409" s="209"/>
      <c r="I1409" s="209"/>
      <c r="J1409" s="209"/>
      <c r="K1409" s="209"/>
      <c r="L1409" s="209"/>
      <c r="M1409" s="209"/>
      <c r="N1409" s="209"/>
      <c r="O1409" s="209"/>
      <c r="P1409" s="209"/>
    </row>
    <row r="1410" spans="3:16" x14ac:dyDescent="0.25">
      <c r="C1410" s="123"/>
      <c r="D1410" s="142"/>
      <c r="E1410" s="142"/>
      <c r="F1410" s="208"/>
      <c r="G1410" s="181"/>
      <c r="H1410" s="209"/>
      <c r="I1410" s="209"/>
      <c r="J1410" s="209"/>
      <c r="K1410" s="209"/>
      <c r="L1410" s="209"/>
      <c r="M1410" s="209"/>
      <c r="N1410" s="209"/>
      <c r="O1410" s="209"/>
      <c r="P1410" s="209"/>
    </row>
    <row r="1411" spans="3:16" x14ac:dyDescent="0.25">
      <c r="C1411" s="123"/>
      <c r="D1411" s="142"/>
      <c r="E1411" s="142"/>
      <c r="F1411" s="208"/>
      <c r="G1411" s="181"/>
      <c r="H1411" s="209"/>
      <c r="I1411" s="209"/>
      <c r="J1411" s="209"/>
      <c r="K1411" s="209"/>
      <c r="L1411" s="209"/>
      <c r="M1411" s="209"/>
      <c r="N1411" s="209"/>
      <c r="O1411" s="209"/>
      <c r="P1411" s="209"/>
    </row>
    <row r="1412" spans="3:16" x14ac:dyDescent="0.25">
      <c r="C1412" s="123"/>
      <c r="D1412" s="142"/>
      <c r="E1412" s="142"/>
      <c r="F1412" s="208"/>
      <c r="G1412" s="181"/>
      <c r="H1412" s="209"/>
      <c r="I1412" s="209"/>
      <c r="J1412" s="209"/>
      <c r="K1412" s="209"/>
      <c r="L1412" s="209"/>
      <c r="M1412" s="209"/>
      <c r="N1412" s="209"/>
      <c r="O1412" s="209"/>
      <c r="P1412" s="209"/>
    </row>
    <row r="1413" spans="3:16" x14ac:dyDescent="0.25">
      <c r="C1413" s="123"/>
      <c r="D1413" s="142"/>
      <c r="E1413" s="142"/>
      <c r="F1413" s="208"/>
      <c r="G1413" s="181"/>
      <c r="H1413" s="209"/>
      <c r="I1413" s="209"/>
      <c r="J1413" s="209"/>
      <c r="K1413" s="209"/>
      <c r="L1413" s="209"/>
      <c r="M1413" s="209"/>
      <c r="N1413" s="209"/>
      <c r="O1413" s="209"/>
      <c r="P1413" s="209"/>
    </row>
    <row r="1414" spans="3:16" x14ac:dyDescent="0.25">
      <c r="C1414" s="123"/>
      <c r="D1414" s="142"/>
      <c r="E1414" s="142"/>
      <c r="F1414" s="208"/>
      <c r="G1414" s="181"/>
      <c r="H1414" s="209"/>
      <c r="I1414" s="209"/>
      <c r="J1414" s="209"/>
      <c r="K1414" s="209"/>
      <c r="L1414" s="209"/>
      <c r="M1414" s="209"/>
      <c r="N1414" s="209"/>
      <c r="O1414" s="209"/>
      <c r="P1414" s="209"/>
    </row>
    <row r="1415" spans="3:16" x14ac:dyDescent="0.25">
      <c r="C1415" s="123"/>
      <c r="D1415" s="142"/>
      <c r="E1415" s="142"/>
      <c r="F1415" s="208"/>
      <c r="G1415" s="181"/>
      <c r="H1415" s="209"/>
      <c r="I1415" s="209"/>
      <c r="J1415" s="209"/>
      <c r="K1415" s="209"/>
      <c r="L1415" s="209"/>
      <c r="M1415" s="209"/>
      <c r="N1415" s="209"/>
      <c r="O1415" s="209"/>
      <c r="P1415" s="209"/>
    </row>
    <row r="1416" spans="3:16" x14ac:dyDescent="0.25">
      <c r="C1416" s="123"/>
      <c r="D1416" s="142"/>
      <c r="E1416" s="142"/>
      <c r="F1416" s="208"/>
      <c r="G1416" s="181"/>
      <c r="H1416" s="209"/>
      <c r="I1416" s="209"/>
      <c r="J1416" s="209"/>
      <c r="K1416" s="209"/>
      <c r="L1416" s="209"/>
      <c r="M1416" s="209"/>
      <c r="N1416" s="209"/>
      <c r="O1416" s="209"/>
      <c r="P1416" s="209"/>
    </row>
    <row r="1417" spans="3:16" x14ac:dyDescent="0.25">
      <c r="C1417" s="123"/>
      <c r="D1417" s="142"/>
      <c r="E1417" s="142"/>
      <c r="F1417" s="208"/>
      <c r="G1417" s="181"/>
      <c r="H1417" s="209"/>
      <c r="I1417" s="209"/>
      <c r="J1417" s="209"/>
      <c r="K1417" s="209"/>
      <c r="L1417" s="209"/>
      <c r="M1417" s="209"/>
      <c r="N1417" s="209"/>
      <c r="O1417" s="209"/>
      <c r="P1417" s="209"/>
    </row>
    <row r="1418" spans="3:16" x14ac:dyDescent="0.25">
      <c r="C1418" s="123"/>
      <c r="D1418" s="142"/>
      <c r="E1418" s="142"/>
      <c r="F1418" s="208"/>
      <c r="G1418" s="181"/>
      <c r="H1418" s="209"/>
      <c r="I1418" s="209"/>
      <c r="J1418" s="209"/>
      <c r="K1418" s="209"/>
      <c r="L1418" s="209"/>
      <c r="M1418" s="209"/>
      <c r="N1418" s="209"/>
      <c r="O1418" s="209"/>
      <c r="P1418" s="209"/>
    </row>
    <row r="1419" spans="3:16" x14ac:dyDescent="0.25">
      <c r="C1419" s="123"/>
      <c r="D1419" s="142"/>
      <c r="E1419" s="142"/>
      <c r="F1419" s="208"/>
      <c r="G1419" s="181"/>
      <c r="H1419" s="209"/>
      <c r="I1419" s="209"/>
      <c r="J1419" s="209"/>
      <c r="K1419" s="209"/>
      <c r="L1419" s="209"/>
      <c r="M1419" s="209"/>
      <c r="N1419" s="209"/>
      <c r="O1419" s="209"/>
      <c r="P1419" s="209"/>
    </row>
    <row r="1420" spans="3:16" x14ac:dyDescent="0.25">
      <c r="C1420" s="123"/>
      <c r="D1420" s="142"/>
      <c r="E1420" s="142"/>
      <c r="F1420" s="208"/>
      <c r="G1420" s="181"/>
      <c r="H1420" s="209"/>
      <c r="I1420" s="209"/>
      <c r="J1420" s="209"/>
      <c r="K1420" s="209"/>
      <c r="L1420" s="209"/>
      <c r="M1420" s="209"/>
      <c r="N1420" s="209"/>
      <c r="O1420" s="209"/>
      <c r="P1420" s="209"/>
    </row>
    <row r="1421" spans="3:16" x14ac:dyDescent="0.25">
      <c r="C1421" s="123"/>
      <c r="D1421" s="142"/>
      <c r="E1421" s="142"/>
      <c r="F1421" s="208"/>
      <c r="G1421" s="181"/>
      <c r="H1421" s="209"/>
      <c r="I1421" s="209"/>
      <c r="J1421" s="209"/>
      <c r="K1421" s="209"/>
      <c r="L1421" s="209"/>
      <c r="M1421" s="209"/>
      <c r="N1421" s="209"/>
      <c r="O1421" s="209"/>
      <c r="P1421" s="209"/>
    </row>
    <row r="1422" spans="3:16" x14ac:dyDescent="0.25">
      <c r="C1422" s="123"/>
      <c r="D1422" s="142"/>
      <c r="E1422" s="142"/>
      <c r="F1422" s="208"/>
      <c r="G1422" s="181"/>
      <c r="H1422" s="209"/>
      <c r="I1422" s="209"/>
      <c r="J1422" s="209"/>
      <c r="K1422" s="209"/>
      <c r="L1422" s="209"/>
      <c r="M1422" s="209"/>
      <c r="N1422" s="209"/>
      <c r="O1422" s="209"/>
      <c r="P1422" s="209"/>
    </row>
    <row r="1423" spans="3:16" x14ac:dyDescent="0.25">
      <c r="C1423" s="123"/>
      <c r="D1423" s="142"/>
      <c r="E1423" s="142"/>
      <c r="F1423" s="208"/>
      <c r="G1423" s="181"/>
      <c r="H1423" s="209"/>
      <c r="I1423" s="209"/>
      <c r="J1423" s="209"/>
      <c r="K1423" s="209"/>
      <c r="L1423" s="209"/>
      <c r="M1423" s="209"/>
      <c r="N1423" s="209"/>
      <c r="O1423" s="209"/>
      <c r="P1423" s="209"/>
    </row>
    <row r="1424" spans="3:16" x14ac:dyDescent="0.25">
      <c r="C1424" s="123"/>
      <c r="D1424" s="142"/>
      <c r="E1424" s="142"/>
      <c r="F1424" s="208"/>
      <c r="G1424" s="181"/>
      <c r="H1424" s="209"/>
      <c r="I1424" s="209"/>
      <c r="J1424" s="209"/>
      <c r="K1424" s="209"/>
      <c r="L1424" s="209"/>
      <c r="M1424" s="209"/>
      <c r="N1424" s="209"/>
      <c r="O1424" s="209"/>
      <c r="P1424" s="209"/>
    </row>
    <row r="1425" spans="3:16" x14ac:dyDescent="0.25">
      <c r="C1425" s="123"/>
      <c r="D1425" s="142"/>
      <c r="E1425" s="142"/>
      <c r="F1425" s="208"/>
      <c r="G1425" s="181"/>
      <c r="H1425" s="209"/>
      <c r="I1425" s="209"/>
      <c r="J1425" s="209"/>
      <c r="K1425" s="209"/>
      <c r="L1425" s="209"/>
      <c r="M1425" s="209"/>
      <c r="N1425" s="209"/>
      <c r="O1425" s="209"/>
      <c r="P1425" s="209"/>
    </row>
    <row r="1426" spans="3:16" x14ac:dyDescent="0.25">
      <c r="C1426" s="123"/>
      <c r="D1426" s="142"/>
      <c r="E1426" s="142"/>
      <c r="F1426" s="208"/>
      <c r="G1426" s="181"/>
      <c r="H1426" s="209"/>
      <c r="I1426" s="209"/>
      <c r="J1426" s="209"/>
      <c r="K1426" s="209"/>
      <c r="L1426" s="209"/>
      <c r="M1426" s="209"/>
      <c r="N1426" s="209"/>
      <c r="O1426" s="209"/>
      <c r="P1426" s="209"/>
    </row>
    <row r="1427" spans="3:16" x14ac:dyDescent="0.25">
      <c r="C1427" s="123"/>
      <c r="D1427" s="142"/>
      <c r="E1427" s="142"/>
      <c r="F1427" s="208"/>
      <c r="G1427" s="181"/>
      <c r="H1427" s="209"/>
      <c r="I1427" s="209"/>
      <c r="J1427" s="209"/>
      <c r="K1427" s="209"/>
      <c r="L1427" s="209"/>
      <c r="M1427" s="209"/>
      <c r="N1427" s="209"/>
      <c r="O1427" s="209"/>
      <c r="P1427" s="209"/>
    </row>
    <row r="1428" spans="3:16" x14ac:dyDescent="0.25">
      <c r="C1428" s="123"/>
      <c r="D1428" s="142"/>
      <c r="E1428" s="142"/>
      <c r="F1428" s="208"/>
      <c r="G1428" s="181"/>
      <c r="H1428" s="209"/>
      <c r="I1428" s="209"/>
      <c r="J1428" s="209"/>
      <c r="K1428" s="209"/>
      <c r="L1428" s="209"/>
      <c r="M1428" s="209"/>
      <c r="N1428" s="209"/>
      <c r="O1428" s="209"/>
      <c r="P1428" s="209"/>
    </row>
    <row r="1429" spans="3:16" x14ac:dyDescent="0.25">
      <c r="C1429" s="123"/>
      <c r="D1429" s="142"/>
      <c r="E1429" s="142"/>
      <c r="F1429" s="208"/>
      <c r="G1429" s="181"/>
      <c r="H1429" s="209"/>
      <c r="I1429" s="209"/>
      <c r="J1429" s="209"/>
      <c r="K1429" s="209"/>
      <c r="L1429" s="209"/>
      <c r="M1429" s="209"/>
      <c r="N1429" s="209"/>
      <c r="O1429" s="209"/>
      <c r="P1429" s="209"/>
    </row>
    <row r="1430" spans="3:16" x14ac:dyDescent="0.25">
      <c r="C1430" s="123"/>
      <c r="D1430" s="142"/>
      <c r="E1430" s="142"/>
      <c r="F1430" s="208"/>
      <c r="G1430" s="181"/>
      <c r="H1430" s="209"/>
      <c r="I1430" s="209"/>
      <c r="J1430" s="209"/>
      <c r="K1430" s="209"/>
      <c r="L1430" s="209"/>
      <c r="M1430" s="209"/>
      <c r="N1430" s="209"/>
      <c r="O1430" s="209"/>
      <c r="P1430" s="209"/>
    </row>
    <row r="1431" spans="3:16" x14ac:dyDescent="0.25">
      <c r="C1431" s="123"/>
      <c r="D1431" s="142"/>
      <c r="E1431" s="142"/>
      <c r="F1431" s="208"/>
      <c r="G1431" s="181"/>
      <c r="H1431" s="209"/>
      <c r="I1431" s="209"/>
      <c r="J1431" s="209"/>
      <c r="K1431" s="209"/>
      <c r="L1431" s="209"/>
      <c r="M1431" s="209"/>
      <c r="N1431" s="209"/>
      <c r="O1431" s="209"/>
      <c r="P1431" s="209"/>
    </row>
    <row r="1432" spans="3:16" x14ac:dyDescent="0.25">
      <c r="C1432" s="123"/>
      <c r="D1432" s="142"/>
      <c r="E1432" s="142"/>
      <c r="F1432" s="208"/>
      <c r="G1432" s="181"/>
      <c r="H1432" s="209"/>
      <c r="I1432" s="209"/>
      <c r="J1432" s="209"/>
      <c r="K1432" s="209"/>
      <c r="L1432" s="209"/>
      <c r="M1432" s="209"/>
      <c r="N1432" s="209"/>
      <c r="O1432" s="209"/>
      <c r="P1432" s="209"/>
    </row>
    <row r="1433" spans="3:16" x14ac:dyDescent="0.25">
      <c r="C1433" s="123"/>
      <c r="D1433" s="142"/>
      <c r="E1433" s="142"/>
      <c r="F1433" s="208"/>
      <c r="G1433" s="181"/>
      <c r="H1433" s="209"/>
      <c r="I1433" s="209"/>
      <c r="J1433" s="209"/>
      <c r="K1433" s="209"/>
      <c r="L1433" s="209"/>
      <c r="M1433" s="209"/>
      <c r="N1433" s="209"/>
      <c r="O1433" s="209"/>
      <c r="P1433" s="209"/>
    </row>
    <row r="1434" spans="3:16" x14ac:dyDescent="0.25">
      <c r="C1434" s="123"/>
      <c r="D1434" s="142"/>
      <c r="E1434" s="142"/>
      <c r="F1434" s="208"/>
      <c r="G1434" s="181"/>
      <c r="H1434" s="209"/>
      <c r="I1434" s="209"/>
      <c r="J1434" s="209"/>
      <c r="K1434" s="209"/>
      <c r="L1434" s="209"/>
      <c r="M1434" s="209"/>
      <c r="N1434" s="209"/>
      <c r="O1434" s="209"/>
      <c r="P1434" s="209"/>
    </row>
    <row r="1435" spans="3:16" x14ac:dyDescent="0.25">
      <c r="C1435" s="123"/>
      <c r="D1435" s="142"/>
      <c r="E1435" s="142"/>
      <c r="F1435" s="208"/>
      <c r="G1435" s="181"/>
      <c r="H1435" s="209"/>
      <c r="I1435" s="209"/>
      <c r="J1435" s="209"/>
      <c r="K1435" s="209"/>
      <c r="L1435" s="209"/>
      <c r="M1435" s="209"/>
      <c r="N1435" s="209"/>
      <c r="O1435" s="209"/>
      <c r="P1435" s="209"/>
    </row>
    <row r="1436" spans="3:16" x14ac:dyDescent="0.25">
      <c r="C1436" s="123"/>
      <c r="D1436" s="142"/>
      <c r="E1436" s="142"/>
      <c r="F1436" s="208"/>
      <c r="G1436" s="181"/>
      <c r="H1436" s="209"/>
      <c r="I1436" s="209"/>
      <c r="J1436" s="209"/>
      <c r="K1436" s="209"/>
      <c r="L1436" s="209"/>
      <c r="M1436" s="209"/>
      <c r="N1436" s="209"/>
      <c r="O1436" s="209"/>
      <c r="P1436" s="209"/>
    </row>
    <row r="1437" spans="3:16" x14ac:dyDescent="0.25">
      <c r="C1437" s="123"/>
      <c r="D1437" s="142"/>
      <c r="E1437" s="142"/>
      <c r="F1437" s="208"/>
      <c r="G1437" s="181"/>
      <c r="H1437" s="209"/>
      <c r="I1437" s="209"/>
      <c r="J1437" s="209"/>
      <c r="K1437" s="209"/>
      <c r="L1437" s="209"/>
      <c r="M1437" s="209"/>
      <c r="N1437" s="209"/>
      <c r="O1437" s="209"/>
      <c r="P1437" s="209"/>
    </row>
    <row r="1438" spans="3:16" x14ac:dyDescent="0.25">
      <c r="C1438" s="123"/>
      <c r="D1438" s="142"/>
      <c r="E1438" s="142"/>
      <c r="F1438" s="208"/>
      <c r="G1438" s="181"/>
      <c r="H1438" s="209"/>
      <c r="I1438" s="209"/>
      <c r="J1438" s="209"/>
      <c r="K1438" s="209"/>
      <c r="L1438" s="209"/>
      <c r="M1438" s="209"/>
      <c r="N1438" s="209"/>
      <c r="O1438" s="209"/>
      <c r="P1438" s="209"/>
    </row>
    <row r="1439" spans="3:16" x14ac:dyDescent="0.25">
      <c r="C1439" s="123"/>
      <c r="D1439" s="142"/>
      <c r="E1439" s="142"/>
      <c r="F1439" s="208"/>
      <c r="G1439" s="181"/>
      <c r="H1439" s="209"/>
      <c r="I1439" s="209"/>
      <c r="J1439" s="209"/>
      <c r="K1439" s="209"/>
      <c r="L1439" s="209"/>
      <c r="M1439" s="209"/>
      <c r="N1439" s="209"/>
      <c r="O1439" s="209"/>
      <c r="P1439" s="209"/>
    </row>
    <row r="1440" spans="3:16" x14ac:dyDescent="0.25">
      <c r="C1440" s="123"/>
      <c r="D1440" s="142"/>
      <c r="E1440" s="142"/>
      <c r="F1440" s="208"/>
      <c r="G1440" s="181"/>
      <c r="H1440" s="209"/>
      <c r="I1440" s="209"/>
      <c r="J1440" s="209"/>
      <c r="K1440" s="209"/>
      <c r="L1440" s="209"/>
      <c r="M1440" s="209"/>
      <c r="N1440" s="209"/>
      <c r="O1440" s="209"/>
      <c r="P1440" s="209"/>
    </row>
    <row r="1441" spans="3:16" x14ac:dyDescent="0.25">
      <c r="C1441" s="123"/>
      <c r="D1441" s="142"/>
      <c r="E1441" s="142"/>
      <c r="F1441" s="208"/>
      <c r="G1441" s="181"/>
      <c r="H1441" s="209"/>
      <c r="I1441" s="209"/>
      <c r="J1441" s="209"/>
      <c r="K1441" s="209"/>
      <c r="L1441" s="209"/>
      <c r="M1441" s="209"/>
      <c r="N1441" s="209"/>
      <c r="O1441" s="209"/>
      <c r="P1441" s="209"/>
    </row>
    <row r="1442" spans="3:16" x14ac:dyDescent="0.25">
      <c r="C1442" s="123"/>
      <c r="D1442" s="142"/>
      <c r="E1442" s="142"/>
      <c r="F1442" s="208"/>
      <c r="G1442" s="181"/>
      <c r="H1442" s="209"/>
      <c r="I1442" s="209"/>
      <c r="J1442" s="209"/>
      <c r="K1442" s="209"/>
      <c r="L1442" s="209"/>
      <c r="M1442" s="209"/>
      <c r="N1442" s="209"/>
      <c r="O1442" s="209"/>
      <c r="P1442" s="209"/>
    </row>
    <row r="1443" spans="3:16" x14ac:dyDescent="0.25">
      <c r="C1443" s="123"/>
      <c r="D1443" s="142"/>
      <c r="E1443" s="142"/>
      <c r="F1443" s="208"/>
      <c r="G1443" s="181"/>
      <c r="H1443" s="209"/>
      <c r="I1443" s="209"/>
      <c r="J1443" s="209"/>
      <c r="K1443" s="209"/>
      <c r="L1443" s="209"/>
      <c r="M1443" s="209"/>
      <c r="N1443" s="209"/>
      <c r="O1443" s="209"/>
      <c r="P1443" s="209"/>
    </row>
    <row r="1444" spans="3:16" x14ac:dyDescent="0.25">
      <c r="C1444" s="123"/>
      <c r="D1444" s="142"/>
      <c r="E1444" s="142"/>
      <c r="F1444" s="208"/>
      <c r="G1444" s="181"/>
      <c r="H1444" s="209"/>
      <c r="I1444" s="209"/>
      <c r="J1444" s="209"/>
      <c r="K1444" s="209"/>
      <c r="L1444" s="209"/>
      <c r="M1444" s="209"/>
      <c r="N1444" s="209"/>
      <c r="O1444" s="209"/>
      <c r="P1444" s="209"/>
    </row>
    <row r="1445" spans="3:16" x14ac:dyDescent="0.25">
      <c r="C1445" s="123"/>
      <c r="D1445" s="142"/>
      <c r="E1445" s="142"/>
      <c r="F1445" s="208"/>
      <c r="G1445" s="181"/>
      <c r="H1445" s="209"/>
      <c r="I1445" s="209"/>
      <c r="J1445" s="209"/>
      <c r="K1445" s="209"/>
      <c r="L1445" s="209"/>
      <c r="M1445" s="209"/>
      <c r="N1445" s="209"/>
      <c r="O1445" s="209"/>
      <c r="P1445" s="209"/>
    </row>
    <row r="1446" spans="3:16" x14ac:dyDescent="0.25">
      <c r="C1446" s="123"/>
      <c r="D1446" s="142"/>
      <c r="E1446" s="142"/>
      <c r="F1446" s="208"/>
      <c r="G1446" s="181"/>
      <c r="H1446" s="209"/>
      <c r="I1446" s="209"/>
      <c r="J1446" s="209"/>
      <c r="K1446" s="209"/>
      <c r="L1446" s="209"/>
      <c r="M1446" s="209"/>
      <c r="N1446" s="209"/>
      <c r="O1446" s="209"/>
      <c r="P1446" s="209"/>
    </row>
    <row r="1447" spans="3:16" x14ac:dyDescent="0.25">
      <c r="C1447" s="123"/>
      <c r="D1447" s="142"/>
      <c r="E1447" s="142"/>
      <c r="F1447" s="208"/>
      <c r="G1447" s="181"/>
      <c r="H1447" s="209"/>
      <c r="I1447" s="209"/>
      <c r="J1447" s="209"/>
      <c r="K1447" s="209"/>
      <c r="L1447" s="209"/>
      <c r="M1447" s="209"/>
      <c r="N1447" s="209"/>
      <c r="O1447" s="209"/>
      <c r="P1447" s="209"/>
    </row>
    <row r="1448" spans="3:16" x14ac:dyDescent="0.25">
      <c r="C1448" s="123"/>
      <c r="D1448" s="142"/>
      <c r="E1448" s="142"/>
      <c r="F1448" s="208"/>
      <c r="G1448" s="181"/>
      <c r="H1448" s="209"/>
      <c r="I1448" s="209"/>
      <c r="J1448" s="209"/>
      <c r="K1448" s="209"/>
      <c r="L1448" s="209"/>
      <c r="M1448" s="209"/>
      <c r="N1448" s="209"/>
      <c r="O1448" s="209"/>
      <c r="P1448" s="209"/>
    </row>
    <row r="1449" spans="3:16" x14ac:dyDescent="0.25">
      <c r="C1449" s="123"/>
      <c r="D1449" s="142"/>
      <c r="E1449" s="142"/>
      <c r="F1449" s="208"/>
      <c r="G1449" s="181"/>
      <c r="H1449" s="209"/>
      <c r="I1449" s="209"/>
      <c r="J1449" s="209"/>
      <c r="K1449" s="209"/>
      <c r="L1449" s="209"/>
      <c r="M1449" s="209"/>
      <c r="N1449" s="209"/>
      <c r="O1449" s="209"/>
      <c r="P1449" s="209"/>
    </row>
    <row r="1450" spans="3:16" x14ac:dyDescent="0.25">
      <c r="C1450" s="123"/>
      <c r="D1450" s="142"/>
      <c r="E1450" s="142"/>
      <c r="F1450" s="208"/>
      <c r="G1450" s="181"/>
      <c r="H1450" s="209"/>
      <c r="I1450" s="209"/>
      <c r="J1450" s="209"/>
      <c r="K1450" s="209"/>
      <c r="L1450" s="209"/>
      <c r="M1450" s="209"/>
      <c r="N1450" s="209"/>
      <c r="O1450" s="209"/>
      <c r="P1450" s="209"/>
    </row>
    <row r="1451" spans="3:16" x14ac:dyDescent="0.25">
      <c r="C1451" s="123"/>
      <c r="D1451" s="142"/>
      <c r="E1451" s="142"/>
      <c r="F1451" s="208"/>
      <c r="G1451" s="181"/>
      <c r="H1451" s="209"/>
      <c r="I1451" s="209"/>
      <c r="J1451" s="209"/>
      <c r="K1451" s="209"/>
      <c r="L1451" s="209"/>
      <c r="M1451" s="209"/>
      <c r="N1451" s="209"/>
      <c r="O1451" s="209"/>
      <c r="P1451" s="209"/>
    </row>
    <row r="1452" spans="3:16" x14ac:dyDescent="0.25">
      <c r="C1452" s="123"/>
      <c r="D1452" s="142"/>
      <c r="E1452" s="142"/>
      <c r="F1452" s="208"/>
      <c r="G1452" s="181"/>
      <c r="H1452" s="209"/>
      <c r="I1452" s="209"/>
      <c r="J1452" s="209"/>
      <c r="K1452" s="209"/>
      <c r="L1452" s="209"/>
      <c r="M1452" s="209"/>
      <c r="N1452" s="209"/>
      <c r="O1452" s="209"/>
      <c r="P1452" s="209"/>
    </row>
    <row r="1453" spans="3:16" x14ac:dyDescent="0.25">
      <c r="C1453" s="123"/>
      <c r="D1453" s="142"/>
      <c r="E1453" s="142"/>
      <c r="F1453" s="208"/>
      <c r="G1453" s="181"/>
      <c r="H1453" s="209"/>
      <c r="I1453" s="209"/>
      <c r="J1453" s="209"/>
      <c r="K1453" s="209"/>
      <c r="L1453" s="209"/>
      <c r="M1453" s="209"/>
      <c r="N1453" s="209"/>
      <c r="O1453" s="209"/>
      <c r="P1453" s="209"/>
    </row>
    <row r="1454" spans="3:16" x14ac:dyDescent="0.25">
      <c r="C1454" s="123"/>
      <c r="D1454" s="142"/>
      <c r="E1454" s="142"/>
      <c r="F1454" s="208"/>
      <c r="G1454" s="181"/>
      <c r="H1454" s="209"/>
      <c r="I1454" s="209"/>
      <c r="J1454" s="209"/>
      <c r="K1454" s="209"/>
      <c r="L1454" s="209"/>
      <c r="M1454" s="209"/>
      <c r="N1454" s="209"/>
      <c r="O1454" s="209"/>
      <c r="P1454" s="209"/>
    </row>
    <row r="1455" spans="3:16" x14ac:dyDescent="0.25">
      <c r="C1455" s="123"/>
      <c r="D1455" s="142"/>
      <c r="E1455" s="142"/>
      <c r="F1455" s="208"/>
      <c r="G1455" s="181"/>
      <c r="H1455" s="209"/>
      <c r="I1455" s="209"/>
      <c r="J1455" s="209"/>
      <c r="K1455" s="209"/>
      <c r="L1455" s="209"/>
      <c r="M1455" s="209"/>
      <c r="N1455" s="209"/>
      <c r="O1455" s="209"/>
      <c r="P1455" s="209"/>
    </row>
    <row r="1456" spans="3:16" x14ac:dyDescent="0.25">
      <c r="C1456" s="123"/>
      <c r="D1456" s="142"/>
      <c r="E1456" s="142"/>
      <c r="F1456" s="208"/>
      <c r="G1456" s="181"/>
      <c r="H1456" s="209"/>
      <c r="I1456" s="209"/>
      <c r="J1456" s="209"/>
      <c r="K1456" s="209"/>
      <c r="L1456" s="209"/>
      <c r="M1456" s="209"/>
      <c r="N1456" s="209"/>
      <c r="O1456" s="209"/>
      <c r="P1456" s="209"/>
    </row>
    <row r="1457" spans="3:16" x14ac:dyDescent="0.25">
      <c r="C1457" s="123"/>
      <c r="D1457" s="142"/>
      <c r="E1457" s="142"/>
      <c r="F1457" s="208"/>
      <c r="G1457" s="181"/>
      <c r="H1457" s="209"/>
      <c r="I1457" s="209"/>
      <c r="J1457" s="209"/>
      <c r="K1457" s="209"/>
      <c r="L1457" s="209"/>
      <c r="M1457" s="209"/>
      <c r="N1457" s="209"/>
      <c r="O1457" s="209"/>
      <c r="P1457" s="209"/>
    </row>
    <row r="1458" spans="3:16" x14ac:dyDescent="0.25">
      <c r="C1458" s="123"/>
      <c r="D1458" s="142"/>
      <c r="E1458" s="142"/>
      <c r="F1458" s="208"/>
      <c r="G1458" s="181"/>
      <c r="H1458" s="209"/>
      <c r="I1458" s="209"/>
      <c r="J1458" s="209"/>
      <c r="K1458" s="209"/>
      <c r="L1458" s="209"/>
      <c r="M1458" s="209"/>
      <c r="N1458" s="209"/>
      <c r="O1458" s="209"/>
      <c r="P1458" s="209"/>
    </row>
    <row r="1459" spans="3:16" x14ac:dyDescent="0.25">
      <c r="C1459" s="123"/>
      <c r="D1459" s="142"/>
      <c r="E1459" s="142"/>
      <c r="F1459" s="208"/>
      <c r="G1459" s="181"/>
      <c r="H1459" s="209"/>
      <c r="I1459" s="209"/>
      <c r="J1459" s="209"/>
      <c r="K1459" s="209"/>
      <c r="L1459" s="209"/>
      <c r="M1459" s="209"/>
      <c r="N1459" s="209"/>
      <c r="O1459" s="209"/>
      <c r="P1459" s="209"/>
    </row>
    <row r="1460" spans="3:16" x14ac:dyDescent="0.25">
      <c r="C1460" s="123"/>
      <c r="D1460" s="142"/>
      <c r="E1460" s="142"/>
      <c r="F1460" s="208"/>
      <c r="G1460" s="181"/>
      <c r="H1460" s="209"/>
      <c r="I1460" s="209"/>
      <c r="J1460" s="209"/>
      <c r="K1460" s="209"/>
      <c r="L1460" s="209"/>
      <c r="M1460" s="209"/>
      <c r="N1460" s="209"/>
      <c r="O1460" s="209"/>
      <c r="P1460" s="209"/>
    </row>
    <row r="1461" spans="3:16" x14ac:dyDescent="0.25">
      <c r="C1461" s="123"/>
      <c r="D1461" s="142"/>
      <c r="E1461" s="142"/>
      <c r="F1461" s="208"/>
      <c r="G1461" s="181"/>
      <c r="H1461" s="209"/>
      <c r="I1461" s="209"/>
      <c r="J1461" s="209"/>
      <c r="K1461" s="209"/>
      <c r="L1461" s="209"/>
      <c r="M1461" s="209"/>
      <c r="N1461" s="209"/>
      <c r="O1461" s="209"/>
      <c r="P1461" s="209"/>
    </row>
    <row r="1462" spans="3:16" x14ac:dyDescent="0.25">
      <c r="C1462" s="123"/>
      <c r="D1462" s="142"/>
      <c r="E1462" s="142"/>
      <c r="F1462" s="208"/>
      <c r="G1462" s="181"/>
      <c r="H1462" s="209"/>
      <c r="I1462" s="209"/>
      <c r="J1462" s="209"/>
      <c r="K1462" s="209"/>
      <c r="L1462" s="209"/>
      <c r="M1462" s="209"/>
      <c r="N1462" s="209"/>
      <c r="O1462" s="209"/>
      <c r="P1462" s="209"/>
    </row>
    <row r="1463" spans="3:16" x14ac:dyDescent="0.25">
      <c r="C1463" s="123"/>
      <c r="D1463" s="142"/>
      <c r="E1463" s="142"/>
      <c r="F1463" s="208"/>
      <c r="G1463" s="181"/>
      <c r="H1463" s="209"/>
      <c r="I1463" s="209"/>
      <c r="J1463" s="209"/>
      <c r="K1463" s="209"/>
      <c r="L1463" s="209"/>
      <c r="M1463" s="209"/>
      <c r="N1463" s="209"/>
      <c r="O1463" s="209"/>
      <c r="P1463" s="209"/>
    </row>
    <row r="1464" spans="3:16" x14ac:dyDescent="0.25">
      <c r="C1464" s="123"/>
      <c r="D1464" s="142"/>
      <c r="E1464" s="142"/>
      <c r="F1464" s="208"/>
      <c r="G1464" s="181"/>
      <c r="H1464" s="209"/>
      <c r="I1464" s="209"/>
      <c r="J1464" s="209"/>
      <c r="K1464" s="209"/>
      <c r="L1464" s="209"/>
      <c r="M1464" s="209"/>
      <c r="N1464" s="209"/>
      <c r="O1464" s="209"/>
      <c r="P1464" s="209"/>
    </row>
    <row r="1465" spans="3:16" x14ac:dyDescent="0.25">
      <c r="C1465" s="123"/>
      <c r="D1465" s="142"/>
      <c r="E1465" s="142"/>
      <c r="F1465" s="208"/>
      <c r="G1465" s="181"/>
      <c r="H1465" s="209"/>
      <c r="I1465" s="209"/>
      <c r="J1465" s="209"/>
      <c r="K1465" s="209"/>
      <c r="L1465" s="209"/>
      <c r="M1465" s="209"/>
      <c r="N1465" s="209"/>
      <c r="O1465" s="209"/>
      <c r="P1465" s="209"/>
    </row>
    <row r="1466" spans="3:16" x14ac:dyDescent="0.25">
      <c r="C1466" s="123"/>
      <c r="D1466" s="142"/>
      <c r="E1466" s="142"/>
      <c r="F1466" s="208"/>
      <c r="G1466" s="181"/>
      <c r="H1466" s="209"/>
      <c r="I1466" s="209"/>
      <c r="J1466" s="209"/>
      <c r="K1466" s="209"/>
      <c r="L1466" s="209"/>
      <c r="M1466" s="209"/>
      <c r="N1466" s="209"/>
      <c r="O1466" s="209"/>
      <c r="P1466" s="209"/>
    </row>
    <row r="1467" spans="3:16" x14ac:dyDescent="0.25">
      <c r="C1467" s="123"/>
      <c r="D1467" s="142"/>
      <c r="E1467" s="142"/>
      <c r="F1467" s="208"/>
      <c r="G1467" s="181"/>
      <c r="H1467" s="209"/>
      <c r="I1467" s="209"/>
      <c r="J1467" s="209"/>
      <c r="K1467" s="209"/>
      <c r="L1467" s="209"/>
      <c r="M1467" s="209"/>
      <c r="N1467" s="209"/>
      <c r="O1467" s="209"/>
      <c r="P1467" s="209"/>
    </row>
    <row r="1468" spans="3:16" x14ac:dyDescent="0.25">
      <c r="C1468" s="123"/>
      <c r="D1468" s="142"/>
      <c r="E1468" s="142"/>
      <c r="F1468" s="208"/>
      <c r="G1468" s="181"/>
      <c r="H1468" s="209"/>
      <c r="I1468" s="209"/>
      <c r="J1468" s="209"/>
      <c r="K1468" s="209"/>
      <c r="L1468" s="209"/>
      <c r="M1468" s="209"/>
      <c r="N1468" s="209"/>
      <c r="O1468" s="209"/>
      <c r="P1468" s="209"/>
    </row>
    <row r="1469" spans="3:16" x14ac:dyDescent="0.25">
      <c r="C1469" s="123"/>
      <c r="D1469" s="142"/>
      <c r="E1469" s="142"/>
      <c r="F1469" s="208"/>
      <c r="G1469" s="181"/>
      <c r="H1469" s="209"/>
      <c r="I1469" s="209"/>
      <c r="J1469" s="209"/>
      <c r="K1469" s="209"/>
      <c r="L1469" s="209"/>
      <c r="M1469" s="209"/>
      <c r="N1469" s="209"/>
      <c r="O1469" s="209"/>
      <c r="P1469" s="209"/>
    </row>
    <row r="1470" spans="3:16" x14ac:dyDescent="0.25">
      <c r="C1470" s="123"/>
      <c r="D1470" s="142"/>
      <c r="E1470" s="142"/>
      <c r="F1470" s="208"/>
      <c r="G1470" s="181"/>
      <c r="H1470" s="209"/>
      <c r="I1470" s="209"/>
      <c r="J1470" s="209"/>
      <c r="K1470" s="209"/>
      <c r="L1470" s="209"/>
      <c r="M1470" s="209"/>
      <c r="N1470" s="209"/>
      <c r="O1470" s="209"/>
      <c r="P1470" s="209"/>
    </row>
    <row r="1471" spans="3:16" x14ac:dyDescent="0.25">
      <c r="C1471" s="123"/>
      <c r="D1471" s="142"/>
      <c r="E1471" s="142"/>
      <c r="F1471" s="208"/>
      <c r="G1471" s="181"/>
      <c r="H1471" s="209"/>
      <c r="I1471" s="209"/>
      <c r="J1471" s="209"/>
      <c r="K1471" s="209"/>
      <c r="L1471" s="209"/>
      <c r="M1471" s="209"/>
      <c r="N1471" s="209"/>
      <c r="O1471" s="209"/>
      <c r="P1471" s="209"/>
    </row>
    <row r="1472" spans="3:16" x14ac:dyDescent="0.25">
      <c r="C1472" s="123"/>
      <c r="D1472" s="142"/>
      <c r="E1472" s="142"/>
      <c r="F1472" s="208"/>
      <c r="G1472" s="181"/>
      <c r="H1472" s="209"/>
      <c r="I1472" s="209"/>
      <c r="J1472" s="209"/>
      <c r="K1472" s="209"/>
      <c r="L1472" s="209"/>
      <c r="M1472" s="209"/>
      <c r="N1472" s="209"/>
      <c r="O1472" s="209"/>
      <c r="P1472" s="209"/>
    </row>
    <row r="1473" spans="3:16" x14ac:dyDescent="0.25">
      <c r="C1473" s="123"/>
      <c r="D1473" s="142"/>
      <c r="E1473" s="142"/>
      <c r="F1473" s="208"/>
      <c r="G1473" s="181"/>
      <c r="H1473" s="209"/>
      <c r="I1473" s="209"/>
      <c r="J1473" s="209"/>
      <c r="K1473" s="209"/>
      <c r="L1473" s="209"/>
      <c r="M1473" s="209"/>
      <c r="N1473" s="209"/>
      <c r="O1473" s="209"/>
      <c r="P1473" s="209"/>
    </row>
    <row r="1474" spans="3:16" x14ac:dyDescent="0.25">
      <c r="C1474" s="123"/>
      <c r="D1474" s="142"/>
      <c r="E1474" s="142"/>
      <c r="F1474" s="208"/>
      <c r="G1474" s="181"/>
      <c r="H1474" s="209"/>
      <c r="I1474" s="209"/>
      <c r="J1474" s="209"/>
      <c r="K1474" s="209"/>
      <c r="L1474" s="209"/>
      <c r="M1474" s="209"/>
      <c r="N1474" s="209"/>
      <c r="O1474" s="209"/>
      <c r="P1474" s="209"/>
    </row>
    <row r="1475" spans="3:16" x14ac:dyDescent="0.25">
      <c r="C1475" s="123"/>
      <c r="D1475" s="142"/>
      <c r="E1475" s="142"/>
      <c r="F1475" s="208"/>
      <c r="G1475" s="181"/>
      <c r="H1475" s="209"/>
      <c r="I1475" s="209"/>
      <c r="J1475" s="209"/>
      <c r="K1475" s="209"/>
      <c r="L1475" s="209"/>
      <c r="M1475" s="209"/>
      <c r="N1475" s="209"/>
      <c r="O1475" s="209"/>
      <c r="P1475" s="209"/>
    </row>
    <row r="1476" spans="3:16" x14ac:dyDescent="0.25">
      <c r="C1476" s="123"/>
      <c r="D1476" s="142"/>
      <c r="E1476" s="142"/>
      <c r="F1476" s="208"/>
      <c r="G1476" s="181"/>
      <c r="H1476" s="209"/>
      <c r="I1476" s="209"/>
      <c r="J1476" s="209"/>
      <c r="K1476" s="209"/>
      <c r="L1476" s="209"/>
      <c r="M1476" s="209"/>
      <c r="N1476" s="209"/>
      <c r="O1476" s="209"/>
      <c r="P1476" s="209"/>
    </row>
    <row r="1477" spans="3:16" x14ac:dyDescent="0.25">
      <c r="C1477" s="123"/>
      <c r="D1477" s="142"/>
      <c r="E1477" s="142"/>
      <c r="F1477" s="208"/>
      <c r="G1477" s="181"/>
      <c r="H1477" s="209"/>
      <c r="I1477" s="209"/>
      <c r="J1477" s="209"/>
      <c r="K1477" s="209"/>
      <c r="L1477" s="209"/>
      <c r="M1477" s="209"/>
      <c r="N1477" s="209"/>
      <c r="O1477" s="209"/>
      <c r="P1477" s="209"/>
    </row>
    <row r="1478" spans="3:16" x14ac:dyDescent="0.25">
      <c r="C1478" s="123"/>
      <c r="D1478" s="142"/>
      <c r="E1478" s="142"/>
      <c r="F1478" s="208"/>
      <c r="G1478" s="181"/>
      <c r="H1478" s="209"/>
      <c r="I1478" s="209"/>
      <c r="J1478" s="209"/>
      <c r="K1478" s="209"/>
      <c r="L1478" s="209"/>
      <c r="M1478" s="209"/>
      <c r="N1478" s="209"/>
      <c r="O1478" s="209"/>
      <c r="P1478" s="209"/>
    </row>
    <row r="1479" spans="3:16" x14ac:dyDescent="0.25">
      <c r="C1479" s="123"/>
      <c r="D1479" s="142"/>
      <c r="E1479" s="142"/>
      <c r="F1479" s="208"/>
      <c r="G1479" s="181"/>
      <c r="H1479" s="209"/>
      <c r="I1479" s="209"/>
      <c r="J1479" s="209"/>
      <c r="K1479" s="209"/>
      <c r="L1479" s="209"/>
      <c r="M1479" s="209"/>
      <c r="N1479" s="209"/>
      <c r="O1479" s="209"/>
      <c r="P1479" s="209"/>
    </row>
    <row r="1480" spans="3:16" x14ac:dyDescent="0.25">
      <c r="C1480" s="123"/>
      <c r="D1480" s="142"/>
      <c r="E1480" s="142"/>
      <c r="F1480" s="208"/>
      <c r="G1480" s="181"/>
      <c r="H1480" s="209"/>
      <c r="I1480" s="209"/>
      <c r="J1480" s="209"/>
      <c r="K1480" s="209"/>
      <c r="L1480" s="209"/>
      <c r="M1480" s="209"/>
      <c r="N1480" s="209"/>
      <c r="O1480" s="209"/>
      <c r="P1480" s="209"/>
    </row>
    <row r="1481" spans="3:16" x14ac:dyDescent="0.25">
      <c r="C1481" s="123"/>
      <c r="D1481" s="142"/>
      <c r="E1481" s="142"/>
      <c r="F1481" s="208"/>
      <c r="G1481" s="181"/>
      <c r="H1481" s="209"/>
      <c r="I1481" s="209"/>
      <c r="J1481" s="209"/>
      <c r="K1481" s="209"/>
      <c r="L1481" s="209"/>
      <c r="M1481" s="209"/>
      <c r="N1481" s="209"/>
      <c r="O1481" s="209"/>
      <c r="P1481" s="209"/>
    </row>
    <row r="1482" spans="3:16" x14ac:dyDescent="0.25">
      <c r="C1482" s="123"/>
      <c r="D1482" s="142"/>
      <c r="E1482" s="142"/>
      <c r="F1482" s="208"/>
      <c r="G1482" s="181"/>
      <c r="H1482" s="209"/>
      <c r="I1482" s="209"/>
      <c r="J1482" s="209"/>
      <c r="K1482" s="209"/>
      <c r="L1482" s="209"/>
      <c r="M1482" s="209"/>
      <c r="N1482" s="209"/>
      <c r="O1482" s="209"/>
      <c r="P1482" s="209"/>
    </row>
    <row r="1483" spans="3:16" x14ac:dyDescent="0.25">
      <c r="C1483" s="123"/>
      <c r="D1483" s="142"/>
      <c r="E1483" s="142"/>
      <c r="F1483" s="208"/>
      <c r="G1483" s="181"/>
      <c r="H1483" s="209"/>
      <c r="I1483" s="209"/>
      <c r="J1483" s="209"/>
      <c r="K1483" s="209"/>
      <c r="L1483" s="209"/>
      <c r="M1483" s="209"/>
      <c r="N1483" s="209"/>
      <c r="O1483" s="209"/>
      <c r="P1483" s="209"/>
    </row>
    <row r="1484" spans="3:16" x14ac:dyDescent="0.25">
      <c r="C1484" s="123"/>
      <c r="D1484" s="142"/>
      <c r="E1484" s="142"/>
      <c r="F1484" s="208"/>
      <c r="G1484" s="181"/>
      <c r="H1484" s="209"/>
      <c r="I1484" s="209"/>
      <c r="J1484" s="209"/>
      <c r="K1484" s="209"/>
      <c r="L1484" s="209"/>
      <c r="M1484" s="209"/>
      <c r="N1484" s="209"/>
      <c r="O1484" s="209"/>
      <c r="P1484" s="209"/>
    </row>
    <row r="1485" spans="3:16" x14ac:dyDescent="0.25">
      <c r="C1485" s="123"/>
      <c r="D1485" s="142"/>
      <c r="E1485" s="142"/>
      <c r="F1485" s="208"/>
      <c r="G1485" s="181"/>
      <c r="H1485" s="209"/>
      <c r="I1485" s="209"/>
      <c r="J1485" s="209"/>
      <c r="K1485" s="209"/>
      <c r="L1485" s="209"/>
      <c r="M1485" s="209"/>
      <c r="N1485" s="209"/>
      <c r="O1485" s="209"/>
      <c r="P1485" s="209"/>
    </row>
    <row r="1486" spans="3:16" x14ac:dyDescent="0.25">
      <c r="C1486" s="123"/>
      <c r="D1486" s="142"/>
      <c r="E1486" s="142"/>
      <c r="F1486" s="208"/>
      <c r="G1486" s="181"/>
      <c r="H1486" s="209"/>
      <c r="I1486" s="209"/>
      <c r="J1486" s="209"/>
      <c r="K1486" s="209"/>
      <c r="L1486" s="209"/>
      <c r="M1486" s="209"/>
      <c r="N1486" s="209"/>
      <c r="O1486" s="209"/>
      <c r="P1486" s="209"/>
    </row>
    <row r="1487" spans="3:16" x14ac:dyDescent="0.25">
      <c r="C1487" s="123"/>
      <c r="D1487" s="142"/>
      <c r="E1487" s="142"/>
      <c r="F1487" s="208"/>
      <c r="G1487" s="181"/>
      <c r="H1487" s="209"/>
      <c r="I1487" s="209"/>
      <c r="J1487" s="209"/>
      <c r="K1487" s="209"/>
      <c r="L1487" s="209"/>
      <c r="M1487" s="209"/>
      <c r="N1487" s="209"/>
      <c r="O1487" s="209"/>
      <c r="P1487" s="209"/>
    </row>
    <row r="1488" spans="3:16" x14ac:dyDescent="0.25">
      <c r="C1488" s="123"/>
      <c r="D1488" s="142"/>
      <c r="E1488" s="142"/>
      <c r="F1488" s="208"/>
      <c r="G1488" s="181"/>
      <c r="H1488" s="209"/>
      <c r="I1488" s="209"/>
      <c r="J1488" s="209"/>
      <c r="K1488" s="209"/>
      <c r="L1488" s="209"/>
      <c r="M1488" s="209"/>
      <c r="N1488" s="209"/>
      <c r="O1488" s="209"/>
      <c r="P1488" s="209"/>
    </row>
    <row r="1489" spans="3:16" x14ac:dyDescent="0.25">
      <c r="C1489" s="123"/>
      <c r="D1489" s="142"/>
      <c r="E1489" s="142"/>
      <c r="F1489" s="208"/>
      <c r="G1489" s="181"/>
      <c r="H1489" s="209"/>
      <c r="I1489" s="209"/>
      <c r="J1489" s="209"/>
      <c r="K1489" s="209"/>
      <c r="L1489" s="209"/>
      <c r="M1489" s="209"/>
      <c r="N1489" s="209"/>
      <c r="O1489" s="209"/>
      <c r="P1489" s="209"/>
    </row>
    <row r="1490" spans="3:16" x14ac:dyDescent="0.25">
      <c r="C1490" s="123"/>
      <c r="D1490" s="142"/>
      <c r="E1490" s="142"/>
      <c r="F1490" s="208"/>
      <c r="G1490" s="181"/>
      <c r="H1490" s="209"/>
      <c r="I1490" s="209"/>
      <c r="J1490" s="209"/>
      <c r="K1490" s="209"/>
      <c r="L1490" s="209"/>
      <c r="M1490" s="209"/>
      <c r="N1490" s="209"/>
      <c r="O1490" s="209"/>
      <c r="P1490" s="209"/>
    </row>
    <row r="1491" spans="3:16" x14ac:dyDescent="0.25">
      <c r="C1491" s="123"/>
      <c r="D1491" s="142"/>
      <c r="E1491" s="142"/>
      <c r="F1491" s="208"/>
      <c r="G1491" s="181"/>
      <c r="H1491" s="209"/>
      <c r="I1491" s="209"/>
      <c r="J1491" s="209"/>
      <c r="K1491" s="209"/>
      <c r="L1491" s="209"/>
      <c r="M1491" s="209"/>
      <c r="N1491" s="209"/>
      <c r="O1491" s="209"/>
      <c r="P1491" s="209"/>
    </row>
    <row r="1492" spans="3:16" x14ac:dyDescent="0.25">
      <c r="C1492" s="123"/>
      <c r="D1492" s="142"/>
      <c r="E1492" s="142"/>
      <c r="F1492" s="208"/>
      <c r="G1492" s="181"/>
      <c r="H1492" s="209"/>
      <c r="I1492" s="209"/>
      <c r="J1492" s="209"/>
      <c r="K1492" s="209"/>
      <c r="L1492" s="209"/>
      <c r="M1492" s="209"/>
      <c r="N1492" s="209"/>
      <c r="O1492" s="209"/>
      <c r="P1492" s="209"/>
    </row>
    <row r="1493" spans="3:16" x14ac:dyDescent="0.25">
      <c r="C1493" s="123"/>
      <c r="D1493" s="142"/>
      <c r="E1493" s="142"/>
      <c r="F1493" s="208"/>
      <c r="G1493" s="181"/>
      <c r="H1493" s="209"/>
      <c r="I1493" s="209"/>
      <c r="J1493" s="209"/>
      <c r="K1493" s="209"/>
      <c r="L1493" s="209"/>
      <c r="M1493" s="209"/>
      <c r="N1493" s="209"/>
      <c r="O1493" s="209"/>
      <c r="P1493" s="209"/>
    </row>
    <row r="1494" spans="3:16" x14ac:dyDescent="0.25">
      <c r="C1494" s="123"/>
      <c r="D1494" s="142"/>
      <c r="E1494" s="142"/>
      <c r="F1494" s="208"/>
      <c r="G1494" s="181"/>
      <c r="H1494" s="209"/>
      <c r="I1494" s="209"/>
      <c r="J1494" s="209"/>
      <c r="K1494" s="209"/>
      <c r="L1494" s="209"/>
      <c r="M1494" s="209"/>
      <c r="N1494" s="209"/>
      <c r="O1494" s="209"/>
      <c r="P1494" s="209"/>
    </row>
    <row r="1495" spans="3:16" x14ac:dyDescent="0.25">
      <c r="C1495" s="123"/>
      <c r="D1495" s="142"/>
      <c r="E1495" s="142"/>
      <c r="F1495" s="208"/>
      <c r="G1495" s="181"/>
      <c r="H1495" s="209"/>
      <c r="I1495" s="209"/>
      <c r="J1495" s="209"/>
      <c r="K1495" s="209"/>
      <c r="L1495" s="209"/>
      <c r="M1495" s="209"/>
      <c r="N1495" s="209"/>
      <c r="O1495" s="209"/>
      <c r="P1495" s="209"/>
    </row>
    <row r="1496" spans="3:16" x14ac:dyDescent="0.25">
      <c r="C1496" s="123"/>
      <c r="D1496" s="142"/>
      <c r="E1496" s="142"/>
      <c r="F1496" s="208"/>
      <c r="G1496" s="181"/>
      <c r="H1496" s="209"/>
      <c r="I1496" s="209"/>
      <c r="J1496" s="209"/>
      <c r="K1496" s="209"/>
      <c r="L1496" s="209"/>
      <c r="M1496" s="209"/>
      <c r="N1496" s="209"/>
      <c r="O1496" s="209"/>
      <c r="P1496" s="209"/>
    </row>
    <row r="1497" spans="3:16" x14ac:dyDescent="0.25">
      <c r="C1497" s="123"/>
      <c r="D1497" s="142"/>
      <c r="E1497" s="142"/>
      <c r="F1497" s="208"/>
      <c r="G1497" s="181"/>
      <c r="H1497" s="209"/>
      <c r="I1497" s="209"/>
      <c r="J1497" s="209"/>
      <c r="K1497" s="209"/>
      <c r="L1497" s="209"/>
      <c r="M1497" s="209"/>
      <c r="N1497" s="209"/>
      <c r="O1497" s="209"/>
      <c r="P1497" s="209"/>
    </row>
    <row r="1498" spans="3:16" x14ac:dyDescent="0.25">
      <c r="C1498" s="123"/>
      <c r="D1498" s="142"/>
      <c r="E1498" s="142"/>
      <c r="F1498" s="208"/>
      <c r="G1498" s="181"/>
      <c r="H1498" s="209"/>
      <c r="I1498" s="209"/>
      <c r="J1498" s="209"/>
      <c r="K1498" s="209"/>
      <c r="L1498" s="209"/>
      <c r="M1498" s="209"/>
      <c r="N1498" s="209"/>
      <c r="O1498" s="209"/>
      <c r="P1498" s="209"/>
    </row>
    <row r="1499" spans="3:16" x14ac:dyDescent="0.25">
      <c r="C1499" s="123"/>
      <c r="D1499" s="142"/>
      <c r="E1499" s="142"/>
      <c r="F1499" s="208"/>
      <c r="G1499" s="181"/>
      <c r="H1499" s="209"/>
      <c r="I1499" s="209"/>
      <c r="J1499" s="209"/>
      <c r="K1499" s="209"/>
      <c r="L1499" s="209"/>
      <c r="M1499" s="209"/>
      <c r="N1499" s="209"/>
      <c r="O1499" s="209"/>
      <c r="P1499" s="209"/>
    </row>
    <row r="1500" spans="3:16" x14ac:dyDescent="0.25">
      <c r="C1500" s="123"/>
      <c r="D1500" s="142"/>
      <c r="E1500" s="142"/>
      <c r="F1500" s="208"/>
      <c r="G1500" s="181"/>
      <c r="H1500" s="209"/>
      <c r="I1500" s="209"/>
      <c r="J1500" s="209"/>
      <c r="K1500" s="209"/>
      <c r="L1500" s="209"/>
      <c r="M1500" s="209"/>
      <c r="N1500" s="209"/>
      <c r="O1500" s="209"/>
      <c r="P1500" s="209"/>
    </row>
    <row r="1501" spans="3:16" x14ac:dyDescent="0.25">
      <c r="C1501" s="123"/>
      <c r="D1501" s="142"/>
      <c r="E1501" s="142"/>
      <c r="F1501" s="208"/>
      <c r="G1501" s="181"/>
      <c r="H1501" s="209"/>
      <c r="I1501" s="209"/>
      <c r="J1501" s="209"/>
      <c r="K1501" s="209"/>
      <c r="L1501" s="209"/>
      <c r="M1501" s="209"/>
      <c r="N1501" s="209"/>
      <c r="O1501" s="209"/>
      <c r="P1501" s="209"/>
    </row>
    <row r="1502" spans="3:16" x14ac:dyDescent="0.25">
      <c r="C1502" s="123"/>
      <c r="D1502" s="142"/>
      <c r="E1502" s="142"/>
      <c r="F1502" s="208"/>
      <c r="G1502" s="181"/>
      <c r="H1502" s="209"/>
      <c r="I1502" s="209"/>
      <c r="J1502" s="209"/>
      <c r="K1502" s="209"/>
      <c r="L1502" s="209"/>
      <c r="M1502" s="209"/>
      <c r="N1502" s="209"/>
      <c r="O1502" s="209"/>
      <c r="P1502" s="209"/>
    </row>
    <row r="1503" spans="3:16" x14ac:dyDescent="0.25">
      <c r="C1503" s="123"/>
      <c r="D1503" s="142"/>
      <c r="E1503" s="142"/>
      <c r="F1503" s="208"/>
      <c r="G1503" s="181"/>
      <c r="H1503" s="209"/>
      <c r="I1503" s="209"/>
      <c r="J1503" s="209"/>
      <c r="K1503" s="209"/>
      <c r="L1503" s="209"/>
      <c r="M1503" s="209"/>
      <c r="N1503" s="209"/>
      <c r="O1503" s="209"/>
      <c r="P1503" s="209"/>
    </row>
    <row r="1504" spans="3:16" x14ac:dyDescent="0.25">
      <c r="C1504" s="123"/>
      <c r="D1504" s="142"/>
      <c r="E1504" s="142"/>
      <c r="F1504" s="208"/>
      <c r="G1504" s="181"/>
      <c r="H1504" s="209"/>
      <c r="I1504" s="209"/>
      <c r="J1504" s="209"/>
      <c r="K1504" s="209"/>
      <c r="L1504" s="209"/>
      <c r="M1504" s="209"/>
      <c r="N1504" s="209"/>
      <c r="O1504" s="209"/>
      <c r="P1504" s="209"/>
    </row>
    <row r="1505" spans="3:16" x14ac:dyDescent="0.25">
      <c r="C1505" s="123"/>
      <c r="D1505" s="142"/>
      <c r="E1505" s="142"/>
      <c r="F1505" s="208"/>
      <c r="G1505" s="181"/>
      <c r="H1505" s="209"/>
      <c r="I1505" s="209"/>
      <c r="J1505" s="209"/>
      <c r="K1505" s="209"/>
      <c r="L1505" s="209"/>
      <c r="M1505" s="209"/>
      <c r="N1505" s="209"/>
      <c r="O1505" s="209"/>
      <c r="P1505" s="209"/>
    </row>
    <row r="1506" spans="3:16" x14ac:dyDescent="0.25">
      <c r="C1506" s="123"/>
      <c r="D1506" s="142"/>
      <c r="E1506" s="142"/>
      <c r="F1506" s="208"/>
      <c r="G1506" s="181"/>
      <c r="H1506" s="209"/>
      <c r="I1506" s="209"/>
      <c r="J1506" s="209"/>
      <c r="K1506" s="209"/>
      <c r="L1506" s="209"/>
      <c r="M1506" s="209"/>
      <c r="N1506" s="209"/>
      <c r="O1506" s="209"/>
      <c r="P1506" s="209"/>
    </row>
    <row r="1507" spans="3:16" x14ac:dyDescent="0.25">
      <c r="C1507" s="123"/>
      <c r="D1507" s="142"/>
      <c r="E1507" s="142"/>
      <c r="F1507" s="208"/>
      <c r="G1507" s="181"/>
      <c r="H1507" s="209"/>
      <c r="I1507" s="209"/>
      <c r="J1507" s="209"/>
      <c r="K1507" s="209"/>
      <c r="L1507" s="209"/>
      <c r="M1507" s="209"/>
      <c r="N1507" s="209"/>
      <c r="O1507" s="209"/>
      <c r="P1507" s="209"/>
    </row>
    <row r="1508" spans="3:16" x14ac:dyDescent="0.25">
      <c r="C1508" s="123"/>
      <c r="D1508" s="142"/>
      <c r="E1508" s="142"/>
      <c r="F1508" s="208"/>
      <c r="G1508" s="181"/>
      <c r="H1508" s="209"/>
      <c r="I1508" s="209"/>
      <c r="J1508" s="209"/>
      <c r="K1508" s="209"/>
      <c r="L1508" s="209"/>
      <c r="M1508" s="209"/>
      <c r="N1508" s="209"/>
      <c r="O1508" s="209"/>
      <c r="P1508" s="209"/>
    </row>
    <row r="1509" spans="3:16" x14ac:dyDescent="0.25">
      <c r="C1509" s="123"/>
      <c r="D1509" s="142"/>
      <c r="E1509" s="142"/>
      <c r="F1509" s="208"/>
      <c r="G1509" s="181"/>
      <c r="H1509" s="209"/>
      <c r="I1509" s="209"/>
      <c r="J1509" s="209"/>
      <c r="K1509" s="209"/>
      <c r="L1509" s="209"/>
      <c r="M1509" s="209"/>
      <c r="N1509" s="209"/>
      <c r="O1509" s="209"/>
      <c r="P1509" s="209"/>
    </row>
    <row r="1510" spans="3:16" x14ac:dyDescent="0.25">
      <c r="C1510" s="123"/>
      <c r="D1510" s="142"/>
      <c r="E1510" s="142"/>
      <c r="F1510" s="208"/>
      <c r="G1510" s="181"/>
      <c r="H1510" s="209"/>
      <c r="I1510" s="209"/>
      <c r="J1510" s="209"/>
      <c r="K1510" s="209"/>
      <c r="L1510" s="209"/>
      <c r="M1510" s="209"/>
      <c r="N1510" s="209"/>
      <c r="O1510" s="209"/>
      <c r="P1510" s="209"/>
    </row>
    <row r="1511" spans="3:16" x14ac:dyDescent="0.25">
      <c r="C1511" s="123"/>
      <c r="D1511" s="142"/>
      <c r="E1511" s="142"/>
      <c r="F1511" s="208"/>
      <c r="G1511" s="181"/>
      <c r="H1511" s="209"/>
      <c r="I1511" s="209"/>
      <c r="J1511" s="209"/>
      <c r="K1511" s="209"/>
      <c r="L1511" s="209"/>
      <c r="M1511" s="209"/>
      <c r="N1511" s="209"/>
      <c r="O1511" s="209"/>
      <c r="P1511" s="209"/>
    </row>
    <row r="1512" spans="3:16" x14ac:dyDescent="0.25">
      <c r="C1512" s="123"/>
      <c r="D1512" s="142"/>
      <c r="E1512" s="142"/>
      <c r="F1512" s="208"/>
      <c r="G1512" s="181"/>
      <c r="H1512" s="209"/>
      <c r="I1512" s="209"/>
      <c r="J1512" s="209"/>
      <c r="K1512" s="209"/>
      <c r="L1512" s="209"/>
      <c r="M1512" s="209"/>
      <c r="N1512" s="209"/>
      <c r="O1512" s="209"/>
      <c r="P1512" s="209"/>
    </row>
    <row r="1513" spans="3:16" x14ac:dyDescent="0.25">
      <c r="C1513" s="123"/>
      <c r="D1513" s="142"/>
      <c r="E1513" s="142"/>
      <c r="F1513" s="208"/>
      <c r="G1513" s="181"/>
      <c r="H1513" s="209"/>
      <c r="I1513" s="209"/>
      <c r="J1513" s="209"/>
      <c r="K1513" s="209"/>
      <c r="L1513" s="209"/>
      <c r="M1513" s="209"/>
      <c r="N1513" s="209"/>
      <c r="O1513" s="209"/>
      <c r="P1513" s="209"/>
    </row>
    <row r="1514" spans="3:16" x14ac:dyDescent="0.25">
      <c r="C1514" s="123"/>
      <c r="D1514" s="142"/>
      <c r="E1514" s="142"/>
      <c r="F1514" s="208"/>
      <c r="G1514" s="181"/>
      <c r="H1514" s="209"/>
      <c r="I1514" s="209"/>
      <c r="J1514" s="209"/>
      <c r="K1514" s="209"/>
      <c r="L1514" s="209"/>
      <c r="M1514" s="209"/>
      <c r="N1514" s="209"/>
      <c r="O1514" s="209"/>
      <c r="P1514" s="209"/>
    </row>
    <row r="1515" spans="3:16" x14ac:dyDescent="0.25">
      <c r="C1515" s="123"/>
      <c r="D1515" s="142"/>
      <c r="E1515" s="142"/>
      <c r="F1515" s="208"/>
      <c r="G1515" s="181"/>
      <c r="H1515" s="209"/>
      <c r="I1515" s="209"/>
      <c r="J1515" s="209"/>
      <c r="K1515" s="209"/>
      <c r="L1515" s="209"/>
      <c r="M1515" s="209"/>
      <c r="N1515" s="209"/>
      <c r="O1515" s="209"/>
      <c r="P1515" s="209"/>
    </row>
    <row r="1516" spans="3:16" x14ac:dyDescent="0.25">
      <c r="C1516" s="123"/>
      <c r="D1516" s="142"/>
      <c r="E1516" s="142"/>
      <c r="F1516" s="208"/>
      <c r="G1516" s="181"/>
      <c r="H1516" s="209"/>
      <c r="I1516" s="209"/>
      <c r="J1516" s="209"/>
      <c r="K1516" s="209"/>
      <c r="L1516" s="209"/>
      <c r="M1516" s="209"/>
      <c r="N1516" s="209"/>
      <c r="O1516" s="209"/>
      <c r="P1516" s="209"/>
    </row>
    <row r="1517" spans="3:16" x14ac:dyDescent="0.25">
      <c r="C1517" s="123"/>
      <c r="D1517" s="142"/>
      <c r="E1517" s="142"/>
      <c r="F1517" s="208"/>
      <c r="G1517" s="181"/>
      <c r="H1517" s="209"/>
      <c r="I1517" s="209"/>
      <c r="J1517" s="209"/>
      <c r="K1517" s="209"/>
      <c r="L1517" s="209"/>
      <c r="M1517" s="209"/>
      <c r="N1517" s="209"/>
      <c r="O1517" s="209"/>
      <c r="P1517" s="209"/>
    </row>
    <row r="1518" spans="3:16" x14ac:dyDescent="0.25">
      <c r="C1518" s="123"/>
      <c r="D1518" s="142"/>
      <c r="E1518" s="142"/>
      <c r="F1518" s="208"/>
      <c r="G1518" s="181"/>
      <c r="H1518" s="209"/>
      <c r="I1518" s="209"/>
      <c r="J1518" s="209"/>
      <c r="K1518" s="209"/>
      <c r="L1518" s="209"/>
      <c r="M1518" s="209"/>
      <c r="N1518" s="209"/>
      <c r="O1518" s="209"/>
      <c r="P1518" s="209"/>
    </row>
    <row r="1519" spans="3:16" x14ac:dyDescent="0.25">
      <c r="C1519" s="123"/>
      <c r="D1519" s="142"/>
      <c r="E1519" s="142"/>
      <c r="F1519" s="208"/>
      <c r="G1519" s="181"/>
      <c r="H1519" s="209"/>
      <c r="I1519" s="209"/>
      <c r="J1519" s="209"/>
      <c r="K1519" s="209"/>
      <c r="L1519" s="209"/>
      <c r="M1519" s="209"/>
      <c r="N1519" s="209"/>
      <c r="O1519" s="209"/>
      <c r="P1519" s="209"/>
    </row>
    <row r="1520" spans="3:16" x14ac:dyDescent="0.25">
      <c r="C1520" s="123"/>
      <c r="D1520" s="142"/>
      <c r="E1520" s="142"/>
      <c r="F1520" s="208"/>
      <c r="G1520" s="181"/>
      <c r="H1520" s="209"/>
      <c r="I1520" s="209"/>
      <c r="J1520" s="209"/>
      <c r="K1520" s="209"/>
      <c r="L1520" s="209"/>
      <c r="M1520" s="209"/>
      <c r="N1520" s="209"/>
      <c r="O1520" s="209"/>
      <c r="P1520" s="209"/>
    </row>
    <row r="1521" spans="3:16" x14ac:dyDescent="0.25">
      <c r="C1521" s="123"/>
      <c r="D1521" s="142"/>
      <c r="E1521" s="142"/>
      <c r="F1521" s="208"/>
      <c r="G1521" s="181"/>
      <c r="H1521" s="209"/>
      <c r="I1521" s="209"/>
      <c r="J1521" s="209"/>
      <c r="K1521" s="209"/>
      <c r="L1521" s="209"/>
      <c r="M1521" s="209"/>
      <c r="N1521" s="209"/>
      <c r="O1521" s="209"/>
      <c r="P1521" s="209"/>
    </row>
    <row r="1522" spans="3:16" x14ac:dyDescent="0.25">
      <c r="C1522" s="123"/>
      <c r="D1522" s="142"/>
      <c r="E1522" s="142"/>
      <c r="F1522" s="208"/>
      <c r="G1522" s="181"/>
      <c r="H1522" s="209"/>
      <c r="I1522" s="209"/>
      <c r="J1522" s="209"/>
      <c r="K1522" s="209"/>
      <c r="L1522" s="209"/>
      <c r="M1522" s="209"/>
      <c r="N1522" s="209"/>
      <c r="O1522" s="209"/>
      <c r="P1522" s="209"/>
    </row>
    <row r="1523" spans="3:16" x14ac:dyDescent="0.25">
      <c r="C1523" s="123"/>
      <c r="D1523" s="142"/>
      <c r="E1523" s="142"/>
      <c r="F1523" s="208"/>
      <c r="G1523" s="181"/>
      <c r="H1523" s="209"/>
      <c r="I1523" s="209"/>
      <c r="J1523" s="209"/>
      <c r="K1523" s="209"/>
      <c r="L1523" s="209"/>
      <c r="M1523" s="209"/>
      <c r="N1523" s="209"/>
      <c r="O1523" s="209"/>
      <c r="P1523" s="209"/>
    </row>
    <row r="1524" spans="3:16" x14ac:dyDescent="0.25">
      <c r="C1524" s="123"/>
      <c r="D1524" s="142"/>
      <c r="E1524" s="142"/>
      <c r="F1524" s="208"/>
      <c r="G1524" s="181"/>
      <c r="H1524" s="209"/>
      <c r="I1524" s="209"/>
      <c r="J1524" s="209"/>
      <c r="K1524" s="209"/>
      <c r="L1524" s="209"/>
      <c r="M1524" s="209"/>
      <c r="N1524" s="209"/>
      <c r="O1524" s="209"/>
      <c r="P1524" s="209"/>
    </row>
    <row r="1525" spans="3:16" x14ac:dyDescent="0.25">
      <c r="C1525" s="123"/>
      <c r="D1525" s="142"/>
      <c r="E1525" s="142"/>
      <c r="F1525" s="208"/>
      <c r="G1525" s="181"/>
      <c r="H1525" s="209"/>
      <c r="I1525" s="209"/>
      <c r="J1525" s="209"/>
      <c r="K1525" s="209"/>
      <c r="L1525" s="209"/>
      <c r="M1525" s="209"/>
      <c r="N1525" s="209"/>
      <c r="O1525" s="209"/>
      <c r="P1525" s="209"/>
    </row>
    <row r="1526" spans="3:16" x14ac:dyDescent="0.25">
      <c r="C1526" s="123"/>
      <c r="D1526" s="142"/>
      <c r="E1526" s="142"/>
      <c r="F1526" s="208"/>
      <c r="G1526" s="181"/>
      <c r="H1526" s="209"/>
      <c r="I1526" s="209"/>
      <c r="J1526" s="209"/>
      <c r="K1526" s="209"/>
      <c r="L1526" s="209"/>
      <c r="M1526" s="209"/>
      <c r="N1526" s="209"/>
      <c r="O1526" s="209"/>
      <c r="P1526" s="209"/>
    </row>
    <row r="1527" spans="3:16" x14ac:dyDescent="0.25">
      <c r="C1527" s="123"/>
      <c r="D1527" s="142"/>
      <c r="E1527" s="142"/>
      <c r="F1527" s="208"/>
      <c r="G1527" s="181"/>
      <c r="H1527" s="209"/>
      <c r="I1527" s="209"/>
      <c r="J1527" s="209"/>
      <c r="K1527" s="209"/>
      <c r="L1527" s="209"/>
      <c r="M1527" s="209"/>
      <c r="N1527" s="209"/>
      <c r="O1527" s="209"/>
      <c r="P1527" s="209"/>
    </row>
    <row r="1528" spans="3:16" x14ac:dyDescent="0.25">
      <c r="C1528" s="123"/>
      <c r="D1528" s="142"/>
      <c r="E1528" s="142"/>
      <c r="F1528" s="208"/>
      <c r="G1528" s="181"/>
      <c r="H1528" s="209"/>
      <c r="I1528" s="209"/>
      <c r="J1528" s="209"/>
      <c r="K1528" s="209"/>
      <c r="L1528" s="209"/>
      <c r="M1528" s="209"/>
      <c r="N1528" s="209"/>
      <c r="O1528" s="209"/>
      <c r="P1528" s="209"/>
    </row>
    <row r="1529" spans="3:16" x14ac:dyDescent="0.25">
      <c r="C1529" s="123"/>
      <c r="D1529" s="142"/>
      <c r="E1529" s="142"/>
      <c r="F1529" s="208"/>
      <c r="G1529" s="181"/>
      <c r="H1529" s="209"/>
      <c r="I1529" s="209"/>
      <c r="J1529" s="209"/>
      <c r="K1529" s="209"/>
      <c r="L1529" s="209"/>
      <c r="M1529" s="209"/>
      <c r="N1529" s="209"/>
      <c r="O1529" s="209"/>
      <c r="P1529" s="209"/>
    </row>
    <row r="1530" spans="3:16" x14ac:dyDescent="0.25">
      <c r="C1530" s="123"/>
      <c r="D1530" s="142"/>
      <c r="E1530" s="142"/>
      <c r="F1530" s="208"/>
      <c r="G1530" s="181"/>
      <c r="H1530" s="209"/>
      <c r="I1530" s="209"/>
      <c r="J1530" s="209"/>
      <c r="K1530" s="209"/>
      <c r="L1530" s="209"/>
      <c r="M1530" s="209"/>
      <c r="N1530" s="209"/>
      <c r="O1530" s="209"/>
      <c r="P1530" s="209"/>
    </row>
    <row r="1531" spans="3:16" x14ac:dyDescent="0.25">
      <c r="C1531" s="123"/>
      <c r="D1531" s="142"/>
      <c r="E1531" s="142"/>
      <c r="F1531" s="208"/>
      <c r="G1531" s="181"/>
      <c r="H1531" s="209"/>
      <c r="I1531" s="209"/>
      <c r="J1531" s="209"/>
      <c r="K1531" s="209"/>
      <c r="L1531" s="209"/>
      <c r="M1531" s="209"/>
      <c r="N1531" s="209"/>
      <c r="O1531" s="209"/>
      <c r="P1531" s="209"/>
    </row>
    <row r="1532" spans="3:16" x14ac:dyDescent="0.25">
      <c r="C1532" s="123"/>
      <c r="D1532" s="142"/>
      <c r="E1532" s="142"/>
      <c r="F1532" s="208"/>
      <c r="G1532" s="181"/>
      <c r="H1532" s="209"/>
      <c r="I1532" s="209"/>
      <c r="J1532" s="209"/>
      <c r="K1532" s="209"/>
      <c r="L1532" s="209"/>
      <c r="M1532" s="209"/>
      <c r="N1532" s="209"/>
      <c r="O1532" s="209"/>
      <c r="P1532" s="209"/>
    </row>
    <row r="1533" spans="3:16" x14ac:dyDescent="0.25">
      <c r="C1533" s="123"/>
      <c r="D1533" s="142"/>
      <c r="E1533" s="142"/>
      <c r="F1533" s="208"/>
      <c r="G1533" s="181"/>
      <c r="H1533" s="209"/>
      <c r="I1533" s="209"/>
      <c r="J1533" s="209"/>
      <c r="K1533" s="209"/>
      <c r="L1533" s="209"/>
      <c r="M1533" s="209"/>
      <c r="N1533" s="209"/>
      <c r="O1533" s="209"/>
      <c r="P1533" s="209"/>
    </row>
    <row r="1534" spans="3:16" x14ac:dyDescent="0.25">
      <c r="C1534" s="123"/>
      <c r="D1534" s="142"/>
      <c r="E1534" s="142"/>
      <c r="F1534" s="208"/>
      <c r="G1534" s="181"/>
      <c r="H1534" s="209"/>
      <c r="I1534" s="209"/>
      <c r="J1534" s="209"/>
      <c r="K1534" s="209"/>
      <c r="L1534" s="209"/>
      <c r="M1534" s="209"/>
      <c r="N1534" s="209"/>
      <c r="O1534" s="209"/>
      <c r="P1534" s="209"/>
    </row>
    <row r="1535" spans="3:16" x14ac:dyDescent="0.25">
      <c r="C1535" s="123"/>
      <c r="D1535" s="142"/>
      <c r="E1535" s="142"/>
      <c r="F1535" s="208"/>
      <c r="G1535" s="181"/>
      <c r="H1535" s="209"/>
      <c r="I1535" s="209"/>
      <c r="J1535" s="209"/>
      <c r="K1535" s="209"/>
      <c r="L1535" s="209"/>
      <c r="M1535" s="209"/>
      <c r="N1535" s="209"/>
      <c r="O1535" s="209"/>
      <c r="P1535" s="209"/>
    </row>
    <row r="1536" spans="3:16" x14ac:dyDescent="0.25">
      <c r="C1536" s="123"/>
      <c r="D1536" s="142"/>
      <c r="E1536" s="142"/>
      <c r="F1536" s="208"/>
      <c r="G1536" s="181"/>
      <c r="H1536" s="209"/>
      <c r="I1536" s="209"/>
      <c r="J1536" s="209"/>
      <c r="K1536" s="209"/>
      <c r="L1536" s="209"/>
      <c r="M1536" s="209"/>
      <c r="N1536" s="209"/>
      <c r="O1536" s="209"/>
      <c r="P1536" s="209"/>
    </row>
    <row r="1537" spans="3:16" x14ac:dyDescent="0.25">
      <c r="C1537" s="123"/>
      <c r="D1537" s="142"/>
      <c r="E1537" s="142"/>
      <c r="F1537" s="208"/>
      <c r="G1537" s="181"/>
      <c r="H1537" s="209"/>
      <c r="I1537" s="209"/>
      <c r="J1537" s="209"/>
      <c r="K1537" s="209"/>
      <c r="L1537" s="209"/>
      <c r="M1537" s="209"/>
      <c r="N1537" s="209"/>
      <c r="O1537" s="209"/>
      <c r="P1537" s="209"/>
    </row>
    <row r="1538" spans="3:16" x14ac:dyDescent="0.25">
      <c r="C1538" s="123"/>
      <c r="D1538" s="142"/>
      <c r="E1538" s="142"/>
      <c r="F1538" s="208"/>
      <c r="G1538" s="181"/>
      <c r="H1538" s="209"/>
      <c r="I1538" s="209"/>
      <c r="J1538" s="209"/>
      <c r="K1538" s="209"/>
      <c r="L1538" s="209"/>
      <c r="M1538" s="209"/>
      <c r="N1538" s="209"/>
      <c r="O1538" s="209"/>
      <c r="P1538" s="209"/>
    </row>
    <row r="1539" spans="3:16" x14ac:dyDescent="0.25">
      <c r="C1539" s="123"/>
      <c r="D1539" s="142"/>
      <c r="E1539" s="142"/>
      <c r="F1539" s="208"/>
      <c r="G1539" s="181"/>
      <c r="H1539" s="209"/>
      <c r="I1539" s="209"/>
      <c r="J1539" s="209"/>
      <c r="K1539" s="209"/>
      <c r="L1539" s="209"/>
      <c r="M1539" s="209"/>
      <c r="N1539" s="209"/>
      <c r="O1539" s="209"/>
      <c r="P1539" s="209"/>
    </row>
    <row r="1540" spans="3:16" x14ac:dyDescent="0.25">
      <c r="C1540" s="123"/>
      <c r="D1540" s="142"/>
      <c r="E1540" s="142"/>
      <c r="F1540" s="208"/>
      <c r="G1540" s="181"/>
      <c r="H1540" s="209"/>
      <c r="I1540" s="209"/>
      <c r="J1540" s="209"/>
      <c r="K1540" s="209"/>
      <c r="L1540" s="209"/>
      <c r="M1540" s="209"/>
      <c r="N1540" s="209"/>
      <c r="O1540" s="209"/>
      <c r="P1540" s="209"/>
    </row>
    <row r="1541" spans="3:16" x14ac:dyDescent="0.25">
      <c r="C1541" s="123"/>
      <c r="D1541" s="142"/>
      <c r="E1541" s="142"/>
      <c r="F1541" s="208"/>
      <c r="G1541" s="181"/>
      <c r="H1541" s="209"/>
      <c r="I1541" s="209"/>
      <c r="J1541" s="209"/>
      <c r="K1541" s="209"/>
      <c r="L1541" s="209"/>
      <c r="M1541" s="209"/>
      <c r="N1541" s="209"/>
      <c r="O1541" s="209"/>
      <c r="P1541" s="209"/>
    </row>
    <row r="1542" spans="3:16" x14ac:dyDescent="0.25">
      <c r="C1542" s="123"/>
      <c r="D1542" s="142"/>
      <c r="E1542" s="142"/>
      <c r="F1542" s="208"/>
      <c r="G1542" s="181"/>
      <c r="H1542" s="209"/>
      <c r="I1542" s="209"/>
      <c r="J1542" s="209"/>
      <c r="K1542" s="209"/>
      <c r="L1542" s="209"/>
      <c r="M1542" s="209"/>
      <c r="N1542" s="209"/>
      <c r="O1542" s="209"/>
      <c r="P1542" s="209"/>
    </row>
    <row r="1543" spans="3:16" x14ac:dyDescent="0.25">
      <c r="C1543" s="123"/>
      <c r="D1543" s="142"/>
      <c r="E1543" s="142"/>
      <c r="F1543" s="208"/>
      <c r="G1543" s="181"/>
      <c r="H1543" s="209"/>
      <c r="I1543" s="209"/>
      <c r="J1543" s="209"/>
      <c r="K1543" s="209"/>
      <c r="L1543" s="209"/>
      <c r="M1543" s="209"/>
      <c r="N1543" s="209"/>
      <c r="O1543" s="209"/>
      <c r="P1543" s="209"/>
    </row>
    <row r="1544" spans="3:16" x14ac:dyDescent="0.25">
      <c r="C1544" s="123"/>
      <c r="D1544" s="142"/>
      <c r="E1544" s="142"/>
      <c r="F1544" s="208"/>
      <c r="G1544" s="181"/>
      <c r="H1544" s="209"/>
      <c r="I1544" s="209"/>
      <c r="J1544" s="209"/>
      <c r="K1544" s="209"/>
      <c r="L1544" s="209"/>
      <c r="M1544" s="209"/>
      <c r="N1544" s="209"/>
      <c r="O1544" s="209"/>
      <c r="P1544" s="209"/>
    </row>
    <row r="1545" spans="3:16" x14ac:dyDescent="0.25">
      <c r="C1545" s="123"/>
      <c r="D1545" s="142"/>
      <c r="E1545" s="142"/>
      <c r="F1545" s="208"/>
      <c r="G1545" s="181"/>
      <c r="H1545" s="209"/>
      <c r="I1545" s="209"/>
      <c r="J1545" s="209"/>
      <c r="K1545" s="209"/>
      <c r="L1545" s="209"/>
      <c r="M1545" s="209"/>
      <c r="N1545" s="209"/>
      <c r="O1545" s="209"/>
      <c r="P1545" s="209"/>
    </row>
    <row r="1546" spans="3:16" x14ac:dyDescent="0.25">
      <c r="C1546" s="123"/>
      <c r="D1546" s="142"/>
      <c r="E1546" s="142"/>
      <c r="F1546" s="208"/>
      <c r="G1546" s="181"/>
      <c r="H1546" s="209"/>
      <c r="I1546" s="209"/>
      <c r="J1546" s="209"/>
      <c r="K1546" s="209"/>
      <c r="L1546" s="209"/>
      <c r="M1546" s="209"/>
      <c r="N1546" s="209"/>
      <c r="O1546" s="209"/>
      <c r="P1546" s="209"/>
    </row>
    <row r="1547" spans="3:16" x14ac:dyDescent="0.25">
      <c r="C1547" s="123"/>
      <c r="D1547" s="142"/>
      <c r="E1547" s="142"/>
      <c r="F1547" s="208"/>
      <c r="G1547" s="181"/>
      <c r="H1547" s="209"/>
      <c r="I1547" s="209"/>
      <c r="J1547" s="209"/>
      <c r="K1547" s="209"/>
      <c r="L1547" s="209"/>
      <c r="M1547" s="209"/>
      <c r="N1547" s="209"/>
      <c r="O1547" s="209"/>
      <c r="P1547" s="209"/>
    </row>
    <row r="1548" spans="3:16" x14ac:dyDescent="0.25">
      <c r="C1548" s="123"/>
      <c r="D1548" s="142"/>
      <c r="E1548" s="142"/>
      <c r="F1548" s="208"/>
      <c r="G1548" s="181"/>
      <c r="H1548" s="209"/>
      <c r="I1548" s="209"/>
      <c r="J1548" s="209"/>
      <c r="K1548" s="209"/>
      <c r="L1548" s="209"/>
      <c r="M1548" s="209"/>
      <c r="N1548" s="209"/>
      <c r="O1548" s="209"/>
      <c r="P1548" s="209"/>
    </row>
    <row r="1549" spans="3:16" x14ac:dyDescent="0.25">
      <c r="C1549" s="123"/>
      <c r="D1549" s="142"/>
      <c r="E1549" s="142"/>
      <c r="F1549" s="208"/>
      <c r="G1549" s="181"/>
      <c r="H1549" s="209"/>
      <c r="I1549" s="209"/>
      <c r="J1549" s="209"/>
      <c r="K1549" s="209"/>
      <c r="L1549" s="209"/>
      <c r="M1549" s="209"/>
      <c r="N1549" s="209"/>
      <c r="O1549" s="209"/>
      <c r="P1549" s="209"/>
    </row>
    <row r="1550" spans="3:16" x14ac:dyDescent="0.25">
      <c r="C1550" s="123"/>
      <c r="D1550" s="142"/>
      <c r="E1550" s="142"/>
      <c r="F1550" s="208"/>
      <c r="G1550" s="181"/>
      <c r="H1550" s="209"/>
      <c r="I1550" s="209"/>
      <c r="J1550" s="209"/>
      <c r="K1550" s="209"/>
      <c r="L1550" s="209"/>
      <c r="M1550" s="209"/>
      <c r="N1550" s="209"/>
      <c r="O1550" s="209"/>
      <c r="P1550" s="209"/>
    </row>
    <row r="1551" spans="3:16" x14ac:dyDescent="0.25">
      <c r="C1551" s="123"/>
      <c r="D1551" s="142"/>
      <c r="E1551" s="142"/>
      <c r="F1551" s="208"/>
      <c r="G1551" s="181"/>
      <c r="H1551" s="209"/>
      <c r="I1551" s="209"/>
      <c r="J1551" s="209"/>
      <c r="K1551" s="209"/>
      <c r="L1551" s="209"/>
      <c r="M1551" s="209"/>
      <c r="N1551" s="209"/>
      <c r="O1551" s="209"/>
      <c r="P1551" s="209"/>
    </row>
    <row r="1552" spans="3:16" x14ac:dyDescent="0.25">
      <c r="C1552" s="123"/>
      <c r="D1552" s="142"/>
      <c r="E1552" s="142"/>
      <c r="F1552" s="208"/>
      <c r="G1552" s="181"/>
      <c r="H1552" s="209"/>
      <c r="I1552" s="209"/>
      <c r="J1552" s="209"/>
      <c r="K1552" s="209"/>
      <c r="L1552" s="209"/>
      <c r="M1552" s="209"/>
      <c r="N1552" s="209"/>
      <c r="O1552" s="209"/>
      <c r="P1552" s="209"/>
    </row>
    <row r="1553" spans="3:16" x14ac:dyDescent="0.25">
      <c r="C1553" s="123"/>
      <c r="D1553" s="142"/>
      <c r="E1553" s="142"/>
      <c r="F1553" s="208"/>
      <c r="G1553" s="181"/>
      <c r="H1553" s="209"/>
      <c r="I1553" s="209"/>
      <c r="J1553" s="209"/>
      <c r="K1553" s="209"/>
      <c r="L1553" s="209"/>
      <c r="M1553" s="209"/>
      <c r="N1553" s="209"/>
      <c r="O1553" s="209"/>
      <c r="P1553" s="209"/>
    </row>
    <row r="1554" spans="3:16" x14ac:dyDescent="0.25">
      <c r="C1554" s="123"/>
      <c r="D1554" s="142"/>
      <c r="E1554" s="142"/>
      <c r="F1554" s="208"/>
      <c r="G1554" s="181"/>
      <c r="H1554" s="209"/>
      <c r="I1554" s="209"/>
      <c r="J1554" s="209"/>
      <c r="K1554" s="209"/>
      <c r="L1554" s="209"/>
      <c r="M1554" s="209"/>
      <c r="N1554" s="209"/>
      <c r="O1554" s="209"/>
      <c r="P1554" s="209"/>
    </row>
    <row r="1555" spans="3:16" x14ac:dyDescent="0.25">
      <c r="C1555" s="123"/>
      <c r="D1555" s="142"/>
      <c r="E1555" s="142"/>
      <c r="F1555" s="208"/>
      <c r="G1555" s="181"/>
      <c r="H1555" s="209"/>
      <c r="I1555" s="209"/>
      <c r="J1555" s="209"/>
      <c r="K1555" s="209"/>
      <c r="L1555" s="209"/>
      <c r="M1555" s="209"/>
      <c r="N1555" s="209"/>
      <c r="O1555" s="209"/>
      <c r="P1555" s="209"/>
    </row>
    <row r="1556" spans="3:16" x14ac:dyDescent="0.25">
      <c r="C1556" s="123"/>
      <c r="D1556" s="142"/>
      <c r="E1556" s="142"/>
      <c r="F1556" s="208"/>
      <c r="G1556" s="181"/>
      <c r="H1556" s="209"/>
      <c r="I1556" s="209"/>
      <c r="J1556" s="209"/>
      <c r="K1556" s="209"/>
      <c r="L1556" s="209"/>
      <c r="M1556" s="209"/>
      <c r="N1556" s="209"/>
      <c r="O1556" s="209"/>
      <c r="P1556" s="209"/>
    </row>
    <row r="1557" spans="3:16" x14ac:dyDescent="0.25">
      <c r="C1557" s="123"/>
      <c r="D1557" s="142"/>
      <c r="E1557" s="142"/>
      <c r="F1557" s="208"/>
      <c r="G1557" s="181"/>
      <c r="H1557" s="209"/>
      <c r="I1557" s="209"/>
      <c r="J1557" s="209"/>
      <c r="K1557" s="209"/>
      <c r="L1557" s="209"/>
      <c r="M1557" s="209"/>
      <c r="N1557" s="209"/>
      <c r="O1557" s="209"/>
      <c r="P1557" s="209"/>
    </row>
    <row r="1558" spans="3:16" x14ac:dyDescent="0.25">
      <c r="C1558" s="123"/>
      <c r="D1558" s="142"/>
      <c r="E1558" s="142"/>
      <c r="F1558" s="208"/>
      <c r="G1558" s="181"/>
      <c r="H1558" s="209"/>
      <c r="I1558" s="209"/>
      <c r="J1558" s="209"/>
      <c r="K1558" s="209"/>
      <c r="L1558" s="209"/>
      <c r="M1558" s="209"/>
      <c r="N1558" s="209"/>
      <c r="O1558" s="209"/>
      <c r="P1558" s="209"/>
    </row>
    <row r="1559" spans="3:16" x14ac:dyDescent="0.25">
      <c r="C1559" s="123"/>
      <c r="D1559" s="142"/>
      <c r="E1559" s="142"/>
      <c r="F1559" s="208"/>
      <c r="G1559" s="181"/>
      <c r="H1559" s="209"/>
      <c r="I1559" s="209"/>
      <c r="J1559" s="209"/>
      <c r="K1559" s="209"/>
      <c r="L1559" s="209"/>
      <c r="M1559" s="209"/>
      <c r="N1559" s="209"/>
      <c r="O1559" s="209"/>
      <c r="P1559" s="209"/>
    </row>
    <row r="1560" spans="3:16" x14ac:dyDescent="0.25">
      <c r="C1560" s="123"/>
      <c r="D1560" s="142"/>
      <c r="E1560" s="142"/>
      <c r="F1560" s="208"/>
      <c r="G1560" s="181"/>
      <c r="H1560" s="209"/>
      <c r="I1560" s="209"/>
      <c r="J1560" s="209"/>
      <c r="K1560" s="209"/>
      <c r="L1560" s="209"/>
      <c r="M1560" s="209"/>
      <c r="N1560" s="209"/>
      <c r="O1560" s="209"/>
      <c r="P1560" s="209"/>
    </row>
    <row r="1561" spans="3:16" x14ac:dyDescent="0.25">
      <c r="C1561" s="123"/>
      <c r="D1561" s="142"/>
      <c r="E1561" s="142"/>
      <c r="F1561" s="208"/>
      <c r="G1561" s="181"/>
      <c r="H1561" s="209"/>
      <c r="I1561" s="209"/>
      <c r="J1561" s="209"/>
      <c r="K1561" s="209"/>
      <c r="L1561" s="209"/>
      <c r="M1561" s="209"/>
      <c r="N1561" s="209"/>
      <c r="O1561" s="209"/>
      <c r="P1561" s="209"/>
    </row>
    <row r="1562" spans="3:16" x14ac:dyDescent="0.25">
      <c r="C1562" s="123"/>
      <c r="D1562" s="142"/>
      <c r="E1562" s="142"/>
      <c r="F1562" s="208"/>
      <c r="G1562" s="181"/>
      <c r="H1562" s="209"/>
      <c r="I1562" s="209"/>
      <c r="J1562" s="209"/>
      <c r="K1562" s="209"/>
      <c r="L1562" s="209"/>
      <c r="M1562" s="209"/>
      <c r="N1562" s="209"/>
      <c r="O1562" s="209"/>
      <c r="P1562" s="209"/>
    </row>
    <row r="1563" spans="3:16" x14ac:dyDescent="0.25">
      <c r="C1563" s="123"/>
      <c r="D1563" s="142"/>
      <c r="E1563" s="142"/>
      <c r="F1563" s="208"/>
      <c r="G1563" s="181"/>
      <c r="H1563" s="209"/>
      <c r="I1563" s="209"/>
      <c r="J1563" s="209"/>
      <c r="K1563" s="209"/>
      <c r="L1563" s="209"/>
      <c r="M1563" s="209"/>
      <c r="N1563" s="209"/>
      <c r="O1563" s="209"/>
      <c r="P1563" s="209"/>
    </row>
    <row r="1564" spans="3:16" x14ac:dyDescent="0.25">
      <c r="C1564" s="123"/>
      <c r="D1564" s="142"/>
      <c r="E1564" s="142"/>
      <c r="F1564" s="208"/>
      <c r="G1564" s="181"/>
      <c r="H1564" s="209"/>
      <c r="I1564" s="209"/>
      <c r="J1564" s="209"/>
      <c r="K1564" s="209"/>
      <c r="L1564" s="209"/>
      <c r="M1564" s="209"/>
      <c r="N1564" s="209"/>
      <c r="O1564" s="209"/>
      <c r="P1564" s="209"/>
    </row>
    <row r="1565" spans="3:16" x14ac:dyDescent="0.25">
      <c r="C1565" s="123"/>
      <c r="D1565" s="142"/>
      <c r="E1565" s="142"/>
      <c r="F1565" s="208"/>
      <c r="G1565" s="181"/>
      <c r="H1565" s="209"/>
      <c r="I1565" s="209"/>
      <c r="J1565" s="209"/>
      <c r="K1565" s="209"/>
      <c r="L1565" s="209"/>
      <c r="M1565" s="209"/>
      <c r="N1565" s="209"/>
      <c r="O1565" s="209"/>
      <c r="P1565" s="209"/>
    </row>
    <row r="1566" spans="3:16" x14ac:dyDescent="0.25">
      <c r="C1566" s="123"/>
      <c r="D1566" s="142"/>
      <c r="E1566" s="142"/>
      <c r="F1566" s="208"/>
      <c r="G1566" s="181"/>
      <c r="H1566" s="209"/>
      <c r="I1566" s="209"/>
      <c r="J1566" s="209"/>
      <c r="K1566" s="209"/>
      <c r="L1566" s="209"/>
      <c r="M1566" s="209"/>
      <c r="N1566" s="209"/>
      <c r="O1566" s="209"/>
      <c r="P1566" s="209"/>
    </row>
    <row r="1567" spans="3:16" x14ac:dyDescent="0.25">
      <c r="C1567" s="123"/>
      <c r="D1567" s="142"/>
      <c r="E1567" s="142"/>
      <c r="F1567" s="208"/>
      <c r="G1567" s="181"/>
      <c r="H1567" s="209"/>
      <c r="I1567" s="209"/>
      <c r="J1567" s="209"/>
      <c r="K1567" s="209"/>
      <c r="L1567" s="209"/>
      <c r="M1567" s="209"/>
      <c r="N1567" s="209"/>
      <c r="O1567" s="209"/>
      <c r="P1567" s="209"/>
    </row>
    <row r="1568" spans="3:16" x14ac:dyDescent="0.25">
      <c r="C1568" s="123"/>
      <c r="D1568" s="142"/>
      <c r="E1568" s="142"/>
      <c r="F1568" s="208"/>
      <c r="G1568" s="181"/>
      <c r="H1568" s="209"/>
      <c r="I1568" s="209"/>
      <c r="J1568" s="209"/>
      <c r="K1568" s="209"/>
      <c r="L1568" s="209"/>
      <c r="M1568" s="209"/>
      <c r="N1568" s="209"/>
      <c r="O1568" s="209"/>
      <c r="P1568" s="209"/>
    </row>
  </sheetData>
  <sheetProtection algorithmName="SHA-512" hashValue="xYME4F4lkS83hdemTTC097rZKks2hq7YtkJ7FUdneWWMH7DeV9X6kVmOXmVDYt4Z7Y273TgCK6VT5NWukC9nzw==" saltValue="ZLA7RF819uPaE1KZqUebBA==" spinCount="100000" sheet="1" objects="1" scenarios="1"/>
  <protectedRanges>
    <protectedRange sqref="C9 B6" name="Intervalo1"/>
  </protectedRanges>
  <mergeCells count="82">
    <mergeCell ref="B92:P92"/>
    <mergeCell ref="D103:D105"/>
    <mergeCell ref="B106:B108"/>
    <mergeCell ref="B72:P72"/>
    <mergeCell ref="B57:P57"/>
    <mergeCell ref="D84:D86"/>
    <mergeCell ref="K74:P81"/>
    <mergeCell ref="K59:P60"/>
    <mergeCell ref="B80:B81"/>
    <mergeCell ref="B84:B86"/>
    <mergeCell ref="D64:D66"/>
    <mergeCell ref="B78:B79"/>
    <mergeCell ref="B74:B75"/>
    <mergeCell ref="B76:B77"/>
    <mergeCell ref="B59:B60"/>
    <mergeCell ref="B64:B66"/>
    <mergeCell ref="B123:B124"/>
    <mergeCell ref="D94:D96"/>
    <mergeCell ref="B97:B98"/>
    <mergeCell ref="B112:B114"/>
    <mergeCell ref="K94:P99"/>
    <mergeCell ref="D97:D98"/>
    <mergeCell ref="B103:B105"/>
    <mergeCell ref="B109:B111"/>
    <mergeCell ref="D109:D111"/>
    <mergeCell ref="D106:D108"/>
    <mergeCell ref="B120:B121"/>
    <mergeCell ref="K119:P125"/>
    <mergeCell ref="D112:D114"/>
    <mergeCell ref="B117:P117"/>
    <mergeCell ref="B94:B96"/>
    <mergeCell ref="A25:XFD26"/>
    <mergeCell ref="B31:B32"/>
    <mergeCell ref="B35:P35"/>
    <mergeCell ref="C1:C6"/>
    <mergeCell ref="B7:M7"/>
    <mergeCell ref="K16:P16"/>
    <mergeCell ref="B14:P14"/>
    <mergeCell ref="B19:B21"/>
    <mergeCell ref="D19:D21"/>
    <mergeCell ref="B8:M8"/>
    <mergeCell ref="K30:P32"/>
    <mergeCell ref="B28:P28"/>
    <mergeCell ref="B194:C194"/>
    <mergeCell ref="B169:D169"/>
    <mergeCell ref="B190:C190"/>
    <mergeCell ref="B186:D186"/>
    <mergeCell ref="B189:D189"/>
    <mergeCell ref="B172:M178"/>
    <mergeCell ref="B170:M171"/>
    <mergeCell ref="B192:C192"/>
    <mergeCell ref="E165:M169"/>
    <mergeCell ref="B162:M163"/>
    <mergeCell ref="D153:D161"/>
    <mergeCell ref="B158:C158"/>
    <mergeCell ref="B168:D168"/>
    <mergeCell ref="B159:C159"/>
    <mergeCell ref="B160:C160"/>
    <mergeCell ref="B161:C161"/>
    <mergeCell ref="B164:M164"/>
    <mergeCell ref="B165:D165"/>
    <mergeCell ref="B167:D167"/>
    <mergeCell ref="B166:D166"/>
    <mergeCell ref="B152:M152"/>
    <mergeCell ref="B150:M151"/>
    <mergeCell ref="B157:C157"/>
    <mergeCell ref="E153:M161"/>
    <mergeCell ref="B148:M148"/>
    <mergeCell ref="B153:C153"/>
    <mergeCell ref="B154:C154"/>
    <mergeCell ref="B155:C155"/>
    <mergeCell ref="B156:C156"/>
    <mergeCell ref="B149:M149"/>
    <mergeCell ref="B41:B42"/>
    <mergeCell ref="K37:P44"/>
    <mergeCell ref="K49:P54"/>
    <mergeCell ref="B53:B54"/>
    <mergeCell ref="B43:B44"/>
    <mergeCell ref="B47:P47"/>
    <mergeCell ref="B39:B40"/>
    <mergeCell ref="B37:B38"/>
    <mergeCell ref="B49:B50"/>
  </mergeCells>
  <phoneticPr fontId="27" type="noConversion"/>
  <conditionalFormatting sqref="H6:J6">
    <cfRule type="colorScale" priority="6">
      <colorScale>
        <cfvo type="num" val="0"/>
        <cfvo type="max"/>
        <color rgb="FF92D050"/>
        <color rgb="FFFF0000"/>
      </colorScale>
    </cfRule>
  </conditionalFormatting>
  <pageMargins left="0.51181102362204722" right="0.51181102362204722" top="0.78740157480314965" bottom="0.78740157480314965" header="0.31496062992125984" footer="0.31496062992125984"/>
  <pageSetup paperSize="9" scale="46" orientation="portrait" r:id="rId1"/>
  <headerFooter alignWithMargins="0"/>
  <rowBreaks count="4" manualBreakCount="4">
    <brk id="11" min="1" max="21" man="1"/>
    <brk id="16" min="1" max="21" man="1"/>
    <brk id="60" min="1" max="21" man="1"/>
    <brk id="81" min="1" max="21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6:P1370"/>
  <sheetViews>
    <sheetView showGridLines="0" workbookViewId="0">
      <selection activeCell="H11" sqref="H11"/>
    </sheetView>
  </sheetViews>
  <sheetFormatPr defaultColWidth="8.85546875" defaultRowHeight="15" x14ac:dyDescent="0.25"/>
  <cols>
    <col min="1" max="1" width="11.85546875" style="122" customWidth="1"/>
    <col min="2" max="2" width="60" style="117" customWidth="1"/>
    <col min="3" max="3" width="28.7109375" style="117" customWidth="1"/>
    <col min="4" max="4" width="14.28515625" style="26" hidden="1" customWidth="1"/>
    <col min="5" max="5" width="14.28515625" style="230" customWidth="1"/>
  </cols>
  <sheetData>
    <row r="6" spans="1:16" hidden="1" x14ac:dyDescent="0.25">
      <c r="A6" s="122" t="s">
        <v>768</v>
      </c>
      <c r="B6" s="231">
        <v>4.37</v>
      </c>
    </row>
    <row r="8" spans="1:16" x14ac:dyDescent="0.25">
      <c r="A8" s="225" t="s">
        <v>620</v>
      </c>
      <c r="B8" s="226"/>
      <c r="C8" s="226"/>
      <c r="D8" s="235"/>
      <c r="E8" s="236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</row>
    <row r="9" spans="1:16" x14ac:dyDescent="0.25">
      <c r="A9" s="111" t="s">
        <v>523</v>
      </c>
      <c r="B9" s="111" t="s">
        <v>508</v>
      </c>
      <c r="C9" s="111" t="s">
        <v>521</v>
      </c>
      <c r="D9" s="111" t="s">
        <v>522</v>
      </c>
      <c r="E9" s="111" t="s">
        <v>522</v>
      </c>
    </row>
    <row r="10" spans="1:16" ht="25.5" x14ac:dyDescent="0.25">
      <c r="A10" s="143"/>
      <c r="B10" s="163" t="s">
        <v>646</v>
      </c>
      <c r="C10" s="164" t="s">
        <v>723</v>
      </c>
      <c r="D10" s="224">
        <v>103</v>
      </c>
      <c r="E10" s="234">
        <f t="shared" ref="E10:E18" si="0">D10*$B$6</f>
        <v>450.11</v>
      </c>
    </row>
    <row r="11" spans="1:16" ht="25.5" x14ac:dyDescent="0.25">
      <c r="A11" s="143"/>
      <c r="B11" s="163" t="s">
        <v>594</v>
      </c>
      <c r="C11" s="164" t="s">
        <v>724</v>
      </c>
      <c r="D11" s="224">
        <v>103</v>
      </c>
      <c r="E11" s="234">
        <f t="shared" si="0"/>
        <v>450.11</v>
      </c>
    </row>
    <row r="12" spans="1:16" ht="25.5" x14ac:dyDescent="0.25">
      <c r="A12" s="143"/>
      <c r="B12" s="163" t="s">
        <v>595</v>
      </c>
      <c r="C12" s="164" t="s">
        <v>725</v>
      </c>
      <c r="D12" s="224">
        <v>175</v>
      </c>
      <c r="E12" s="234">
        <f t="shared" si="0"/>
        <v>764.75</v>
      </c>
    </row>
    <row r="13" spans="1:16" x14ac:dyDescent="0.25">
      <c r="A13" s="143"/>
      <c r="B13" s="273" t="s">
        <v>596</v>
      </c>
      <c r="C13" s="164" t="s">
        <v>726</v>
      </c>
      <c r="D13" s="224">
        <v>293</v>
      </c>
      <c r="E13" s="234">
        <f t="shared" si="0"/>
        <v>1280.4100000000001</v>
      </c>
    </row>
    <row r="14" spans="1:16" x14ac:dyDescent="0.25">
      <c r="A14" s="143"/>
      <c r="B14" s="274"/>
      <c r="C14" s="164" t="s">
        <v>727</v>
      </c>
      <c r="D14" s="224">
        <v>314</v>
      </c>
      <c r="E14" s="234">
        <f t="shared" si="0"/>
        <v>1372.18</v>
      </c>
    </row>
    <row r="15" spans="1:16" x14ac:dyDescent="0.25">
      <c r="A15" s="143"/>
      <c r="B15" s="275"/>
      <c r="C15" s="164" t="s">
        <v>728</v>
      </c>
      <c r="D15" s="224">
        <v>335</v>
      </c>
      <c r="E15" s="234">
        <f t="shared" si="0"/>
        <v>1463.95</v>
      </c>
    </row>
    <row r="16" spans="1:16" ht="25.5" x14ac:dyDescent="0.25">
      <c r="A16" s="143"/>
      <c r="B16" s="163" t="s">
        <v>597</v>
      </c>
      <c r="C16" s="164" t="s">
        <v>729</v>
      </c>
      <c r="D16" s="224">
        <v>304</v>
      </c>
      <c r="E16" s="234">
        <f t="shared" si="0"/>
        <v>1328.48</v>
      </c>
    </row>
    <row r="17" spans="1:5" ht="25.5" x14ac:dyDescent="0.25">
      <c r="A17" s="143"/>
      <c r="B17" s="163" t="s">
        <v>598</v>
      </c>
      <c r="C17" s="164" t="s">
        <v>730</v>
      </c>
      <c r="D17" s="224">
        <v>304</v>
      </c>
      <c r="E17" s="234">
        <f t="shared" si="0"/>
        <v>1328.48</v>
      </c>
    </row>
    <row r="18" spans="1:5" ht="25.5" x14ac:dyDescent="0.25">
      <c r="A18" s="143"/>
      <c r="B18" s="163" t="s">
        <v>599</v>
      </c>
      <c r="C18" s="164" t="s">
        <v>731</v>
      </c>
      <c r="D18" s="224">
        <v>278</v>
      </c>
      <c r="E18" s="234">
        <f t="shared" si="0"/>
        <v>1214.8600000000001</v>
      </c>
    </row>
    <row r="19" spans="1:5" x14ac:dyDescent="0.25">
      <c r="A19"/>
      <c r="B19"/>
      <c r="C19"/>
    </row>
    <row r="20" spans="1:5" x14ac:dyDescent="0.25">
      <c r="A20"/>
      <c r="B20"/>
      <c r="C20"/>
    </row>
    <row r="21" spans="1:5" ht="15.75" x14ac:dyDescent="0.25">
      <c r="A21" s="227" t="s">
        <v>769</v>
      </c>
      <c r="B21" s="216"/>
      <c r="C21" s="216"/>
      <c r="D21" s="232"/>
      <c r="E21" s="233"/>
    </row>
    <row r="22" spans="1:5" x14ac:dyDescent="0.25">
      <c r="A22" s="111" t="s">
        <v>523</v>
      </c>
      <c r="B22" s="111" t="s">
        <v>508</v>
      </c>
      <c r="C22" s="111" t="s">
        <v>521</v>
      </c>
      <c r="D22" s="111" t="s">
        <v>522</v>
      </c>
      <c r="E22" s="111" t="s">
        <v>522</v>
      </c>
    </row>
    <row r="23" spans="1:5" ht="25.5" x14ac:dyDescent="0.25">
      <c r="A23" s="113"/>
      <c r="B23" s="169" t="s">
        <v>781</v>
      </c>
      <c r="C23" s="153" t="s">
        <v>686</v>
      </c>
      <c r="D23" s="224">
        <v>293</v>
      </c>
      <c r="E23" s="234">
        <f t="shared" ref="E23" si="1">D23*$B$6</f>
        <v>1280.4100000000001</v>
      </c>
    </row>
    <row r="24" spans="1:5" x14ac:dyDescent="0.25">
      <c r="A24" s="117"/>
    </row>
    <row r="25" spans="1:5" x14ac:dyDescent="0.25">
      <c r="A25" s="117"/>
    </row>
    <row r="26" spans="1:5" ht="15.75" x14ac:dyDescent="0.25">
      <c r="A26" s="227" t="s">
        <v>770</v>
      </c>
      <c r="B26" s="216"/>
      <c r="C26" s="216"/>
      <c r="D26" s="232"/>
      <c r="E26" s="233"/>
    </row>
    <row r="27" spans="1:5" x14ac:dyDescent="0.25">
      <c r="A27" s="111" t="s">
        <v>523</v>
      </c>
      <c r="B27" s="111" t="s">
        <v>508</v>
      </c>
      <c r="C27" s="111" t="s">
        <v>521</v>
      </c>
      <c r="D27" s="111" t="s">
        <v>522</v>
      </c>
      <c r="E27" s="111" t="s">
        <v>522</v>
      </c>
    </row>
    <row r="28" spans="1:5" ht="25.5" x14ac:dyDescent="0.25">
      <c r="A28" s="143" t="s">
        <v>97</v>
      </c>
      <c r="B28" s="163" t="s">
        <v>775</v>
      </c>
      <c r="C28" s="164" t="s">
        <v>688</v>
      </c>
      <c r="D28" s="224">
        <v>206</v>
      </c>
      <c r="E28" s="234">
        <f t="shared" ref="E28:E31" si="2">D28*$B$6</f>
        <v>900.22</v>
      </c>
    </row>
    <row r="29" spans="1:5" ht="25.5" x14ac:dyDescent="0.25">
      <c r="A29" s="143" t="s">
        <v>536</v>
      </c>
      <c r="B29" s="173" t="s">
        <v>776</v>
      </c>
      <c r="C29" s="164" t="s">
        <v>689</v>
      </c>
      <c r="D29" s="224">
        <v>229</v>
      </c>
      <c r="E29" s="234">
        <f t="shared" si="2"/>
        <v>1000.73</v>
      </c>
    </row>
    <row r="30" spans="1:5" ht="25.5" x14ac:dyDescent="0.25">
      <c r="A30" s="143" t="s">
        <v>537</v>
      </c>
      <c r="B30" s="173" t="s">
        <v>777</v>
      </c>
      <c r="C30" s="164" t="s">
        <v>732</v>
      </c>
      <c r="D30" s="224">
        <v>278</v>
      </c>
      <c r="E30" s="234">
        <f t="shared" si="2"/>
        <v>1214.8600000000001</v>
      </c>
    </row>
    <row r="31" spans="1:5" ht="25.5" x14ac:dyDescent="0.25">
      <c r="A31" s="143" t="s">
        <v>538</v>
      </c>
      <c r="B31" s="174" t="s">
        <v>778</v>
      </c>
      <c r="C31" s="164" t="s">
        <v>690</v>
      </c>
      <c r="D31" s="224">
        <v>247</v>
      </c>
      <c r="E31" s="234">
        <f t="shared" si="2"/>
        <v>1079.3900000000001</v>
      </c>
    </row>
    <row r="32" spans="1:5" x14ac:dyDescent="0.25">
      <c r="A32" s="117"/>
    </row>
    <row r="33" spans="1:5" x14ac:dyDescent="0.25">
      <c r="A33" s="117"/>
    </row>
    <row r="34" spans="1:5" ht="15.75" x14ac:dyDescent="0.25">
      <c r="A34" s="227" t="s">
        <v>771</v>
      </c>
      <c r="B34" s="216"/>
      <c r="C34" s="216"/>
      <c r="D34" s="232"/>
      <c r="E34" s="233"/>
    </row>
    <row r="35" spans="1:5" x14ac:dyDescent="0.25">
      <c r="A35" s="111" t="s">
        <v>523</v>
      </c>
      <c r="B35" s="111" t="s">
        <v>508</v>
      </c>
      <c r="C35" s="111" t="s">
        <v>521</v>
      </c>
      <c r="D35" s="111" t="s">
        <v>522</v>
      </c>
      <c r="E35" s="111" t="s">
        <v>522</v>
      </c>
    </row>
    <row r="36" spans="1:5" ht="25.5" x14ac:dyDescent="0.25">
      <c r="A36" s="143" t="s">
        <v>541</v>
      </c>
      <c r="B36" s="173" t="s">
        <v>779</v>
      </c>
      <c r="C36" s="164" t="s">
        <v>691</v>
      </c>
      <c r="D36" s="224">
        <v>227</v>
      </c>
      <c r="E36" s="234">
        <f t="shared" ref="E36:E39" si="3">D36*$B$6</f>
        <v>991.99</v>
      </c>
    </row>
    <row r="37" spans="1:5" ht="38.25" x14ac:dyDescent="0.25">
      <c r="A37" s="143" t="s">
        <v>543</v>
      </c>
      <c r="B37" s="163" t="s">
        <v>736</v>
      </c>
      <c r="C37" s="164" t="s">
        <v>692</v>
      </c>
      <c r="D37" s="224">
        <v>144</v>
      </c>
      <c r="E37" s="234">
        <f t="shared" si="3"/>
        <v>629.28</v>
      </c>
    </row>
    <row r="38" spans="1:5" ht="25.5" x14ac:dyDescent="0.25">
      <c r="A38" s="143" t="s">
        <v>544</v>
      </c>
      <c r="B38" s="173" t="s">
        <v>780</v>
      </c>
      <c r="C38" s="164" t="s">
        <v>693</v>
      </c>
      <c r="D38" s="224">
        <v>165</v>
      </c>
      <c r="E38" s="234">
        <f t="shared" si="3"/>
        <v>721.05000000000007</v>
      </c>
    </row>
    <row r="39" spans="1:5" ht="25.5" x14ac:dyDescent="0.25">
      <c r="A39" s="143" t="s">
        <v>120</v>
      </c>
      <c r="B39" s="163" t="s">
        <v>608</v>
      </c>
      <c r="C39" s="164" t="s">
        <v>693</v>
      </c>
      <c r="D39" s="224">
        <v>165</v>
      </c>
      <c r="E39" s="234">
        <f t="shared" si="3"/>
        <v>721.05000000000007</v>
      </c>
    </row>
    <row r="40" spans="1:5" x14ac:dyDescent="0.25">
      <c r="A40" s="117"/>
    </row>
    <row r="41" spans="1:5" x14ac:dyDescent="0.25">
      <c r="A41" s="117"/>
    </row>
    <row r="42" spans="1:5" ht="15.75" x14ac:dyDescent="0.25">
      <c r="A42" s="227" t="s">
        <v>624</v>
      </c>
      <c r="B42" s="216"/>
      <c r="C42" s="216"/>
      <c r="D42" s="232"/>
      <c r="E42" s="233"/>
    </row>
    <row r="43" spans="1:5" x14ac:dyDescent="0.25">
      <c r="A43" s="111" t="s">
        <v>523</v>
      </c>
      <c r="B43" s="111" t="s">
        <v>508</v>
      </c>
      <c r="C43" s="111" t="s">
        <v>521</v>
      </c>
      <c r="D43" s="111" t="s">
        <v>522</v>
      </c>
      <c r="E43" s="111" t="s">
        <v>522</v>
      </c>
    </row>
    <row r="44" spans="1:5" ht="25.5" x14ac:dyDescent="0.25">
      <c r="A44" s="143" t="s">
        <v>546</v>
      </c>
      <c r="B44" s="163" t="s">
        <v>781</v>
      </c>
      <c r="C44" s="164" t="s">
        <v>694</v>
      </c>
      <c r="D44" s="224">
        <v>155</v>
      </c>
      <c r="E44" s="234">
        <f t="shared" ref="E44:E53" si="4">D44*$B$6</f>
        <v>677.35</v>
      </c>
    </row>
    <row r="45" spans="1:5" ht="25.5" x14ac:dyDescent="0.25">
      <c r="A45" s="143" t="s">
        <v>361</v>
      </c>
      <c r="B45" s="163" t="s">
        <v>602</v>
      </c>
      <c r="C45" s="164" t="s">
        <v>724</v>
      </c>
      <c r="D45" s="224">
        <v>206</v>
      </c>
      <c r="E45" s="234">
        <f t="shared" si="4"/>
        <v>900.22</v>
      </c>
    </row>
    <row r="46" spans="1:5" ht="25.5" x14ac:dyDescent="0.25">
      <c r="A46" s="143" t="s">
        <v>362</v>
      </c>
      <c r="B46" s="163" t="s">
        <v>600</v>
      </c>
      <c r="C46" s="164" t="s">
        <v>724</v>
      </c>
      <c r="D46" s="224">
        <v>206</v>
      </c>
      <c r="E46" s="234">
        <f t="shared" si="4"/>
        <v>900.22</v>
      </c>
    </row>
    <row r="47" spans="1:5" ht="25.5" x14ac:dyDescent="0.25">
      <c r="A47" s="143" t="s">
        <v>549</v>
      </c>
      <c r="B47" s="173" t="s">
        <v>601</v>
      </c>
      <c r="C47" s="164" t="s">
        <v>515</v>
      </c>
      <c r="D47" s="224">
        <v>144</v>
      </c>
      <c r="E47" s="234">
        <f t="shared" si="4"/>
        <v>629.28</v>
      </c>
    </row>
    <row r="48" spans="1:5" x14ac:dyDescent="0.25">
      <c r="A48" s="143" t="s">
        <v>353</v>
      </c>
      <c r="B48" s="273" t="s">
        <v>603</v>
      </c>
      <c r="C48" s="164" t="s">
        <v>766</v>
      </c>
      <c r="D48" s="224">
        <v>319</v>
      </c>
      <c r="E48" s="234">
        <f t="shared" si="4"/>
        <v>1394.03</v>
      </c>
    </row>
    <row r="49" spans="1:5" x14ac:dyDescent="0.25">
      <c r="A49" s="143" t="s">
        <v>550</v>
      </c>
      <c r="B49" s="274"/>
      <c r="C49" s="164" t="s">
        <v>733</v>
      </c>
      <c r="D49" s="224">
        <v>319</v>
      </c>
      <c r="E49" s="234">
        <f t="shared" si="4"/>
        <v>1394.03</v>
      </c>
    </row>
    <row r="50" spans="1:5" x14ac:dyDescent="0.25">
      <c r="A50" s="143" t="s">
        <v>551</v>
      </c>
      <c r="B50" s="275"/>
      <c r="C50" s="164" t="s">
        <v>728</v>
      </c>
      <c r="D50" s="224">
        <v>335</v>
      </c>
      <c r="E50" s="234">
        <f t="shared" si="4"/>
        <v>1463.95</v>
      </c>
    </row>
    <row r="51" spans="1:5" ht="25.5" x14ac:dyDescent="0.25">
      <c r="A51" s="143" t="s">
        <v>354</v>
      </c>
      <c r="B51" s="163" t="s">
        <v>605</v>
      </c>
      <c r="C51" s="164" t="s">
        <v>734</v>
      </c>
      <c r="D51" s="224">
        <v>319</v>
      </c>
      <c r="E51" s="234">
        <f t="shared" si="4"/>
        <v>1394.03</v>
      </c>
    </row>
    <row r="52" spans="1:5" ht="25.5" x14ac:dyDescent="0.25">
      <c r="A52" s="143" t="s">
        <v>355</v>
      </c>
      <c r="B52" s="163" t="s">
        <v>606</v>
      </c>
      <c r="C52" s="164" t="s">
        <v>734</v>
      </c>
      <c r="D52" s="224">
        <v>319</v>
      </c>
      <c r="E52" s="234">
        <f t="shared" si="4"/>
        <v>1394.03</v>
      </c>
    </row>
    <row r="53" spans="1:5" ht="25.5" x14ac:dyDescent="0.25">
      <c r="A53" s="143" t="s">
        <v>488</v>
      </c>
      <c r="B53" s="163" t="s">
        <v>604</v>
      </c>
      <c r="C53" s="164" t="s">
        <v>731</v>
      </c>
      <c r="D53" s="224">
        <v>319</v>
      </c>
      <c r="E53" s="234">
        <f t="shared" si="4"/>
        <v>1394.03</v>
      </c>
    </row>
    <row r="54" spans="1:5" x14ac:dyDescent="0.25">
      <c r="A54" s="117"/>
    </row>
    <row r="55" spans="1:5" x14ac:dyDescent="0.25">
      <c r="A55" s="117"/>
    </row>
    <row r="56" spans="1:5" ht="15.75" x14ac:dyDescent="0.25">
      <c r="A56" s="227" t="s">
        <v>772</v>
      </c>
      <c r="B56" s="216"/>
      <c r="C56" s="216"/>
      <c r="D56" s="232"/>
      <c r="E56" s="233"/>
    </row>
    <row r="57" spans="1:5" x14ac:dyDescent="0.25">
      <c r="A57" s="111" t="s">
        <v>523</v>
      </c>
      <c r="B57" s="111" t="s">
        <v>508</v>
      </c>
      <c r="C57" s="111" t="s">
        <v>521</v>
      </c>
      <c r="D57" s="111" t="s">
        <v>522</v>
      </c>
      <c r="E57" s="111" t="s">
        <v>522</v>
      </c>
    </row>
    <row r="58" spans="1:5" ht="25.5" x14ac:dyDescent="0.25">
      <c r="A58" s="143" t="s">
        <v>368</v>
      </c>
      <c r="B58" s="150" t="s">
        <v>782</v>
      </c>
      <c r="C58" s="147" t="s">
        <v>735</v>
      </c>
      <c r="D58" s="224">
        <v>201</v>
      </c>
      <c r="E58" s="234">
        <f t="shared" ref="E58:E69" si="5">D58*$B$6</f>
        <v>878.37</v>
      </c>
    </row>
    <row r="59" spans="1:5" ht="25.5" x14ac:dyDescent="0.25">
      <c r="A59" s="143" t="s">
        <v>369</v>
      </c>
      <c r="B59" s="150" t="s">
        <v>783</v>
      </c>
      <c r="C59" s="147" t="s">
        <v>695</v>
      </c>
      <c r="D59" s="224">
        <v>144</v>
      </c>
      <c r="E59" s="234">
        <f t="shared" si="5"/>
        <v>629.28</v>
      </c>
    </row>
    <row r="60" spans="1:5" ht="25.5" x14ac:dyDescent="0.25">
      <c r="A60" s="143" t="s">
        <v>554</v>
      </c>
      <c r="B60" s="150" t="s">
        <v>784</v>
      </c>
      <c r="C60" s="147" t="s">
        <v>696</v>
      </c>
      <c r="D60" s="224">
        <v>144</v>
      </c>
      <c r="E60" s="234">
        <f t="shared" si="5"/>
        <v>629.28</v>
      </c>
    </row>
    <row r="61" spans="1:5" ht="25.5" x14ac:dyDescent="0.25">
      <c r="A61" s="143" t="s">
        <v>371</v>
      </c>
      <c r="B61" s="150" t="s">
        <v>785</v>
      </c>
      <c r="C61" s="147" t="s">
        <v>697</v>
      </c>
      <c r="D61" s="224">
        <v>191</v>
      </c>
      <c r="E61" s="234">
        <f t="shared" si="5"/>
        <v>834.67000000000007</v>
      </c>
    </row>
    <row r="62" spans="1:5" ht="25.5" x14ac:dyDescent="0.25">
      <c r="A62" s="143" t="s">
        <v>376</v>
      </c>
      <c r="B62" s="150" t="s">
        <v>607</v>
      </c>
      <c r="C62" s="147" t="s">
        <v>698</v>
      </c>
      <c r="D62" s="224">
        <v>186</v>
      </c>
      <c r="E62" s="234">
        <f t="shared" si="5"/>
        <v>812.82</v>
      </c>
    </row>
    <row r="63" spans="1:5" ht="25.5" x14ac:dyDescent="0.25">
      <c r="A63" s="143" t="s">
        <v>370</v>
      </c>
      <c r="B63" s="150" t="s">
        <v>608</v>
      </c>
      <c r="C63" s="147" t="s">
        <v>699</v>
      </c>
      <c r="D63" s="224">
        <v>186</v>
      </c>
      <c r="E63" s="234">
        <f t="shared" si="5"/>
        <v>812.82</v>
      </c>
    </row>
    <row r="64" spans="1:5" x14ac:dyDescent="0.25">
      <c r="A64" s="143" t="s">
        <v>379</v>
      </c>
      <c r="B64" s="286" t="s">
        <v>609</v>
      </c>
      <c r="C64" s="147" t="s">
        <v>700</v>
      </c>
      <c r="D64" s="224">
        <v>237</v>
      </c>
      <c r="E64" s="234">
        <f t="shared" si="5"/>
        <v>1035.69</v>
      </c>
    </row>
    <row r="65" spans="1:5" x14ac:dyDescent="0.25">
      <c r="A65" s="143" t="s">
        <v>557</v>
      </c>
      <c r="B65" s="287"/>
      <c r="C65" s="147" t="s">
        <v>701</v>
      </c>
      <c r="D65" s="224">
        <v>237</v>
      </c>
      <c r="E65" s="234">
        <f t="shared" si="5"/>
        <v>1035.69</v>
      </c>
    </row>
    <row r="66" spans="1:5" x14ac:dyDescent="0.25">
      <c r="A66" s="143" t="s">
        <v>365</v>
      </c>
      <c r="B66" s="288"/>
      <c r="C66" s="147" t="s">
        <v>702</v>
      </c>
      <c r="D66" s="224">
        <v>237</v>
      </c>
      <c r="E66" s="234">
        <f t="shared" si="5"/>
        <v>1035.69</v>
      </c>
    </row>
    <row r="67" spans="1:5" ht="25.5" x14ac:dyDescent="0.25">
      <c r="A67" s="143" t="s">
        <v>364</v>
      </c>
      <c r="B67" s="150" t="s">
        <v>610</v>
      </c>
      <c r="C67" s="147" t="s">
        <v>703</v>
      </c>
      <c r="D67" s="224">
        <v>237</v>
      </c>
      <c r="E67" s="234">
        <f t="shared" si="5"/>
        <v>1035.69</v>
      </c>
    </row>
    <row r="68" spans="1:5" ht="25.5" x14ac:dyDescent="0.25">
      <c r="A68" s="143" t="s">
        <v>363</v>
      </c>
      <c r="B68" s="150" t="s">
        <v>611</v>
      </c>
      <c r="C68" s="147" t="s">
        <v>703</v>
      </c>
      <c r="D68" s="224">
        <v>237</v>
      </c>
      <c r="E68" s="234">
        <f t="shared" si="5"/>
        <v>1035.69</v>
      </c>
    </row>
    <row r="69" spans="1:5" ht="25.5" x14ac:dyDescent="0.25">
      <c r="A69" s="143" t="s">
        <v>367</v>
      </c>
      <c r="B69" s="150" t="s">
        <v>740</v>
      </c>
      <c r="C69" s="147" t="s">
        <v>704</v>
      </c>
      <c r="D69" s="224">
        <v>237</v>
      </c>
      <c r="E69" s="234">
        <f t="shared" si="5"/>
        <v>1035.69</v>
      </c>
    </row>
    <row r="70" spans="1:5" x14ac:dyDescent="0.25">
      <c r="A70" s="142"/>
      <c r="B70" s="142"/>
      <c r="C70" s="142"/>
    </row>
    <row r="71" spans="1:5" x14ac:dyDescent="0.25">
      <c r="A71" s="142"/>
      <c r="B71" s="142"/>
      <c r="C71" s="142"/>
    </row>
    <row r="72" spans="1:5" ht="15.75" x14ac:dyDescent="0.25">
      <c r="A72" s="227" t="s">
        <v>632</v>
      </c>
      <c r="B72" s="216"/>
      <c r="C72" s="216"/>
      <c r="D72" s="232"/>
      <c r="E72" s="233"/>
    </row>
    <row r="73" spans="1:5" x14ac:dyDescent="0.25">
      <c r="A73" s="111" t="s">
        <v>523</v>
      </c>
      <c r="B73" s="111" t="s">
        <v>508</v>
      </c>
      <c r="C73" s="111" t="s">
        <v>521</v>
      </c>
      <c r="D73" s="111" t="s">
        <v>522</v>
      </c>
      <c r="E73" s="111" t="s">
        <v>522</v>
      </c>
    </row>
    <row r="74" spans="1:5" x14ac:dyDescent="0.25">
      <c r="A74" s="113" t="s">
        <v>560</v>
      </c>
      <c r="B74" s="279" t="s">
        <v>612</v>
      </c>
      <c r="C74" s="164" t="s">
        <v>707</v>
      </c>
      <c r="D74" s="224">
        <v>119</v>
      </c>
      <c r="E74" s="234">
        <f t="shared" ref="E74:E94" si="6">D74*$B$6</f>
        <v>520.03</v>
      </c>
    </row>
    <row r="75" spans="1:5" x14ac:dyDescent="0.25">
      <c r="A75" s="113" t="s">
        <v>559</v>
      </c>
      <c r="B75" s="280"/>
      <c r="C75" s="164" t="s">
        <v>706</v>
      </c>
      <c r="D75" s="224">
        <v>119</v>
      </c>
      <c r="E75" s="234">
        <f t="shared" si="6"/>
        <v>520.03</v>
      </c>
    </row>
    <row r="76" spans="1:5" x14ac:dyDescent="0.25">
      <c r="A76" s="113" t="s">
        <v>558</v>
      </c>
      <c r="B76" s="280"/>
      <c r="C76" s="164" t="s">
        <v>705</v>
      </c>
      <c r="D76" s="224">
        <v>119</v>
      </c>
      <c r="E76" s="234">
        <f t="shared" si="6"/>
        <v>520.03</v>
      </c>
    </row>
    <row r="77" spans="1:5" x14ac:dyDescent="0.25">
      <c r="A77" s="113" t="s">
        <v>561</v>
      </c>
      <c r="B77" s="279" t="s">
        <v>613</v>
      </c>
      <c r="C77" s="164" t="s">
        <v>708</v>
      </c>
      <c r="D77" s="224">
        <v>160</v>
      </c>
      <c r="E77" s="234">
        <f t="shared" si="6"/>
        <v>699.2</v>
      </c>
    </row>
    <row r="78" spans="1:5" x14ac:dyDescent="0.25">
      <c r="A78" s="113" t="s">
        <v>562</v>
      </c>
      <c r="B78" s="282"/>
      <c r="C78" s="164" t="s">
        <v>709</v>
      </c>
      <c r="D78" s="224">
        <v>165</v>
      </c>
      <c r="E78" s="234">
        <f t="shared" si="6"/>
        <v>721.05000000000007</v>
      </c>
    </row>
    <row r="79" spans="1:5" ht="25.5" x14ac:dyDescent="0.25">
      <c r="A79" s="113" t="s">
        <v>563</v>
      </c>
      <c r="B79" s="150" t="s">
        <v>614</v>
      </c>
      <c r="C79" s="164" t="s">
        <v>710</v>
      </c>
      <c r="D79" s="224">
        <v>103</v>
      </c>
      <c r="E79" s="234">
        <f t="shared" si="6"/>
        <v>450.11</v>
      </c>
    </row>
    <row r="80" spans="1:5" ht="25.5" x14ac:dyDescent="0.25">
      <c r="A80" s="113" t="s">
        <v>564</v>
      </c>
      <c r="B80" s="150" t="s">
        <v>602</v>
      </c>
      <c r="C80" s="147" t="s">
        <v>711</v>
      </c>
      <c r="D80" s="224">
        <v>288</v>
      </c>
      <c r="E80" s="234">
        <f t="shared" si="6"/>
        <v>1258.56</v>
      </c>
    </row>
    <row r="81" spans="1:5" ht="25.5" x14ac:dyDescent="0.25">
      <c r="A81" s="113" t="s">
        <v>565</v>
      </c>
      <c r="B81" s="150" t="s">
        <v>615</v>
      </c>
      <c r="C81" s="147" t="s">
        <v>711</v>
      </c>
      <c r="D81" s="224">
        <v>288</v>
      </c>
      <c r="E81" s="234">
        <f t="shared" si="6"/>
        <v>1258.56</v>
      </c>
    </row>
    <row r="82" spans="1:5" ht="25.5" x14ac:dyDescent="0.25">
      <c r="A82" s="113" t="s">
        <v>566</v>
      </c>
      <c r="B82" s="150" t="s">
        <v>616</v>
      </c>
      <c r="C82" s="147" t="s">
        <v>711</v>
      </c>
      <c r="D82" s="224">
        <v>288</v>
      </c>
      <c r="E82" s="234">
        <f t="shared" si="6"/>
        <v>1258.56</v>
      </c>
    </row>
    <row r="83" spans="1:5" x14ac:dyDescent="0.25">
      <c r="A83" s="113" t="s">
        <v>567</v>
      </c>
      <c r="B83" s="286" t="s">
        <v>603</v>
      </c>
      <c r="C83" s="147" t="s">
        <v>712</v>
      </c>
      <c r="D83" s="224">
        <v>381</v>
      </c>
      <c r="E83" s="234">
        <f t="shared" si="6"/>
        <v>1664.97</v>
      </c>
    </row>
    <row r="84" spans="1:5" x14ac:dyDescent="0.25">
      <c r="A84" s="113" t="s">
        <v>568</v>
      </c>
      <c r="B84" s="287"/>
      <c r="C84" s="147" t="s">
        <v>713</v>
      </c>
      <c r="D84" s="224">
        <v>535</v>
      </c>
      <c r="E84" s="234">
        <f t="shared" si="6"/>
        <v>2337.9500000000003</v>
      </c>
    </row>
    <row r="85" spans="1:5" x14ac:dyDescent="0.25">
      <c r="A85" s="113" t="s">
        <v>569</v>
      </c>
      <c r="B85" s="288"/>
      <c r="C85" s="147" t="s">
        <v>714</v>
      </c>
      <c r="D85" s="224">
        <v>617</v>
      </c>
      <c r="E85" s="234">
        <f t="shared" si="6"/>
        <v>2696.29</v>
      </c>
    </row>
    <row r="86" spans="1:5" x14ac:dyDescent="0.25">
      <c r="A86" s="113" t="s">
        <v>570</v>
      </c>
      <c r="B86" s="286" t="s">
        <v>617</v>
      </c>
      <c r="C86" s="147" t="s">
        <v>712</v>
      </c>
      <c r="D86" s="224">
        <v>381</v>
      </c>
      <c r="E86" s="234">
        <f t="shared" si="6"/>
        <v>1664.97</v>
      </c>
    </row>
    <row r="87" spans="1:5" x14ac:dyDescent="0.25">
      <c r="A87" s="113" t="s">
        <v>571</v>
      </c>
      <c r="B87" s="287"/>
      <c r="C87" s="147" t="s">
        <v>715</v>
      </c>
      <c r="D87" s="224">
        <v>535</v>
      </c>
      <c r="E87" s="234">
        <f t="shared" si="6"/>
        <v>2337.9500000000003</v>
      </c>
    </row>
    <row r="88" spans="1:5" x14ac:dyDescent="0.25">
      <c r="A88" s="113" t="s">
        <v>572</v>
      </c>
      <c r="B88" s="288"/>
      <c r="C88" s="147" t="s">
        <v>714</v>
      </c>
      <c r="D88" s="224">
        <v>617</v>
      </c>
      <c r="E88" s="234">
        <f t="shared" si="6"/>
        <v>2696.29</v>
      </c>
    </row>
    <row r="89" spans="1:5" x14ac:dyDescent="0.25">
      <c r="A89" s="113" t="s">
        <v>573</v>
      </c>
      <c r="B89" s="286" t="s">
        <v>618</v>
      </c>
      <c r="C89" s="147" t="s">
        <v>716</v>
      </c>
      <c r="D89" s="224">
        <v>381</v>
      </c>
      <c r="E89" s="234">
        <f t="shared" si="6"/>
        <v>1664.97</v>
      </c>
    </row>
    <row r="90" spans="1:5" x14ac:dyDescent="0.25">
      <c r="A90" s="113" t="s">
        <v>574</v>
      </c>
      <c r="B90" s="287"/>
      <c r="C90" s="147" t="s">
        <v>715</v>
      </c>
      <c r="D90" s="224">
        <v>535</v>
      </c>
      <c r="E90" s="234">
        <f t="shared" si="6"/>
        <v>2337.9500000000003</v>
      </c>
    </row>
    <row r="91" spans="1:5" x14ac:dyDescent="0.25">
      <c r="A91" s="113" t="s">
        <v>575</v>
      </c>
      <c r="B91" s="288"/>
      <c r="C91" s="147" t="s">
        <v>714</v>
      </c>
      <c r="D91" s="224">
        <v>617</v>
      </c>
      <c r="E91" s="234">
        <f t="shared" si="6"/>
        <v>2696.29</v>
      </c>
    </row>
    <row r="92" spans="1:5" x14ac:dyDescent="0.25">
      <c r="A92" s="113" t="s">
        <v>576</v>
      </c>
      <c r="B92" s="286" t="s">
        <v>619</v>
      </c>
      <c r="C92" s="147" t="s">
        <v>712</v>
      </c>
      <c r="D92" s="224">
        <v>381</v>
      </c>
      <c r="E92" s="234">
        <f t="shared" si="6"/>
        <v>1664.97</v>
      </c>
    </row>
    <row r="93" spans="1:5" x14ac:dyDescent="0.25">
      <c r="A93" s="113" t="s">
        <v>577</v>
      </c>
      <c r="B93" s="287"/>
      <c r="C93" s="147" t="s">
        <v>715</v>
      </c>
      <c r="D93" s="224">
        <v>535</v>
      </c>
      <c r="E93" s="234">
        <f t="shared" si="6"/>
        <v>2337.9500000000003</v>
      </c>
    </row>
    <row r="94" spans="1:5" x14ac:dyDescent="0.25">
      <c r="A94" s="113" t="s">
        <v>578</v>
      </c>
      <c r="B94" s="288"/>
      <c r="C94" s="147" t="s">
        <v>714</v>
      </c>
      <c r="D94" s="224">
        <v>617</v>
      </c>
      <c r="E94" s="234">
        <f t="shared" si="6"/>
        <v>2696.29</v>
      </c>
    </row>
    <row r="95" spans="1:5" x14ac:dyDescent="0.25">
      <c r="A95" s="178"/>
      <c r="B95" s="178"/>
      <c r="C95" s="178"/>
    </row>
    <row r="96" spans="1:5" x14ac:dyDescent="0.25">
      <c r="A96" s="178"/>
      <c r="B96" s="178"/>
      <c r="C96" s="178"/>
    </row>
    <row r="97" spans="1:5" ht="15.75" x14ac:dyDescent="0.25">
      <c r="A97" s="227" t="s">
        <v>773</v>
      </c>
      <c r="B97" s="216"/>
      <c r="C97" s="216"/>
      <c r="D97" s="232"/>
      <c r="E97" s="233"/>
    </row>
    <row r="98" spans="1:5" x14ac:dyDescent="0.25">
      <c r="A98" s="111" t="s">
        <v>523</v>
      </c>
      <c r="B98" s="111" t="s">
        <v>508</v>
      </c>
      <c r="C98" s="111" t="s">
        <v>521</v>
      </c>
      <c r="D98" s="111" t="s">
        <v>522</v>
      </c>
      <c r="E98" s="111" t="s">
        <v>522</v>
      </c>
    </row>
    <row r="99" spans="1:5" ht="25.5" x14ac:dyDescent="0.25">
      <c r="A99" s="113" t="s">
        <v>580</v>
      </c>
      <c r="B99" s="114" t="s">
        <v>671</v>
      </c>
      <c r="C99" s="113" t="s">
        <v>717</v>
      </c>
      <c r="D99" s="224">
        <v>206</v>
      </c>
      <c r="E99" s="234">
        <f t="shared" ref="E99:E118" si="7">D99*$B$6</f>
        <v>900.22</v>
      </c>
    </row>
    <row r="100" spans="1:5" ht="25.5" x14ac:dyDescent="0.25">
      <c r="A100" s="113" t="s">
        <v>579</v>
      </c>
      <c r="B100" s="150" t="s">
        <v>670</v>
      </c>
      <c r="C100" s="113" t="s">
        <v>717</v>
      </c>
      <c r="D100" s="224">
        <v>206</v>
      </c>
      <c r="E100" s="234">
        <f t="shared" si="7"/>
        <v>900.22</v>
      </c>
    </row>
    <row r="101" spans="1:5" ht="25.5" x14ac:dyDescent="0.25">
      <c r="A101" s="113" t="s">
        <v>581</v>
      </c>
      <c r="B101" s="150" t="s">
        <v>672</v>
      </c>
      <c r="C101" s="113" t="s">
        <v>717</v>
      </c>
      <c r="D101" s="224">
        <v>206</v>
      </c>
      <c r="E101" s="234">
        <f t="shared" si="7"/>
        <v>900.22</v>
      </c>
    </row>
    <row r="102" spans="1:5" ht="25.5" x14ac:dyDescent="0.25">
      <c r="A102" s="113" t="s">
        <v>582</v>
      </c>
      <c r="B102" s="150" t="s">
        <v>673</v>
      </c>
      <c r="C102" s="113" t="s">
        <v>717</v>
      </c>
      <c r="D102" s="224">
        <v>206</v>
      </c>
      <c r="E102" s="234">
        <f t="shared" si="7"/>
        <v>900.22</v>
      </c>
    </row>
    <row r="103" spans="1:5" x14ac:dyDescent="0.25">
      <c r="A103" s="113" t="s">
        <v>746</v>
      </c>
      <c r="B103" s="292" t="s">
        <v>744</v>
      </c>
      <c r="C103" s="113" t="s">
        <v>512</v>
      </c>
      <c r="D103" s="224">
        <v>222</v>
      </c>
      <c r="E103" s="234">
        <f t="shared" si="7"/>
        <v>970.14</v>
      </c>
    </row>
    <row r="104" spans="1:5" x14ac:dyDescent="0.25">
      <c r="A104" s="113" t="s">
        <v>747</v>
      </c>
      <c r="B104" s="293"/>
      <c r="C104" s="113" t="s">
        <v>513</v>
      </c>
      <c r="D104" s="224">
        <v>252</v>
      </c>
      <c r="E104" s="234">
        <f t="shared" si="7"/>
        <v>1101.24</v>
      </c>
    </row>
    <row r="105" spans="1:5" x14ac:dyDescent="0.25">
      <c r="A105" s="113" t="s">
        <v>748</v>
      </c>
      <c r="B105" s="293"/>
      <c r="C105" s="113" t="s">
        <v>514</v>
      </c>
      <c r="D105" s="224">
        <v>283</v>
      </c>
      <c r="E105" s="234">
        <f t="shared" si="7"/>
        <v>1236.71</v>
      </c>
    </row>
    <row r="106" spans="1:5" x14ac:dyDescent="0.25">
      <c r="A106" s="113" t="s">
        <v>749</v>
      </c>
      <c r="B106" s="294"/>
      <c r="C106" s="113" t="s">
        <v>516</v>
      </c>
      <c r="D106" s="224">
        <v>340</v>
      </c>
      <c r="E106" s="234">
        <f t="shared" si="7"/>
        <v>1485.8</v>
      </c>
    </row>
    <row r="107" spans="1:5" ht="25.5" x14ac:dyDescent="0.25">
      <c r="A107" s="113" t="s">
        <v>583</v>
      </c>
      <c r="B107" s="114" t="s">
        <v>674</v>
      </c>
      <c r="C107" s="113" t="s">
        <v>718</v>
      </c>
      <c r="D107" s="224">
        <v>144</v>
      </c>
      <c r="E107" s="234">
        <f t="shared" si="7"/>
        <v>629.28</v>
      </c>
    </row>
    <row r="108" spans="1:5" ht="25.5" x14ac:dyDescent="0.25">
      <c r="A108" s="113" t="s">
        <v>584</v>
      </c>
      <c r="B108" s="150" t="s">
        <v>675</v>
      </c>
      <c r="C108" s="113" t="s">
        <v>718</v>
      </c>
      <c r="D108" s="224">
        <v>144</v>
      </c>
      <c r="E108" s="234">
        <f t="shared" si="7"/>
        <v>629.28</v>
      </c>
    </row>
    <row r="109" spans="1:5" ht="25.5" x14ac:dyDescent="0.25">
      <c r="A109" s="113" t="s">
        <v>585</v>
      </c>
      <c r="B109" s="150" t="s">
        <v>669</v>
      </c>
      <c r="C109" s="113" t="s">
        <v>719</v>
      </c>
      <c r="D109" s="224">
        <v>144</v>
      </c>
      <c r="E109" s="234">
        <f t="shared" si="7"/>
        <v>629.28</v>
      </c>
    </row>
    <row r="110" spans="1:5" ht="25.5" x14ac:dyDescent="0.25">
      <c r="A110" s="113" t="s">
        <v>586</v>
      </c>
      <c r="B110" s="150" t="s">
        <v>676</v>
      </c>
      <c r="C110" s="113" t="s">
        <v>718</v>
      </c>
      <c r="D110" s="224">
        <v>144</v>
      </c>
      <c r="E110" s="234">
        <f t="shared" si="7"/>
        <v>629.28</v>
      </c>
    </row>
    <row r="111" spans="1:5" x14ac:dyDescent="0.25">
      <c r="A111" s="113" t="s">
        <v>587</v>
      </c>
      <c r="B111" s="295" t="s">
        <v>745</v>
      </c>
      <c r="C111" s="113" t="s">
        <v>511</v>
      </c>
      <c r="D111" s="224">
        <v>201</v>
      </c>
      <c r="E111" s="234">
        <f t="shared" si="7"/>
        <v>878.37</v>
      </c>
    </row>
    <row r="112" spans="1:5" x14ac:dyDescent="0.25">
      <c r="A112" s="113" t="s">
        <v>743</v>
      </c>
      <c r="B112" s="296"/>
      <c r="C112" s="113" t="s">
        <v>512</v>
      </c>
      <c r="D112" s="224">
        <v>222</v>
      </c>
      <c r="E112" s="234">
        <f t="shared" si="7"/>
        <v>970.14</v>
      </c>
    </row>
    <row r="113" spans="1:5" x14ac:dyDescent="0.25">
      <c r="A113" s="113" t="s">
        <v>588</v>
      </c>
      <c r="B113" s="296"/>
      <c r="C113" s="113" t="s">
        <v>513</v>
      </c>
      <c r="D113" s="224">
        <v>252</v>
      </c>
      <c r="E113" s="234">
        <f t="shared" si="7"/>
        <v>1101.24</v>
      </c>
    </row>
    <row r="114" spans="1:5" x14ac:dyDescent="0.25">
      <c r="A114" s="113" t="s">
        <v>589</v>
      </c>
      <c r="B114" s="297"/>
      <c r="C114" s="113" t="s">
        <v>514</v>
      </c>
      <c r="D114" s="224">
        <v>283</v>
      </c>
      <c r="E114" s="234">
        <f t="shared" si="7"/>
        <v>1236.71</v>
      </c>
    </row>
    <row r="115" spans="1:5" x14ac:dyDescent="0.25">
      <c r="A115" s="113" t="s">
        <v>590</v>
      </c>
      <c r="B115" s="286" t="s">
        <v>677</v>
      </c>
      <c r="C115" s="113" t="s">
        <v>720</v>
      </c>
      <c r="D115" s="224">
        <v>191</v>
      </c>
      <c r="E115" s="234">
        <f t="shared" si="7"/>
        <v>834.67000000000007</v>
      </c>
    </row>
    <row r="116" spans="1:5" x14ac:dyDescent="0.25">
      <c r="A116" s="113" t="s">
        <v>591</v>
      </c>
      <c r="B116" s="288"/>
      <c r="C116" s="113" t="s">
        <v>721</v>
      </c>
      <c r="D116" s="224">
        <v>191</v>
      </c>
      <c r="E116" s="234">
        <f t="shared" si="7"/>
        <v>834.67000000000007</v>
      </c>
    </row>
    <row r="117" spans="1:5" ht="25.5" x14ac:dyDescent="0.25">
      <c r="A117" s="113" t="s">
        <v>592</v>
      </c>
      <c r="B117" s="114" t="s">
        <v>741</v>
      </c>
      <c r="C117" s="113" t="s">
        <v>722</v>
      </c>
      <c r="D117" s="224">
        <v>247</v>
      </c>
      <c r="E117" s="234">
        <f t="shared" si="7"/>
        <v>1079.3900000000001</v>
      </c>
    </row>
    <row r="118" spans="1:5" ht="25.5" x14ac:dyDescent="0.25">
      <c r="A118" s="113" t="s">
        <v>593</v>
      </c>
      <c r="B118" s="150" t="s">
        <v>678</v>
      </c>
      <c r="C118" s="113" t="s">
        <v>722</v>
      </c>
      <c r="D118" s="224">
        <v>247</v>
      </c>
      <c r="E118" s="234">
        <f t="shared" si="7"/>
        <v>1079.3900000000001</v>
      </c>
    </row>
    <row r="119" spans="1:5" x14ac:dyDescent="0.25">
      <c r="A119" s="184"/>
      <c r="B119" s="172"/>
      <c r="C119" s="184"/>
    </row>
    <row r="120" spans="1:5" x14ac:dyDescent="0.25">
      <c r="A120" s="142"/>
      <c r="B120" s="142"/>
      <c r="C120" s="142"/>
    </row>
    <row r="121" spans="1:5" x14ac:dyDescent="0.25">
      <c r="A121" s="142"/>
      <c r="B121" s="142"/>
      <c r="C121" s="142"/>
    </row>
    <row r="122" spans="1:5" x14ac:dyDescent="0.25">
      <c r="A122" s="142"/>
      <c r="B122" s="142"/>
      <c r="C122" s="142"/>
    </row>
    <row r="123" spans="1:5" x14ac:dyDescent="0.25">
      <c r="A123" s="142"/>
      <c r="B123" s="142"/>
      <c r="C123" s="142"/>
    </row>
    <row r="124" spans="1:5" x14ac:dyDescent="0.25">
      <c r="A124" s="123"/>
      <c r="B124" s="142"/>
      <c r="C124" s="142"/>
    </row>
    <row r="125" spans="1:5" x14ac:dyDescent="0.25">
      <c r="A125" s="123"/>
      <c r="B125" s="142"/>
      <c r="C125" s="142"/>
    </row>
    <row r="126" spans="1:5" x14ac:dyDescent="0.25">
      <c r="A126" s="123"/>
      <c r="B126" s="142"/>
      <c r="C126" s="142"/>
    </row>
    <row r="127" spans="1:5" x14ac:dyDescent="0.25">
      <c r="A127" s="123"/>
      <c r="B127" s="142"/>
      <c r="C127" s="142"/>
    </row>
    <row r="128" spans="1:5" x14ac:dyDescent="0.25">
      <c r="A128" s="123"/>
      <c r="B128" s="142"/>
      <c r="C128" s="142"/>
    </row>
    <row r="129" spans="1:3" x14ac:dyDescent="0.25">
      <c r="A129" s="123"/>
      <c r="B129" s="142"/>
      <c r="C129" s="142"/>
    </row>
    <row r="130" spans="1:3" x14ac:dyDescent="0.25">
      <c r="A130" s="123"/>
      <c r="B130" s="142"/>
      <c r="C130" s="142"/>
    </row>
    <row r="131" spans="1:3" x14ac:dyDescent="0.25">
      <c r="A131" s="123"/>
      <c r="B131" s="142"/>
      <c r="C131" s="142"/>
    </row>
    <row r="132" spans="1:3" x14ac:dyDescent="0.25">
      <c r="A132" s="123"/>
      <c r="B132" s="142"/>
      <c r="C132" s="142"/>
    </row>
    <row r="133" spans="1:3" x14ac:dyDescent="0.25">
      <c r="A133" s="123"/>
      <c r="B133" s="142"/>
      <c r="C133" s="142"/>
    </row>
    <row r="134" spans="1:3" x14ac:dyDescent="0.25">
      <c r="A134" s="123"/>
      <c r="B134" s="142"/>
      <c r="C134" s="142"/>
    </row>
    <row r="135" spans="1:3" x14ac:dyDescent="0.25">
      <c r="A135" s="123"/>
      <c r="B135" s="142"/>
      <c r="C135" s="142"/>
    </row>
    <row r="136" spans="1:3" x14ac:dyDescent="0.25">
      <c r="A136" s="123"/>
      <c r="B136" s="142"/>
      <c r="C136" s="142"/>
    </row>
    <row r="137" spans="1:3" x14ac:dyDescent="0.25">
      <c r="A137" s="123"/>
      <c r="B137" s="142"/>
      <c r="C137" s="142"/>
    </row>
    <row r="138" spans="1:3" x14ac:dyDescent="0.25">
      <c r="A138" s="123"/>
      <c r="B138" s="142"/>
      <c r="C138" s="142"/>
    </row>
    <row r="139" spans="1:3" x14ac:dyDescent="0.25">
      <c r="A139" s="123"/>
      <c r="B139" s="142"/>
      <c r="C139" s="142"/>
    </row>
    <row r="140" spans="1:3" x14ac:dyDescent="0.25">
      <c r="A140" s="123"/>
      <c r="B140" s="142"/>
      <c r="C140" s="142"/>
    </row>
    <row r="141" spans="1:3" x14ac:dyDescent="0.25">
      <c r="A141" s="123"/>
      <c r="B141" s="142"/>
      <c r="C141" s="142"/>
    </row>
    <row r="142" spans="1:3" x14ac:dyDescent="0.25">
      <c r="A142" s="123"/>
      <c r="B142" s="142"/>
      <c r="C142" s="142"/>
    </row>
    <row r="143" spans="1:3" x14ac:dyDescent="0.25">
      <c r="A143" s="123"/>
      <c r="B143" s="142"/>
      <c r="C143" s="142"/>
    </row>
    <row r="144" spans="1:3" x14ac:dyDescent="0.25">
      <c r="A144" s="123"/>
      <c r="B144" s="142"/>
      <c r="C144" s="142"/>
    </row>
    <row r="145" spans="1:3" x14ac:dyDescent="0.25">
      <c r="A145" s="123"/>
      <c r="B145" s="142"/>
      <c r="C145" s="142"/>
    </row>
    <row r="146" spans="1:3" x14ac:dyDescent="0.25">
      <c r="A146" s="123"/>
      <c r="B146" s="142"/>
      <c r="C146" s="142"/>
    </row>
    <row r="147" spans="1:3" x14ac:dyDescent="0.25">
      <c r="A147" s="123"/>
      <c r="B147" s="142"/>
      <c r="C147" s="142"/>
    </row>
    <row r="148" spans="1:3" x14ac:dyDescent="0.25">
      <c r="A148" s="123"/>
      <c r="B148" s="142"/>
      <c r="C148" s="142"/>
    </row>
    <row r="149" spans="1:3" x14ac:dyDescent="0.25">
      <c r="A149" s="123"/>
      <c r="B149" s="142"/>
      <c r="C149" s="142"/>
    </row>
    <row r="150" spans="1:3" x14ac:dyDescent="0.25">
      <c r="A150" s="123"/>
      <c r="B150" s="142"/>
      <c r="C150" s="142"/>
    </row>
    <row r="151" spans="1:3" x14ac:dyDescent="0.25">
      <c r="A151" s="123"/>
      <c r="B151" s="142"/>
      <c r="C151" s="142"/>
    </row>
    <row r="152" spans="1:3" x14ac:dyDescent="0.25">
      <c r="A152" s="123"/>
      <c r="B152" s="142"/>
      <c r="C152" s="142"/>
    </row>
    <row r="153" spans="1:3" x14ac:dyDescent="0.25">
      <c r="A153" s="123"/>
      <c r="B153" s="142"/>
      <c r="C153" s="142"/>
    </row>
    <row r="154" spans="1:3" x14ac:dyDescent="0.25">
      <c r="A154" s="123"/>
      <c r="B154" s="142"/>
      <c r="C154" s="142"/>
    </row>
    <row r="155" spans="1:3" x14ac:dyDescent="0.25">
      <c r="A155" s="123"/>
      <c r="B155" s="142"/>
      <c r="C155" s="142"/>
    </row>
    <row r="156" spans="1:3" x14ac:dyDescent="0.25">
      <c r="A156" s="123"/>
      <c r="B156" s="142"/>
      <c r="C156" s="142"/>
    </row>
    <row r="157" spans="1:3" x14ac:dyDescent="0.25">
      <c r="A157" s="123"/>
      <c r="B157" s="142"/>
      <c r="C157" s="142"/>
    </row>
    <row r="158" spans="1:3" x14ac:dyDescent="0.25">
      <c r="A158" s="123"/>
      <c r="B158" s="142"/>
      <c r="C158" s="142"/>
    </row>
    <row r="159" spans="1:3" x14ac:dyDescent="0.25">
      <c r="A159" s="123"/>
      <c r="B159" s="142"/>
      <c r="C159" s="142"/>
    </row>
    <row r="160" spans="1:3" x14ac:dyDescent="0.25">
      <c r="A160" s="123"/>
      <c r="B160" s="142"/>
      <c r="C160" s="142"/>
    </row>
    <row r="161" spans="1:3" x14ac:dyDescent="0.25">
      <c r="A161" s="123"/>
      <c r="B161" s="142"/>
      <c r="C161" s="142"/>
    </row>
    <row r="162" spans="1:3" x14ac:dyDescent="0.25">
      <c r="A162" s="123"/>
      <c r="B162" s="142"/>
      <c r="C162" s="142"/>
    </row>
    <row r="163" spans="1:3" x14ac:dyDescent="0.25">
      <c r="A163" s="123"/>
      <c r="B163" s="142"/>
      <c r="C163" s="142"/>
    </row>
    <row r="164" spans="1:3" x14ac:dyDescent="0.25">
      <c r="A164" s="123"/>
      <c r="B164" s="142"/>
      <c r="C164" s="142"/>
    </row>
    <row r="165" spans="1:3" x14ac:dyDescent="0.25">
      <c r="A165" s="123"/>
      <c r="B165" s="142"/>
      <c r="C165" s="142"/>
    </row>
    <row r="166" spans="1:3" x14ac:dyDescent="0.25">
      <c r="A166" s="123"/>
      <c r="B166" s="142"/>
      <c r="C166" s="142"/>
    </row>
    <row r="167" spans="1:3" x14ac:dyDescent="0.25">
      <c r="A167" s="123"/>
      <c r="B167" s="142"/>
      <c r="C167" s="142"/>
    </row>
    <row r="168" spans="1:3" x14ac:dyDescent="0.25">
      <c r="A168" s="123"/>
      <c r="B168" s="142"/>
      <c r="C168" s="142"/>
    </row>
    <row r="169" spans="1:3" x14ac:dyDescent="0.25">
      <c r="A169" s="123"/>
      <c r="B169" s="142"/>
      <c r="C169" s="142"/>
    </row>
    <row r="170" spans="1:3" x14ac:dyDescent="0.25">
      <c r="A170" s="123"/>
      <c r="B170" s="142"/>
      <c r="C170" s="142"/>
    </row>
    <row r="171" spans="1:3" x14ac:dyDescent="0.25">
      <c r="A171" s="123"/>
      <c r="B171" s="142"/>
      <c r="C171" s="142"/>
    </row>
    <row r="172" spans="1:3" x14ac:dyDescent="0.25">
      <c r="A172" s="123"/>
      <c r="B172" s="142"/>
      <c r="C172" s="142"/>
    </row>
    <row r="173" spans="1:3" x14ac:dyDescent="0.25">
      <c r="A173" s="123"/>
      <c r="B173" s="142"/>
      <c r="C173" s="142"/>
    </row>
    <row r="174" spans="1:3" x14ac:dyDescent="0.25">
      <c r="A174" s="123"/>
      <c r="B174" s="142"/>
      <c r="C174" s="142"/>
    </row>
    <row r="175" spans="1:3" x14ac:dyDescent="0.25">
      <c r="A175" s="123"/>
      <c r="B175" s="142"/>
      <c r="C175" s="142"/>
    </row>
    <row r="176" spans="1:3" x14ac:dyDescent="0.25">
      <c r="A176" s="123"/>
      <c r="B176" s="142"/>
      <c r="C176" s="142"/>
    </row>
    <row r="177" spans="1:3" x14ac:dyDescent="0.25">
      <c r="A177" s="123"/>
      <c r="B177" s="142"/>
      <c r="C177" s="142"/>
    </row>
    <row r="178" spans="1:3" x14ac:dyDescent="0.25">
      <c r="A178" s="123"/>
      <c r="B178" s="142"/>
      <c r="C178" s="142"/>
    </row>
    <row r="179" spans="1:3" x14ac:dyDescent="0.25">
      <c r="A179" s="123"/>
      <c r="B179" s="142"/>
      <c r="C179" s="142"/>
    </row>
    <row r="180" spans="1:3" x14ac:dyDescent="0.25">
      <c r="A180" s="123"/>
      <c r="B180" s="142"/>
      <c r="C180" s="142"/>
    </row>
    <row r="181" spans="1:3" x14ac:dyDescent="0.25">
      <c r="A181" s="123"/>
      <c r="B181" s="142"/>
      <c r="C181" s="142"/>
    </row>
    <row r="182" spans="1:3" x14ac:dyDescent="0.25">
      <c r="A182" s="123"/>
      <c r="B182" s="142"/>
      <c r="C182" s="142"/>
    </row>
    <row r="183" spans="1:3" x14ac:dyDescent="0.25">
      <c r="A183" s="123"/>
      <c r="B183" s="142"/>
      <c r="C183" s="142"/>
    </row>
    <row r="184" spans="1:3" x14ac:dyDescent="0.25">
      <c r="A184" s="123"/>
      <c r="B184" s="142"/>
      <c r="C184" s="142"/>
    </row>
    <row r="185" spans="1:3" x14ac:dyDescent="0.25">
      <c r="A185" s="123"/>
      <c r="B185" s="142"/>
      <c r="C185" s="142"/>
    </row>
    <row r="186" spans="1:3" x14ac:dyDescent="0.25">
      <c r="A186" s="123"/>
      <c r="B186" s="142"/>
      <c r="C186" s="142"/>
    </row>
    <row r="187" spans="1:3" x14ac:dyDescent="0.25">
      <c r="A187" s="123"/>
      <c r="B187" s="142"/>
      <c r="C187" s="142"/>
    </row>
    <row r="188" spans="1:3" x14ac:dyDescent="0.25">
      <c r="A188" s="123"/>
      <c r="B188" s="142"/>
      <c r="C188" s="142"/>
    </row>
    <row r="189" spans="1:3" x14ac:dyDescent="0.25">
      <c r="A189" s="123"/>
      <c r="B189" s="142"/>
      <c r="C189" s="142"/>
    </row>
    <row r="190" spans="1:3" x14ac:dyDescent="0.25">
      <c r="A190" s="123"/>
      <c r="B190" s="142"/>
      <c r="C190" s="142"/>
    </row>
    <row r="191" spans="1:3" x14ac:dyDescent="0.25">
      <c r="A191" s="123"/>
      <c r="B191" s="142"/>
      <c r="C191" s="142"/>
    </row>
    <row r="192" spans="1:3" x14ac:dyDescent="0.25">
      <c r="A192" s="123"/>
      <c r="B192" s="142"/>
      <c r="C192" s="142"/>
    </row>
    <row r="193" spans="1:3" x14ac:dyDescent="0.25">
      <c r="A193" s="123"/>
      <c r="B193" s="142"/>
      <c r="C193" s="142"/>
    </row>
    <row r="194" spans="1:3" x14ac:dyDescent="0.25">
      <c r="A194" s="123"/>
      <c r="B194" s="142"/>
      <c r="C194" s="142"/>
    </row>
    <row r="195" spans="1:3" x14ac:dyDescent="0.25">
      <c r="A195" s="123"/>
      <c r="B195" s="142"/>
      <c r="C195" s="142"/>
    </row>
    <row r="196" spans="1:3" x14ac:dyDescent="0.25">
      <c r="A196" s="123"/>
      <c r="B196" s="142"/>
      <c r="C196" s="142"/>
    </row>
    <row r="197" spans="1:3" x14ac:dyDescent="0.25">
      <c r="A197" s="123"/>
      <c r="B197" s="142"/>
      <c r="C197" s="142"/>
    </row>
    <row r="198" spans="1:3" x14ac:dyDescent="0.25">
      <c r="A198" s="123"/>
      <c r="B198" s="142"/>
      <c r="C198" s="142"/>
    </row>
    <row r="199" spans="1:3" x14ac:dyDescent="0.25">
      <c r="A199" s="123"/>
      <c r="B199" s="142"/>
      <c r="C199" s="142"/>
    </row>
    <row r="200" spans="1:3" x14ac:dyDescent="0.25">
      <c r="A200" s="123"/>
      <c r="B200" s="142"/>
      <c r="C200" s="142"/>
    </row>
    <row r="201" spans="1:3" x14ac:dyDescent="0.25">
      <c r="A201" s="123"/>
      <c r="B201" s="142"/>
      <c r="C201" s="142"/>
    </row>
    <row r="202" spans="1:3" x14ac:dyDescent="0.25">
      <c r="A202" s="123"/>
      <c r="B202" s="142"/>
      <c r="C202" s="142"/>
    </row>
    <row r="203" spans="1:3" x14ac:dyDescent="0.25">
      <c r="A203" s="123"/>
      <c r="B203" s="142"/>
      <c r="C203" s="142"/>
    </row>
    <row r="204" spans="1:3" x14ac:dyDescent="0.25">
      <c r="A204" s="123"/>
      <c r="B204" s="142"/>
      <c r="C204" s="142"/>
    </row>
    <row r="205" spans="1:3" x14ac:dyDescent="0.25">
      <c r="A205" s="123"/>
      <c r="B205" s="142"/>
      <c r="C205" s="142"/>
    </row>
    <row r="206" spans="1:3" x14ac:dyDescent="0.25">
      <c r="A206" s="123"/>
      <c r="B206" s="142"/>
      <c r="C206" s="142"/>
    </row>
    <row r="207" spans="1:3" x14ac:dyDescent="0.25">
      <c r="A207" s="123"/>
      <c r="B207" s="142"/>
      <c r="C207" s="142"/>
    </row>
    <row r="208" spans="1:3" x14ac:dyDescent="0.25">
      <c r="A208" s="123"/>
      <c r="B208" s="142"/>
      <c r="C208" s="142"/>
    </row>
    <row r="209" spans="1:3" x14ac:dyDescent="0.25">
      <c r="A209" s="123"/>
      <c r="B209" s="142"/>
      <c r="C209" s="142"/>
    </row>
    <row r="210" spans="1:3" x14ac:dyDescent="0.25">
      <c r="A210" s="123"/>
      <c r="B210" s="142"/>
      <c r="C210" s="142"/>
    </row>
    <row r="211" spans="1:3" x14ac:dyDescent="0.25">
      <c r="A211" s="123"/>
      <c r="B211" s="142"/>
      <c r="C211" s="142"/>
    </row>
    <row r="212" spans="1:3" x14ac:dyDescent="0.25">
      <c r="A212" s="123"/>
      <c r="B212" s="142"/>
      <c r="C212" s="142"/>
    </row>
    <row r="213" spans="1:3" x14ac:dyDescent="0.25">
      <c r="A213" s="123"/>
      <c r="B213" s="142"/>
      <c r="C213" s="142"/>
    </row>
    <row r="214" spans="1:3" x14ac:dyDescent="0.25">
      <c r="A214" s="123"/>
      <c r="B214" s="142"/>
      <c r="C214" s="142"/>
    </row>
    <row r="215" spans="1:3" x14ac:dyDescent="0.25">
      <c r="A215" s="123"/>
      <c r="B215" s="142"/>
      <c r="C215" s="142"/>
    </row>
    <row r="216" spans="1:3" x14ac:dyDescent="0.25">
      <c r="A216" s="123"/>
      <c r="B216" s="142"/>
      <c r="C216" s="142"/>
    </row>
    <row r="217" spans="1:3" x14ac:dyDescent="0.25">
      <c r="A217" s="123"/>
      <c r="B217" s="142"/>
      <c r="C217" s="142"/>
    </row>
    <row r="218" spans="1:3" x14ac:dyDescent="0.25">
      <c r="A218" s="123"/>
      <c r="B218" s="142"/>
      <c r="C218" s="142"/>
    </row>
    <row r="219" spans="1:3" x14ac:dyDescent="0.25">
      <c r="A219" s="123"/>
      <c r="B219" s="142"/>
      <c r="C219" s="142"/>
    </row>
    <row r="220" spans="1:3" x14ac:dyDescent="0.25">
      <c r="A220" s="123"/>
      <c r="B220" s="142"/>
      <c r="C220" s="142"/>
    </row>
    <row r="221" spans="1:3" x14ac:dyDescent="0.25">
      <c r="A221" s="123"/>
      <c r="B221" s="142"/>
      <c r="C221" s="142"/>
    </row>
    <row r="222" spans="1:3" x14ac:dyDescent="0.25">
      <c r="A222" s="123"/>
      <c r="B222" s="142"/>
      <c r="C222" s="142"/>
    </row>
    <row r="223" spans="1:3" x14ac:dyDescent="0.25">
      <c r="A223" s="123"/>
      <c r="B223" s="142"/>
      <c r="C223" s="142"/>
    </row>
    <row r="224" spans="1:3" x14ac:dyDescent="0.25">
      <c r="A224" s="123"/>
      <c r="B224" s="142"/>
      <c r="C224" s="142"/>
    </row>
    <row r="225" spans="1:3" x14ac:dyDescent="0.25">
      <c r="A225" s="123"/>
      <c r="B225" s="142"/>
      <c r="C225" s="142"/>
    </row>
    <row r="226" spans="1:3" x14ac:dyDescent="0.25">
      <c r="A226" s="123"/>
      <c r="B226" s="142"/>
      <c r="C226" s="142"/>
    </row>
    <row r="227" spans="1:3" x14ac:dyDescent="0.25">
      <c r="A227" s="123"/>
      <c r="B227" s="142"/>
      <c r="C227" s="142"/>
    </row>
    <row r="228" spans="1:3" x14ac:dyDescent="0.25">
      <c r="A228" s="123"/>
      <c r="B228" s="142"/>
      <c r="C228" s="142"/>
    </row>
    <row r="229" spans="1:3" x14ac:dyDescent="0.25">
      <c r="A229" s="123"/>
      <c r="B229" s="142"/>
      <c r="C229" s="142"/>
    </row>
    <row r="230" spans="1:3" x14ac:dyDescent="0.25">
      <c r="A230" s="123"/>
      <c r="B230" s="142"/>
      <c r="C230" s="142"/>
    </row>
    <row r="231" spans="1:3" x14ac:dyDescent="0.25">
      <c r="A231" s="123"/>
      <c r="B231" s="142"/>
      <c r="C231" s="142"/>
    </row>
    <row r="232" spans="1:3" x14ac:dyDescent="0.25">
      <c r="A232" s="123"/>
      <c r="B232" s="142"/>
      <c r="C232" s="142"/>
    </row>
    <row r="233" spans="1:3" x14ac:dyDescent="0.25">
      <c r="A233" s="123"/>
      <c r="B233" s="142"/>
      <c r="C233" s="142"/>
    </row>
    <row r="234" spans="1:3" x14ac:dyDescent="0.25">
      <c r="A234" s="123"/>
      <c r="B234" s="142"/>
      <c r="C234" s="142"/>
    </row>
    <row r="235" spans="1:3" x14ac:dyDescent="0.25">
      <c r="A235" s="123"/>
      <c r="B235" s="142"/>
      <c r="C235" s="142"/>
    </row>
    <row r="236" spans="1:3" x14ac:dyDescent="0.25">
      <c r="A236" s="123"/>
      <c r="B236" s="142"/>
      <c r="C236" s="142"/>
    </row>
    <row r="237" spans="1:3" x14ac:dyDescent="0.25">
      <c r="A237" s="123"/>
      <c r="B237" s="142"/>
      <c r="C237" s="142"/>
    </row>
    <row r="238" spans="1:3" x14ac:dyDescent="0.25">
      <c r="A238" s="123"/>
      <c r="B238" s="142"/>
      <c r="C238" s="142"/>
    </row>
    <row r="239" spans="1:3" x14ac:dyDescent="0.25">
      <c r="A239" s="123"/>
      <c r="B239" s="142"/>
      <c r="C239" s="142"/>
    </row>
    <row r="240" spans="1:3" x14ac:dyDescent="0.25">
      <c r="A240" s="123"/>
      <c r="B240" s="142"/>
      <c r="C240" s="142"/>
    </row>
    <row r="241" spans="1:3" x14ac:dyDescent="0.25">
      <c r="A241" s="123"/>
      <c r="B241" s="142"/>
      <c r="C241" s="142"/>
    </row>
    <row r="242" spans="1:3" x14ac:dyDescent="0.25">
      <c r="A242" s="123"/>
      <c r="B242" s="142"/>
      <c r="C242" s="142"/>
    </row>
    <row r="243" spans="1:3" x14ac:dyDescent="0.25">
      <c r="A243" s="123"/>
      <c r="B243" s="142"/>
      <c r="C243" s="142"/>
    </row>
    <row r="244" spans="1:3" x14ac:dyDescent="0.25">
      <c r="A244" s="123"/>
      <c r="B244" s="142"/>
      <c r="C244" s="142"/>
    </row>
    <row r="245" spans="1:3" x14ac:dyDescent="0.25">
      <c r="A245" s="123"/>
      <c r="B245" s="142"/>
      <c r="C245" s="142"/>
    </row>
    <row r="246" spans="1:3" x14ac:dyDescent="0.25">
      <c r="A246" s="123"/>
      <c r="B246" s="142"/>
      <c r="C246" s="142"/>
    </row>
    <row r="247" spans="1:3" x14ac:dyDescent="0.25">
      <c r="A247" s="123"/>
      <c r="B247" s="142"/>
      <c r="C247" s="142"/>
    </row>
    <row r="248" spans="1:3" x14ac:dyDescent="0.25">
      <c r="A248" s="123"/>
      <c r="B248" s="142"/>
      <c r="C248" s="142"/>
    </row>
    <row r="249" spans="1:3" x14ac:dyDescent="0.25">
      <c r="A249" s="123"/>
      <c r="B249" s="142"/>
      <c r="C249" s="142"/>
    </row>
    <row r="250" spans="1:3" x14ac:dyDescent="0.25">
      <c r="A250" s="123"/>
      <c r="B250" s="142"/>
      <c r="C250" s="142"/>
    </row>
    <row r="251" spans="1:3" x14ac:dyDescent="0.25">
      <c r="A251" s="123"/>
      <c r="B251" s="142"/>
      <c r="C251" s="142"/>
    </row>
    <row r="252" spans="1:3" x14ac:dyDescent="0.25">
      <c r="A252" s="123"/>
      <c r="B252" s="142"/>
      <c r="C252" s="142"/>
    </row>
    <row r="253" spans="1:3" x14ac:dyDescent="0.25">
      <c r="A253" s="123"/>
      <c r="B253" s="142"/>
      <c r="C253" s="142"/>
    </row>
    <row r="254" spans="1:3" x14ac:dyDescent="0.25">
      <c r="A254" s="123"/>
      <c r="B254" s="142"/>
      <c r="C254" s="142"/>
    </row>
    <row r="255" spans="1:3" x14ac:dyDescent="0.25">
      <c r="A255" s="123"/>
      <c r="B255" s="142"/>
      <c r="C255" s="142"/>
    </row>
    <row r="256" spans="1:3" x14ac:dyDescent="0.25">
      <c r="A256" s="123"/>
      <c r="B256" s="142"/>
      <c r="C256" s="142"/>
    </row>
    <row r="257" spans="1:3" x14ac:dyDescent="0.25">
      <c r="A257" s="123"/>
      <c r="B257" s="142"/>
      <c r="C257" s="142"/>
    </row>
    <row r="258" spans="1:3" x14ac:dyDescent="0.25">
      <c r="A258" s="123"/>
      <c r="B258" s="142"/>
      <c r="C258" s="142"/>
    </row>
    <row r="259" spans="1:3" x14ac:dyDescent="0.25">
      <c r="A259" s="123"/>
      <c r="B259" s="142"/>
      <c r="C259" s="142"/>
    </row>
    <row r="260" spans="1:3" x14ac:dyDescent="0.25">
      <c r="A260" s="123"/>
      <c r="B260" s="142"/>
      <c r="C260" s="142"/>
    </row>
    <row r="261" spans="1:3" x14ac:dyDescent="0.25">
      <c r="A261" s="123"/>
      <c r="B261" s="142"/>
      <c r="C261" s="142"/>
    </row>
    <row r="262" spans="1:3" x14ac:dyDescent="0.25">
      <c r="A262" s="123"/>
      <c r="B262" s="142"/>
      <c r="C262" s="142"/>
    </row>
    <row r="263" spans="1:3" x14ac:dyDescent="0.25">
      <c r="A263" s="123"/>
      <c r="B263" s="142"/>
      <c r="C263" s="142"/>
    </row>
    <row r="264" spans="1:3" x14ac:dyDescent="0.25">
      <c r="A264" s="123"/>
      <c r="B264" s="142"/>
      <c r="C264" s="142"/>
    </row>
    <row r="265" spans="1:3" x14ac:dyDescent="0.25">
      <c r="A265" s="123"/>
      <c r="B265" s="142"/>
      <c r="C265" s="142"/>
    </row>
    <row r="266" spans="1:3" x14ac:dyDescent="0.25">
      <c r="A266" s="123"/>
      <c r="B266" s="142"/>
      <c r="C266" s="142"/>
    </row>
    <row r="267" spans="1:3" x14ac:dyDescent="0.25">
      <c r="A267" s="123"/>
      <c r="B267" s="142"/>
      <c r="C267" s="142"/>
    </row>
    <row r="268" spans="1:3" x14ac:dyDescent="0.25">
      <c r="A268" s="123"/>
      <c r="B268" s="142"/>
      <c r="C268" s="142"/>
    </row>
    <row r="269" spans="1:3" x14ac:dyDescent="0.25">
      <c r="A269" s="123"/>
      <c r="B269" s="142"/>
      <c r="C269" s="142"/>
    </row>
    <row r="270" spans="1:3" x14ac:dyDescent="0.25">
      <c r="A270" s="123"/>
      <c r="B270" s="142"/>
      <c r="C270" s="142"/>
    </row>
    <row r="271" spans="1:3" x14ac:dyDescent="0.25">
      <c r="A271" s="123"/>
      <c r="B271" s="142"/>
      <c r="C271" s="142"/>
    </row>
    <row r="272" spans="1:3" x14ac:dyDescent="0.25">
      <c r="A272" s="123"/>
      <c r="B272" s="142"/>
      <c r="C272" s="142"/>
    </row>
    <row r="273" spans="1:3" x14ac:dyDescent="0.25">
      <c r="A273" s="123"/>
      <c r="B273" s="142"/>
      <c r="C273" s="142"/>
    </row>
    <row r="274" spans="1:3" x14ac:dyDescent="0.25">
      <c r="A274" s="123"/>
      <c r="B274" s="142"/>
      <c r="C274" s="142"/>
    </row>
    <row r="275" spans="1:3" x14ac:dyDescent="0.25">
      <c r="A275" s="123"/>
      <c r="B275" s="142"/>
      <c r="C275" s="142"/>
    </row>
    <row r="276" spans="1:3" x14ac:dyDescent="0.25">
      <c r="A276" s="123"/>
      <c r="B276" s="142"/>
      <c r="C276" s="142"/>
    </row>
    <row r="277" spans="1:3" x14ac:dyDescent="0.25">
      <c r="A277" s="123"/>
      <c r="B277" s="142"/>
      <c r="C277" s="142"/>
    </row>
    <row r="278" spans="1:3" x14ac:dyDescent="0.25">
      <c r="A278" s="123"/>
      <c r="B278" s="142"/>
      <c r="C278" s="142"/>
    </row>
    <row r="279" spans="1:3" x14ac:dyDescent="0.25">
      <c r="A279" s="123"/>
      <c r="B279" s="142"/>
      <c r="C279" s="142"/>
    </row>
    <row r="280" spans="1:3" x14ac:dyDescent="0.25">
      <c r="A280" s="123"/>
      <c r="B280" s="142"/>
      <c r="C280" s="142"/>
    </row>
    <row r="281" spans="1:3" x14ac:dyDescent="0.25">
      <c r="A281" s="123"/>
      <c r="B281" s="142"/>
      <c r="C281" s="142"/>
    </row>
    <row r="282" spans="1:3" x14ac:dyDescent="0.25">
      <c r="A282" s="123"/>
      <c r="B282" s="142"/>
      <c r="C282" s="142"/>
    </row>
    <row r="283" spans="1:3" x14ac:dyDescent="0.25">
      <c r="A283" s="123"/>
      <c r="B283" s="142"/>
      <c r="C283" s="142"/>
    </row>
    <row r="284" spans="1:3" x14ac:dyDescent="0.25">
      <c r="A284" s="123"/>
      <c r="B284" s="142"/>
      <c r="C284" s="142"/>
    </row>
    <row r="285" spans="1:3" x14ac:dyDescent="0.25">
      <c r="A285" s="123"/>
      <c r="B285" s="142"/>
      <c r="C285" s="142"/>
    </row>
    <row r="286" spans="1:3" x14ac:dyDescent="0.25">
      <c r="A286" s="123"/>
      <c r="B286" s="142"/>
      <c r="C286" s="142"/>
    </row>
    <row r="287" spans="1:3" x14ac:dyDescent="0.25">
      <c r="A287" s="123"/>
      <c r="B287" s="142"/>
      <c r="C287" s="142"/>
    </row>
    <row r="288" spans="1:3" x14ac:dyDescent="0.25">
      <c r="A288" s="123"/>
      <c r="B288" s="142"/>
      <c r="C288" s="142"/>
    </row>
    <row r="289" spans="1:3" x14ac:dyDescent="0.25">
      <c r="A289" s="123"/>
      <c r="B289" s="142"/>
      <c r="C289" s="142"/>
    </row>
    <row r="290" spans="1:3" x14ac:dyDescent="0.25">
      <c r="A290" s="123"/>
      <c r="B290" s="142"/>
      <c r="C290" s="142"/>
    </row>
    <row r="291" spans="1:3" x14ac:dyDescent="0.25">
      <c r="A291" s="123"/>
      <c r="B291" s="142"/>
      <c r="C291" s="142"/>
    </row>
    <row r="292" spans="1:3" x14ac:dyDescent="0.25">
      <c r="A292" s="123"/>
      <c r="B292" s="142"/>
      <c r="C292" s="142"/>
    </row>
    <row r="293" spans="1:3" x14ac:dyDescent="0.25">
      <c r="A293" s="123"/>
      <c r="B293" s="142"/>
      <c r="C293" s="142"/>
    </row>
    <row r="294" spans="1:3" x14ac:dyDescent="0.25">
      <c r="A294" s="123"/>
      <c r="B294" s="142"/>
      <c r="C294" s="142"/>
    </row>
    <row r="295" spans="1:3" x14ac:dyDescent="0.25">
      <c r="A295" s="123"/>
      <c r="B295" s="142"/>
      <c r="C295" s="142"/>
    </row>
    <row r="296" spans="1:3" x14ac:dyDescent="0.25">
      <c r="A296" s="123"/>
      <c r="B296" s="142"/>
      <c r="C296" s="142"/>
    </row>
    <row r="297" spans="1:3" x14ac:dyDescent="0.25">
      <c r="A297" s="123"/>
      <c r="B297" s="142"/>
      <c r="C297" s="142"/>
    </row>
    <row r="298" spans="1:3" x14ac:dyDescent="0.25">
      <c r="A298" s="123"/>
      <c r="B298" s="142"/>
      <c r="C298" s="142"/>
    </row>
    <row r="299" spans="1:3" x14ac:dyDescent="0.25">
      <c r="A299" s="123"/>
      <c r="B299" s="142"/>
      <c r="C299" s="142"/>
    </row>
    <row r="300" spans="1:3" x14ac:dyDescent="0.25">
      <c r="A300" s="123"/>
      <c r="B300" s="142"/>
      <c r="C300" s="142"/>
    </row>
    <row r="301" spans="1:3" x14ac:dyDescent="0.25">
      <c r="A301" s="123"/>
      <c r="B301" s="142"/>
      <c r="C301" s="142"/>
    </row>
    <row r="302" spans="1:3" x14ac:dyDescent="0.25">
      <c r="A302" s="123"/>
      <c r="B302" s="142"/>
      <c r="C302" s="142"/>
    </row>
    <row r="303" spans="1:3" x14ac:dyDescent="0.25">
      <c r="A303" s="123"/>
      <c r="B303" s="142"/>
      <c r="C303" s="142"/>
    </row>
    <row r="304" spans="1:3" x14ac:dyDescent="0.25">
      <c r="A304" s="123"/>
      <c r="B304" s="142"/>
      <c r="C304" s="142"/>
    </row>
    <row r="305" spans="1:3" x14ac:dyDescent="0.25">
      <c r="A305" s="123"/>
      <c r="B305" s="142"/>
      <c r="C305" s="142"/>
    </row>
    <row r="306" spans="1:3" x14ac:dyDescent="0.25">
      <c r="A306" s="123"/>
      <c r="B306" s="142"/>
      <c r="C306" s="142"/>
    </row>
    <row r="307" spans="1:3" x14ac:dyDescent="0.25">
      <c r="A307" s="123"/>
      <c r="B307" s="142"/>
      <c r="C307" s="142"/>
    </row>
    <row r="308" spans="1:3" x14ac:dyDescent="0.25">
      <c r="A308" s="123"/>
      <c r="B308" s="142"/>
      <c r="C308" s="142"/>
    </row>
    <row r="309" spans="1:3" x14ac:dyDescent="0.25">
      <c r="A309" s="123"/>
      <c r="B309" s="142"/>
      <c r="C309" s="142"/>
    </row>
    <row r="310" spans="1:3" x14ac:dyDescent="0.25">
      <c r="A310" s="123"/>
      <c r="B310" s="142"/>
      <c r="C310" s="142"/>
    </row>
    <row r="311" spans="1:3" x14ac:dyDescent="0.25">
      <c r="A311" s="123"/>
      <c r="B311" s="142"/>
      <c r="C311" s="142"/>
    </row>
    <row r="312" spans="1:3" x14ac:dyDescent="0.25">
      <c r="A312" s="123"/>
      <c r="B312" s="142"/>
      <c r="C312" s="142"/>
    </row>
    <row r="313" spans="1:3" x14ac:dyDescent="0.25">
      <c r="A313" s="123"/>
      <c r="B313" s="142"/>
      <c r="C313" s="142"/>
    </row>
    <row r="314" spans="1:3" x14ac:dyDescent="0.25">
      <c r="A314" s="123"/>
      <c r="B314" s="142"/>
      <c r="C314" s="142"/>
    </row>
    <row r="315" spans="1:3" x14ac:dyDescent="0.25">
      <c r="A315" s="123"/>
      <c r="B315" s="142"/>
      <c r="C315" s="142"/>
    </row>
    <row r="316" spans="1:3" x14ac:dyDescent="0.25">
      <c r="A316" s="123"/>
      <c r="B316" s="142"/>
      <c r="C316" s="142"/>
    </row>
    <row r="317" spans="1:3" x14ac:dyDescent="0.25">
      <c r="A317" s="123"/>
      <c r="B317" s="142"/>
      <c r="C317" s="142"/>
    </row>
    <row r="318" spans="1:3" x14ac:dyDescent="0.25">
      <c r="A318" s="123"/>
      <c r="B318" s="142"/>
      <c r="C318" s="142"/>
    </row>
    <row r="319" spans="1:3" x14ac:dyDescent="0.25">
      <c r="A319" s="123"/>
      <c r="B319" s="142"/>
      <c r="C319" s="142"/>
    </row>
    <row r="320" spans="1:3" x14ac:dyDescent="0.25">
      <c r="A320" s="123"/>
      <c r="B320" s="142"/>
      <c r="C320" s="142"/>
    </row>
    <row r="321" spans="1:3" x14ac:dyDescent="0.25">
      <c r="A321" s="123"/>
      <c r="B321" s="142"/>
      <c r="C321" s="142"/>
    </row>
    <row r="322" spans="1:3" x14ac:dyDescent="0.25">
      <c r="A322" s="123"/>
      <c r="B322" s="142"/>
      <c r="C322" s="142"/>
    </row>
    <row r="323" spans="1:3" x14ac:dyDescent="0.25">
      <c r="A323" s="123"/>
      <c r="B323" s="142"/>
      <c r="C323" s="142"/>
    </row>
    <row r="324" spans="1:3" x14ac:dyDescent="0.25">
      <c r="A324" s="123"/>
      <c r="B324" s="142"/>
      <c r="C324" s="142"/>
    </row>
    <row r="325" spans="1:3" x14ac:dyDescent="0.25">
      <c r="A325" s="123"/>
      <c r="B325" s="142"/>
      <c r="C325" s="142"/>
    </row>
    <row r="326" spans="1:3" x14ac:dyDescent="0.25">
      <c r="A326" s="123"/>
      <c r="B326" s="142"/>
      <c r="C326" s="142"/>
    </row>
    <row r="327" spans="1:3" x14ac:dyDescent="0.25">
      <c r="A327" s="123"/>
      <c r="B327" s="142"/>
      <c r="C327" s="142"/>
    </row>
    <row r="328" spans="1:3" x14ac:dyDescent="0.25">
      <c r="A328" s="123"/>
      <c r="B328" s="142"/>
      <c r="C328" s="142"/>
    </row>
    <row r="329" spans="1:3" x14ac:dyDescent="0.25">
      <c r="A329" s="123"/>
      <c r="B329" s="142"/>
      <c r="C329" s="142"/>
    </row>
    <row r="330" spans="1:3" x14ac:dyDescent="0.25">
      <c r="A330" s="123"/>
      <c r="B330" s="142"/>
      <c r="C330" s="142"/>
    </row>
    <row r="331" spans="1:3" x14ac:dyDescent="0.25">
      <c r="A331" s="123"/>
      <c r="B331" s="142"/>
      <c r="C331" s="142"/>
    </row>
    <row r="332" spans="1:3" x14ac:dyDescent="0.25">
      <c r="A332" s="123"/>
      <c r="B332" s="142"/>
      <c r="C332" s="142"/>
    </row>
    <row r="333" spans="1:3" x14ac:dyDescent="0.25">
      <c r="A333" s="123"/>
      <c r="B333" s="142"/>
      <c r="C333" s="142"/>
    </row>
    <row r="334" spans="1:3" x14ac:dyDescent="0.25">
      <c r="A334" s="123"/>
      <c r="B334" s="142"/>
      <c r="C334" s="142"/>
    </row>
    <row r="335" spans="1:3" x14ac:dyDescent="0.25">
      <c r="A335" s="123"/>
      <c r="B335" s="142"/>
      <c r="C335" s="142"/>
    </row>
    <row r="336" spans="1:3" x14ac:dyDescent="0.25">
      <c r="A336" s="123"/>
      <c r="B336" s="142"/>
      <c r="C336" s="142"/>
    </row>
    <row r="337" spans="1:3" x14ac:dyDescent="0.25">
      <c r="A337" s="123"/>
      <c r="B337" s="142"/>
      <c r="C337" s="142"/>
    </row>
    <row r="338" spans="1:3" x14ac:dyDescent="0.25">
      <c r="A338" s="123"/>
      <c r="B338" s="142"/>
      <c r="C338" s="142"/>
    </row>
    <row r="339" spans="1:3" x14ac:dyDescent="0.25">
      <c r="A339" s="123"/>
      <c r="B339" s="142"/>
      <c r="C339" s="142"/>
    </row>
    <row r="340" spans="1:3" x14ac:dyDescent="0.25">
      <c r="A340" s="123"/>
      <c r="B340" s="142"/>
      <c r="C340" s="142"/>
    </row>
    <row r="341" spans="1:3" x14ac:dyDescent="0.25">
      <c r="A341" s="123"/>
      <c r="B341" s="142"/>
      <c r="C341" s="142"/>
    </row>
    <row r="342" spans="1:3" x14ac:dyDescent="0.25">
      <c r="A342" s="123"/>
      <c r="B342" s="142"/>
      <c r="C342" s="142"/>
    </row>
    <row r="343" spans="1:3" x14ac:dyDescent="0.25">
      <c r="A343" s="123"/>
      <c r="B343" s="142"/>
      <c r="C343" s="142"/>
    </row>
    <row r="344" spans="1:3" x14ac:dyDescent="0.25">
      <c r="A344" s="123"/>
      <c r="B344" s="142"/>
      <c r="C344" s="142"/>
    </row>
    <row r="345" spans="1:3" x14ac:dyDescent="0.25">
      <c r="A345" s="123"/>
      <c r="B345" s="142"/>
      <c r="C345" s="142"/>
    </row>
    <row r="346" spans="1:3" x14ac:dyDescent="0.25">
      <c r="A346" s="123"/>
      <c r="B346" s="142"/>
      <c r="C346" s="142"/>
    </row>
    <row r="347" spans="1:3" x14ac:dyDescent="0.25">
      <c r="A347" s="123"/>
      <c r="B347" s="142"/>
      <c r="C347" s="142"/>
    </row>
    <row r="348" spans="1:3" x14ac:dyDescent="0.25">
      <c r="A348" s="123"/>
      <c r="B348" s="142"/>
      <c r="C348" s="142"/>
    </row>
    <row r="349" spans="1:3" x14ac:dyDescent="0.25">
      <c r="A349" s="123"/>
      <c r="B349" s="142"/>
      <c r="C349" s="142"/>
    </row>
    <row r="350" spans="1:3" x14ac:dyDescent="0.25">
      <c r="A350" s="123"/>
      <c r="B350" s="142"/>
      <c r="C350" s="142"/>
    </row>
    <row r="351" spans="1:3" x14ac:dyDescent="0.25">
      <c r="A351" s="123"/>
      <c r="B351" s="142"/>
      <c r="C351" s="142"/>
    </row>
    <row r="352" spans="1:3" x14ac:dyDescent="0.25">
      <c r="A352" s="123"/>
      <c r="B352" s="142"/>
      <c r="C352" s="142"/>
    </row>
    <row r="353" spans="1:3" x14ac:dyDescent="0.25">
      <c r="A353" s="123"/>
      <c r="B353" s="142"/>
      <c r="C353" s="142"/>
    </row>
    <row r="354" spans="1:3" x14ac:dyDescent="0.25">
      <c r="A354" s="123"/>
      <c r="B354" s="142"/>
      <c r="C354" s="142"/>
    </row>
    <row r="355" spans="1:3" x14ac:dyDescent="0.25">
      <c r="A355" s="123"/>
      <c r="B355" s="142"/>
      <c r="C355" s="142"/>
    </row>
    <row r="356" spans="1:3" x14ac:dyDescent="0.25">
      <c r="A356" s="123"/>
      <c r="B356" s="142"/>
      <c r="C356" s="142"/>
    </row>
    <row r="357" spans="1:3" x14ac:dyDescent="0.25">
      <c r="A357" s="123"/>
      <c r="B357" s="142"/>
      <c r="C357" s="142"/>
    </row>
    <row r="358" spans="1:3" x14ac:dyDescent="0.25">
      <c r="A358" s="123"/>
      <c r="B358" s="142"/>
      <c r="C358" s="142"/>
    </row>
    <row r="359" spans="1:3" x14ac:dyDescent="0.25">
      <c r="A359" s="123"/>
      <c r="B359" s="142"/>
      <c r="C359" s="142"/>
    </row>
    <row r="360" spans="1:3" x14ac:dyDescent="0.25">
      <c r="A360" s="123"/>
      <c r="B360" s="142"/>
      <c r="C360" s="142"/>
    </row>
    <row r="361" spans="1:3" x14ac:dyDescent="0.25">
      <c r="A361" s="123"/>
      <c r="B361" s="142"/>
      <c r="C361" s="142"/>
    </row>
    <row r="362" spans="1:3" x14ac:dyDescent="0.25">
      <c r="A362" s="123"/>
      <c r="B362" s="142"/>
      <c r="C362" s="142"/>
    </row>
    <row r="363" spans="1:3" x14ac:dyDescent="0.25">
      <c r="A363" s="123"/>
      <c r="B363" s="142"/>
      <c r="C363" s="142"/>
    </row>
    <row r="364" spans="1:3" x14ac:dyDescent="0.25">
      <c r="A364" s="123"/>
      <c r="B364" s="142"/>
      <c r="C364" s="142"/>
    </row>
    <row r="365" spans="1:3" x14ac:dyDescent="0.25">
      <c r="A365" s="123"/>
      <c r="B365" s="142"/>
      <c r="C365" s="142"/>
    </row>
    <row r="366" spans="1:3" x14ac:dyDescent="0.25">
      <c r="A366" s="123"/>
      <c r="B366" s="142"/>
      <c r="C366" s="142"/>
    </row>
    <row r="367" spans="1:3" x14ac:dyDescent="0.25">
      <c r="A367" s="123"/>
      <c r="B367" s="142"/>
      <c r="C367" s="142"/>
    </row>
    <row r="368" spans="1:3" x14ac:dyDescent="0.25">
      <c r="A368" s="123"/>
      <c r="B368" s="142"/>
      <c r="C368" s="142"/>
    </row>
    <row r="369" spans="1:3" x14ac:dyDescent="0.25">
      <c r="A369" s="123"/>
      <c r="B369" s="142"/>
      <c r="C369" s="142"/>
    </row>
    <row r="370" spans="1:3" x14ac:dyDescent="0.25">
      <c r="A370" s="123"/>
      <c r="B370" s="142"/>
      <c r="C370" s="142"/>
    </row>
    <row r="371" spans="1:3" x14ac:dyDescent="0.25">
      <c r="A371" s="123"/>
      <c r="B371" s="142"/>
      <c r="C371" s="142"/>
    </row>
    <row r="372" spans="1:3" x14ac:dyDescent="0.25">
      <c r="A372" s="123"/>
      <c r="B372" s="142"/>
      <c r="C372" s="142"/>
    </row>
    <row r="373" spans="1:3" x14ac:dyDescent="0.25">
      <c r="A373" s="123"/>
      <c r="B373" s="142"/>
      <c r="C373" s="142"/>
    </row>
    <row r="374" spans="1:3" x14ac:dyDescent="0.25">
      <c r="A374" s="123"/>
      <c r="B374" s="142"/>
      <c r="C374" s="142"/>
    </row>
    <row r="375" spans="1:3" x14ac:dyDescent="0.25">
      <c r="A375" s="123"/>
      <c r="B375" s="142"/>
      <c r="C375" s="142"/>
    </row>
    <row r="376" spans="1:3" x14ac:dyDescent="0.25">
      <c r="A376" s="123"/>
      <c r="B376" s="142"/>
      <c r="C376" s="142"/>
    </row>
    <row r="377" spans="1:3" x14ac:dyDescent="0.25">
      <c r="A377" s="123"/>
      <c r="B377" s="142"/>
      <c r="C377" s="142"/>
    </row>
    <row r="378" spans="1:3" x14ac:dyDescent="0.25">
      <c r="A378" s="123"/>
      <c r="B378" s="142"/>
      <c r="C378" s="142"/>
    </row>
    <row r="379" spans="1:3" x14ac:dyDescent="0.25">
      <c r="A379" s="123"/>
      <c r="B379" s="142"/>
      <c r="C379" s="142"/>
    </row>
    <row r="380" spans="1:3" x14ac:dyDescent="0.25">
      <c r="A380" s="123"/>
      <c r="B380" s="142"/>
      <c r="C380" s="142"/>
    </row>
    <row r="381" spans="1:3" x14ac:dyDescent="0.25">
      <c r="A381" s="123"/>
      <c r="B381" s="142"/>
      <c r="C381" s="142"/>
    </row>
    <row r="382" spans="1:3" x14ac:dyDescent="0.25">
      <c r="A382" s="123"/>
      <c r="B382" s="142"/>
      <c r="C382" s="142"/>
    </row>
    <row r="383" spans="1:3" x14ac:dyDescent="0.25">
      <c r="A383" s="123"/>
      <c r="B383" s="142"/>
      <c r="C383" s="142"/>
    </row>
    <row r="384" spans="1:3" x14ac:dyDescent="0.25">
      <c r="A384" s="123"/>
      <c r="B384" s="142"/>
      <c r="C384" s="142"/>
    </row>
    <row r="385" spans="1:3" x14ac:dyDescent="0.25">
      <c r="A385" s="123"/>
      <c r="B385" s="142"/>
      <c r="C385" s="142"/>
    </row>
    <row r="386" spans="1:3" x14ac:dyDescent="0.25">
      <c r="A386" s="123"/>
      <c r="B386" s="142"/>
      <c r="C386" s="142"/>
    </row>
    <row r="387" spans="1:3" x14ac:dyDescent="0.25">
      <c r="A387" s="123"/>
      <c r="B387" s="142"/>
      <c r="C387" s="142"/>
    </row>
    <row r="388" spans="1:3" x14ac:dyDescent="0.25">
      <c r="A388" s="123"/>
      <c r="B388" s="142"/>
      <c r="C388" s="142"/>
    </row>
    <row r="389" spans="1:3" x14ac:dyDescent="0.25">
      <c r="A389" s="123"/>
      <c r="B389" s="142"/>
      <c r="C389" s="142"/>
    </row>
    <row r="390" spans="1:3" x14ac:dyDescent="0.25">
      <c r="A390" s="123"/>
      <c r="B390" s="142"/>
      <c r="C390" s="142"/>
    </row>
    <row r="391" spans="1:3" x14ac:dyDescent="0.25">
      <c r="A391" s="123"/>
      <c r="B391" s="142"/>
      <c r="C391" s="142"/>
    </row>
    <row r="392" spans="1:3" x14ac:dyDescent="0.25">
      <c r="A392" s="123"/>
      <c r="B392" s="142"/>
      <c r="C392" s="142"/>
    </row>
    <row r="393" spans="1:3" x14ac:dyDescent="0.25">
      <c r="A393" s="123"/>
      <c r="B393" s="142"/>
      <c r="C393" s="142"/>
    </row>
    <row r="394" spans="1:3" x14ac:dyDescent="0.25">
      <c r="A394" s="123"/>
      <c r="B394" s="142"/>
      <c r="C394" s="142"/>
    </row>
    <row r="395" spans="1:3" x14ac:dyDescent="0.25">
      <c r="A395" s="123"/>
      <c r="B395" s="142"/>
      <c r="C395" s="142"/>
    </row>
    <row r="396" spans="1:3" x14ac:dyDescent="0.25">
      <c r="A396" s="123"/>
      <c r="B396" s="142"/>
      <c r="C396" s="142"/>
    </row>
    <row r="397" spans="1:3" x14ac:dyDescent="0.25">
      <c r="A397" s="123"/>
      <c r="B397" s="142"/>
      <c r="C397" s="142"/>
    </row>
    <row r="398" spans="1:3" x14ac:dyDescent="0.25">
      <c r="A398" s="123"/>
      <c r="B398" s="142"/>
      <c r="C398" s="142"/>
    </row>
    <row r="399" spans="1:3" x14ac:dyDescent="0.25">
      <c r="A399" s="123"/>
      <c r="B399" s="142"/>
      <c r="C399" s="142"/>
    </row>
    <row r="400" spans="1:3" x14ac:dyDescent="0.25">
      <c r="A400" s="123"/>
      <c r="B400" s="142"/>
      <c r="C400" s="142"/>
    </row>
    <row r="401" spans="1:3" x14ac:dyDescent="0.25">
      <c r="A401" s="123"/>
      <c r="B401" s="142"/>
      <c r="C401" s="142"/>
    </row>
    <row r="402" spans="1:3" x14ac:dyDescent="0.25">
      <c r="A402" s="123"/>
      <c r="B402" s="142"/>
      <c r="C402" s="142"/>
    </row>
    <row r="403" spans="1:3" x14ac:dyDescent="0.25">
      <c r="A403" s="123"/>
      <c r="B403" s="142"/>
      <c r="C403" s="142"/>
    </row>
    <row r="404" spans="1:3" x14ac:dyDescent="0.25">
      <c r="A404" s="123"/>
      <c r="B404" s="142"/>
      <c r="C404" s="142"/>
    </row>
    <row r="405" spans="1:3" x14ac:dyDescent="0.25">
      <c r="A405" s="123"/>
      <c r="B405" s="142"/>
      <c r="C405" s="142"/>
    </row>
    <row r="406" spans="1:3" x14ac:dyDescent="0.25">
      <c r="A406" s="123"/>
      <c r="B406" s="142"/>
      <c r="C406" s="142"/>
    </row>
    <row r="407" spans="1:3" x14ac:dyDescent="0.25">
      <c r="A407" s="123"/>
      <c r="B407" s="142"/>
      <c r="C407" s="142"/>
    </row>
    <row r="408" spans="1:3" x14ac:dyDescent="0.25">
      <c r="A408" s="123"/>
      <c r="B408" s="142"/>
      <c r="C408" s="142"/>
    </row>
    <row r="409" spans="1:3" x14ac:dyDescent="0.25">
      <c r="A409" s="123"/>
      <c r="B409" s="142"/>
      <c r="C409" s="142"/>
    </row>
    <row r="410" spans="1:3" x14ac:dyDescent="0.25">
      <c r="A410" s="123"/>
      <c r="B410" s="142"/>
      <c r="C410" s="142"/>
    </row>
    <row r="411" spans="1:3" x14ac:dyDescent="0.25">
      <c r="A411" s="123"/>
      <c r="B411" s="142"/>
      <c r="C411" s="142"/>
    </row>
    <row r="412" spans="1:3" x14ac:dyDescent="0.25">
      <c r="A412" s="123"/>
      <c r="B412" s="142"/>
      <c r="C412" s="142"/>
    </row>
    <row r="413" spans="1:3" x14ac:dyDescent="0.25">
      <c r="A413" s="123"/>
      <c r="B413" s="142"/>
      <c r="C413" s="142"/>
    </row>
    <row r="414" spans="1:3" x14ac:dyDescent="0.25">
      <c r="A414" s="123"/>
      <c r="B414" s="142"/>
      <c r="C414" s="142"/>
    </row>
    <row r="415" spans="1:3" x14ac:dyDescent="0.25">
      <c r="A415" s="123"/>
      <c r="B415" s="142"/>
      <c r="C415" s="142"/>
    </row>
    <row r="416" spans="1:3" x14ac:dyDescent="0.25">
      <c r="A416" s="123"/>
      <c r="B416" s="142"/>
      <c r="C416" s="142"/>
    </row>
    <row r="417" spans="1:3" x14ac:dyDescent="0.25">
      <c r="A417" s="123"/>
      <c r="B417" s="142"/>
      <c r="C417" s="142"/>
    </row>
    <row r="418" spans="1:3" x14ac:dyDescent="0.25">
      <c r="A418" s="123"/>
      <c r="B418" s="142"/>
      <c r="C418" s="142"/>
    </row>
    <row r="419" spans="1:3" x14ac:dyDescent="0.25">
      <c r="A419" s="123"/>
      <c r="B419" s="142"/>
      <c r="C419" s="142"/>
    </row>
    <row r="420" spans="1:3" x14ac:dyDescent="0.25">
      <c r="A420" s="123"/>
      <c r="B420" s="142"/>
      <c r="C420" s="142"/>
    </row>
    <row r="421" spans="1:3" x14ac:dyDescent="0.25">
      <c r="A421" s="123"/>
      <c r="B421" s="142"/>
      <c r="C421" s="142"/>
    </row>
    <row r="422" spans="1:3" x14ac:dyDescent="0.25">
      <c r="A422" s="123"/>
      <c r="B422" s="142"/>
      <c r="C422" s="142"/>
    </row>
    <row r="423" spans="1:3" x14ac:dyDescent="0.25">
      <c r="A423" s="123"/>
      <c r="B423" s="142"/>
      <c r="C423" s="142"/>
    </row>
    <row r="424" spans="1:3" x14ac:dyDescent="0.25">
      <c r="A424" s="123"/>
      <c r="B424" s="142"/>
      <c r="C424" s="142"/>
    </row>
    <row r="425" spans="1:3" x14ac:dyDescent="0.25">
      <c r="A425" s="123"/>
      <c r="B425" s="142"/>
      <c r="C425" s="142"/>
    </row>
    <row r="426" spans="1:3" x14ac:dyDescent="0.25">
      <c r="A426" s="123"/>
      <c r="B426" s="142"/>
      <c r="C426" s="142"/>
    </row>
    <row r="427" spans="1:3" x14ac:dyDescent="0.25">
      <c r="A427" s="123"/>
      <c r="B427" s="142"/>
      <c r="C427" s="142"/>
    </row>
    <row r="428" spans="1:3" x14ac:dyDescent="0.25">
      <c r="A428" s="123"/>
      <c r="B428" s="142"/>
      <c r="C428" s="142"/>
    </row>
    <row r="429" spans="1:3" x14ac:dyDescent="0.25">
      <c r="A429" s="123"/>
      <c r="B429" s="142"/>
      <c r="C429" s="142"/>
    </row>
    <row r="430" spans="1:3" x14ac:dyDescent="0.25">
      <c r="A430" s="123"/>
      <c r="B430" s="142"/>
      <c r="C430" s="142"/>
    </row>
    <row r="431" spans="1:3" x14ac:dyDescent="0.25">
      <c r="A431" s="123"/>
      <c r="B431" s="142"/>
      <c r="C431" s="142"/>
    </row>
    <row r="432" spans="1:3" x14ac:dyDescent="0.25">
      <c r="A432" s="123"/>
      <c r="B432" s="142"/>
      <c r="C432" s="142"/>
    </row>
    <row r="433" spans="1:3" x14ac:dyDescent="0.25">
      <c r="A433" s="123"/>
      <c r="B433" s="142"/>
      <c r="C433" s="142"/>
    </row>
    <row r="434" spans="1:3" x14ac:dyDescent="0.25">
      <c r="A434" s="123"/>
      <c r="B434" s="142"/>
      <c r="C434" s="142"/>
    </row>
    <row r="435" spans="1:3" x14ac:dyDescent="0.25">
      <c r="A435" s="123"/>
      <c r="B435" s="142"/>
      <c r="C435" s="142"/>
    </row>
    <row r="436" spans="1:3" x14ac:dyDescent="0.25">
      <c r="A436" s="123"/>
      <c r="B436" s="142"/>
      <c r="C436" s="142"/>
    </row>
    <row r="437" spans="1:3" x14ac:dyDescent="0.25">
      <c r="A437" s="123"/>
      <c r="B437" s="142"/>
      <c r="C437" s="142"/>
    </row>
    <row r="438" spans="1:3" x14ac:dyDescent="0.25">
      <c r="A438" s="123"/>
      <c r="B438" s="142"/>
      <c r="C438" s="142"/>
    </row>
    <row r="439" spans="1:3" x14ac:dyDescent="0.25">
      <c r="A439" s="123"/>
      <c r="B439" s="142"/>
      <c r="C439" s="142"/>
    </row>
    <row r="440" spans="1:3" x14ac:dyDescent="0.25">
      <c r="A440" s="123"/>
      <c r="B440" s="142"/>
      <c r="C440" s="142"/>
    </row>
    <row r="441" spans="1:3" x14ac:dyDescent="0.25">
      <c r="A441" s="123"/>
      <c r="B441" s="142"/>
      <c r="C441" s="142"/>
    </row>
    <row r="442" spans="1:3" x14ac:dyDescent="0.25">
      <c r="A442" s="123"/>
      <c r="B442" s="142"/>
      <c r="C442" s="142"/>
    </row>
    <row r="443" spans="1:3" x14ac:dyDescent="0.25">
      <c r="A443" s="123"/>
      <c r="B443" s="142"/>
      <c r="C443" s="142"/>
    </row>
    <row r="444" spans="1:3" x14ac:dyDescent="0.25">
      <c r="A444" s="123"/>
      <c r="B444" s="142"/>
      <c r="C444" s="142"/>
    </row>
    <row r="445" spans="1:3" x14ac:dyDescent="0.25">
      <c r="A445" s="123"/>
      <c r="B445" s="142"/>
      <c r="C445" s="142"/>
    </row>
    <row r="446" spans="1:3" x14ac:dyDescent="0.25">
      <c r="A446" s="123"/>
      <c r="B446" s="142"/>
      <c r="C446" s="142"/>
    </row>
    <row r="447" spans="1:3" x14ac:dyDescent="0.25">
      <c r="A447" s="123"/>
      <c r="B447" s="142"/>
      <c r="C447" s="142"/>
    </row>
    <row r="448" spans="1:3" x14ac:dyDescent="0.25">
      <c r="A448" s="123"/>
      <c r="B448" s="142"/>
      <c r="C448" s="142"/>
    </row>
    <row r="449" spans="1:3" x14ac:dyDescent="0.25">
      <c r="A449" s="123"/>
      <c r="B449" s="142"/>
      <c r="C449" s="142"/>
    </row>
    <row r="450" spans="1:3" x14ac:dyDescent="0.25">
      <c r="A450" s="123"/>
      <c r="B450" s="142"/>
      <c r="C450" s="142"/>
    </row>
    <row r="451" spans="1:3" x14ac:dyDescent="0.25">
      <c r="A451" s="123"/>
      <c r="B451" s="142"/>
      <c r="C451" s="142"/>
    </row>
    <row r="452" spans="1:3" x14ac:dyDescent="0.25">
      <c r="A452" s="123"/>
      <c r="B452" s="142"/>
      <c r="C452" s="142"/>
    </row>
    <row r="453" spans="1:3" x14ac:dyDescent="0.25">
      <c r="A453" s="123"/>
      <c r="B453" s="142"/>
      <c r="C453" s="142"/>
    </row>
    <row r="454" spans="1:3" x14ac:dyDescent="0.25">
      <c r="A454" s="123"/>
      <c r="B454" s="142"/>
      <c r="C454" s="142"/>
    </row>
    <row r="455" spans="1:3" x14ac:dyDescent="0.25">
      <c r="A455" s="123"/>
      <c r="B455" s="142"/>
      <c r="C455" s="142"/>
    </row>
    <row r="456" spans="1:3" x14ac:dyDescent="0.25">
      <c r="A456" s="123"/>
      <c r="B456" s="142"/>
      <c r="C456" s="142"/>
    </row>
    <row r="457" spans="1:3" x14ac:dyDescent="0.25">
      <c r="A457" s="123"/>
      <c r="B457" s="142"/>
      <c r="C457" s="142"/>
    </row>
    <row r="458" spans="1:3" x14ac:dyDescent="0.25">
      <c r="A458" s="123"/>
      <c r="B458" s="142"/>
      <c r="C458" s="142"/>
    </row>
    <row r="459" spans="1:3" x14ac:dyDescent="0.25">
      <c r="A459" s="123"/>
      <c r="B459" s="142"/>
      <c r="C459" s="142"/>
    </row>
    <row r="460" spans="1:3" x14ac:dyDescent="0.25">
      <c r="A460" s="123"/>
      <c r="B460" s="142"/>
      <c r="C460" s="142"/>
    </row>
    <row r="461" spans="1:3" x14ac:dyDescent="0.25">
      <c r="A461" s="123"/>
      <c r="B461" s="142"/>
      <c r="C461" s="142"/>
    </row>
    <row r="462" spans="1:3" x14ac:dyDescent="0.25">
      <c r="A462" s="123"/>
      <c r="B462" s="142"/>
      <c r="C462" s="142"/>
    </row>
    <row r="463" spans="1:3" x14ac:dyDescent="0.25">
      <c r="A463" s="123"/>
      <c r="B463" s="142"/>
      <c r="C463" s="142"/>
    </row>
    <row r="464" spans="1:3" x14ac:dyDescent="0.25">
      <c r="A464" s="123"/>
      <c r="B464" s="142"/>
      <c r="C464" s="142"/>
    </row>
    <row r="465" spans="1:3" x14ac:dyDescent="0.25">
      <c r="A465" s="123"/>
      <c r="B465" s="142"/>
      <c r="C465" s="142"/>
    </row>
    <row r="466" spans="1:3" x14ac:dyDescent="0.25">
      <c r="A466" s="123"/>
      <c r="B466" s="142"/>
      <c r="C466" s="142"/>
    </row>
    <row r="467" spans="1:3" x14ac:dyDescent="0.25">
      <c r="A467" s="123"/>
      <c r="B467" s="142"/>
      <c r="C467" s="142"/>
    </row>
    <row r="468" spans="1:3" x14ac:dyDescent="0.25">
      <c r="A468" s="123"/>
      <c r="B468" s="142"/>
      <c r="C468" s="142"/>
    </row>
    <row r="469" spans="1:3" x14ac:dyDescent="0.25">
      <c r="A469" s="123"/>
      <c r="B469" s="142"/>
      <c r="C469" s="142"/>
    </row>
    <row r="470" spans="1:3" x14ac:dyDescent="0.25">
      <c r="A470" s="123"/>
      <c r="B470" s="142"/>
      <c r="C470" s="142"/>
    </row>
    <row r="471" spans="1:3" x14ac:dyDescent="0.25">
      <c r="A471" s="123"/>
      <c r="B471" s="142"/>
      <c r="C471" s="142"/>
    </row>
    <row r="472" spans="1:3" x14ac:dyDescent="0.25">
      <c r="A472" s="123"/>
      <c r="B472" s="142"/>
      <c r="C472" s="142"/>
    </row>
    <row r="473" spans="1:3" x14ac:dyDescent="0.25">
      <c r="A473" s="123"/>
      <c r="B473" s="142"/>
      <c r="C473" s="142"/>
    </row>
    <row r="474" spans="1:3" x14ac:dyDescent="0.25">
      <c r="A474" s="123"/>
      <c r="B474" s="142"/>
      <c r="C474" s="142"/>
    </row>
    <row r="475" spans="1:3" x14ac:dyDescent="0.25">
      <c r="A475" s="123"/>
      <c r="B475" s="142"/>
      <c r="C475" s="142"/>
    </row>
    <row r="476" spans="1:3" x14ac:dyDescent="0.25">
      <c r="A476" s="123"/>
      <c r="B476" s="142"/>
      <c r="C476" s="142"/>
    </row>
    <row r="477" spans="1:3" x14ac:dyDescent="0.25">
      <c r="A477" s="123"/>
      <c r="B477" s="142"/>
      <c r="C477" s="142"/>
    </row>
    <row r="478" spans="1:3" x14ac:dyDescent="0.25">
      <c r="A478" s="123"/>
      <c r="B478" s="142"/>
      <c r="C478" s="142"/>
    </row>
    <row r="479" spans="1:3" x14ac:dyDescent="0.25">
      <c r="A479" s="123"/>
      <c r="B479" s="142"/>
      <c r="C479" s="142"/>
    </row>
    <row r="480" spans="1:3" x14ac:dyDescent="0.25">
      <c r="A480" s="123"/>
      <c r="B480" s="142"/>
      <c r="C480" s="142"/>
    </row>
    <row r="481" spans="1:3" x14ac:dyDescent="0.25">
      <c r="A481" s="123"/>
      <c r="B481" s="142"/>
      <c r="C481" s="142"/>
    </row>
    <row r="482" spans="1:3" x14ac:dyDescent="0.25">
      <c r="A482" s="123"/>
      <c r="B482" s="142"/>
      <c r="C482" s="142"/>
    </row>
    <row r="483" spans="1:3" x14ac:dyDescent="0.25">
      <c r="A483" s="123"/>
      <c r="B483" s="142"/>
      <c r="C483" s="142"/>
    </row>
    <row r="484" spans="1:3" x14ac:dyDescent="0.25">
      <c r="A484" s="123"/>
      <c r="B484" s="142"/>
      <c r="C484" s="142"/>
    </row>
    <row r="485" spans="1:3" x14ac:dyDescent="0.25">
      <c r="A485" s="123"/>
      <c r="B485" s="142"/>
      <c r="C485" s="142"/>
    </row>
    <row r="486" spans="1:3" x14ac:dyDescent="0.25">
      <c r="A486" s="123"/>
      <c r="B486" s="142"/>
      <c r="C486" s="142"/>
    </row>
    <row r="487" spans="1:3" x14ac:dyDescent="0.25">
      <c r="A487" s="123"/>
      <c r="B487" s="142"/>
      <c r="C487" s="142"/>
    </row>
    <row r="488" spans="1:3" x14ac:dyDescent="0.25">
      <c r="A488" s="123"/>
      <c r="B488" s="142"/>
      <c r="C488" s="142"/>
    </row>
    <row r="489" spans="1:3" x14ac:dyDescent="0.25">
      <c r="A489" s="123"/>
      <c r="B489" s="142"/>
      <c r="C489" s="142"/>
    </row>
    <row r="490" spans="1:3" x14ac:dyDescent="0.25">
      <c r="A490" s="123"/>
      <c r="B490" s="142"/>
      <c r="C490" s="142"/>
    </row>
    <row r="491" spans="1:3" x14ac:dyDescent="0.25">
      <c r="A491" s="123"/>
      <c r="B491" s="142"/>
      <c r="C491" s="142"/>
    </row>
    <row r="492" spans="1:3" x14ac:dyDescent="0.25">
      <c r="A492" s="123"/>
      <c r="B492" s="142"/>
      <c r="C492" s="142"/>
    </row>
    <row r="493" spans="1:3" x14ac:dyDescent="0.25">
      <c r="A493" s="123"/>
      <c r="B493" s="142"/>
      <c r="C493" s="142"/>
    </row>
    <row r="494" spans="1:3" x14ac:dyDescent="0.25">
      <c r="A494" s="123"/>
      <c r="B494" s="142"/>
      <c r="C494" s="142"/>
    </row>
    <row r="495" spans="1:3" x14ac:dyDescent="0.25">
      <c r="A495" s="123"/>
      <c r="B495" s="142"/>
      <c r="C495" s="142"/>
    </row>
    <row r="496" spans="1:3" x14ac:dyDescent="0.25">
      <c r="A496" s="123"/>
      <c r="B496" s="142"/>
      <c r="C496" s="142"/>
    </row>
    <row r="497" spans="1:3" x14ac:dyDescent="0.25">
      <c r="A497" s="123"/>
      <c r="B497" s="142"/>
      <c r="C497" s="142"/>
    </row>
    <row r="498" spans="1:3" x14ac:dyDescent="0.25">
      <c r="A498" s="123"/>
      <c r="B498" s="142"/>
      <c r="C498" s="142"/>
    </row>
    <row r="499" spans="1:3" x14ac:dyDescent="0.25">
      <c r="A499" s="123"/>
      <c r="B499" s="142"/>
      <c r="C499" s="142"/>
    </row>
    <row r="500" spans="1:3" x14ac:dyDescent="0.25">
      <c r="A500" s="123"/>
      <c r="B500" s="142"/>
      <c r="C500" s="142"/>
    </row>
    <row r="501" spans="1:3" x14ac:dyDescent="0.25">
      <c r="A501" s="123"/>
      <c r="B501" s="142"/>
      <c r="C501" s="142"/>
    </row>
    <row r="502" spans="1:3" x14ac:dyDescent="0.25">
      <c r="A502" s="123"/>
      <c r="B502" s="142"/>
      <c r="C502" s="142"/>
    </row>
    <row r="503" spans="1:3" x14ac:dyDescent="0.25">
      <c r="A503" s="123"/>
      <c r="B503" s="142"/>
      <c r="C503" s="142"/>
    </row>
    <row r="504" spans="1:3" x14ac:dyDescent="0.25">
      <c r="A504" s="123"/>
      <c r="B504" s="142"/>
      <c r="C504" s="142"/>
    </row>
    <row r="505" spans="1:3" x14ac:dyDescent="0.25">
      <c r="A505" s="123"/>
      <c r="B505" s="142"/>
      <c r="C505" s="142"/>
    </row>
    <row r="506" spans="1:3" x14ac:dyDescent="0.25">
      <c r="A506" s="123"/>
      <c r="B506" s="142"/>
      <c r="C506" s="142"/>
    </row>
    <row r="507" spans="1:3" x14ac:dyDescent="0.25">
      <c r="A507" s="123"/>
      <c r="B507" s="142"/>
      <c r="C507" s="142"/>
    </row>
    <row r="508" spans="1:3" x14ac:dyDescent="0.25">
      <c r="A508" s="123"/>
      <c r="B508" s="142"/>
      <c r="C508" s="142"/>
    </row>
    <row r="509" spans="1:3" x14ac:dyDescent="0.25">
      <c r="A509" s="123"/>
      <c r="B509" s="142"/>
      <c r="C509" s="142"/>
    </row>
    <row r="510" spans="1:3" x14ac:dyDescent="0.25">
      <c r="A510" s="123"/>
      <c r="B510" s="142"/>
      <c r="C510" s="142"/>
    </row>
    <row r="511" spans="1:3" x14ac:dyDescent="0.25">
      <c r="A511" s="123"/>
      <c r="B511" s="142"/>
      <c r="C511" s="142"/>
    </row>
    <row r="512" spans="1:3" x14ac:dyDescent="0.25">
      <c r="A512" s="123"/>
      <c r="B512" s="142"/>
      <c r="C512" s="142"/>
    </row>
    <row r="513" spans="1:3" x14ac:dyDescent="0.25">
      <c r="A513" s="123"/>
      <c r="B513" s="142"/>
      <c r="C513" s="142"/>
    </row>
    <row r="514" spans="1:3" x14ac:dyDescent="0.25">
      <c r="A514" s="123"/>
      <c r="B514" s="142"/>
      <c r="C514" s="142"/>
    </row>
    <row r="515" spans="1:3" x14ac:dyDescent="0.25">
      <c r="A515" s="123"/>
      <c r="B515" s="142"/>
      <c r="C515" s="142"/>
    </row>
    <row r="516" spans="1:3" x14ac:dyDescent="0.25">
      <c r="A516" s="123"/>
      <c r="B516" s="142"/>
      <c r="C516" s="142"/>
    </row>
    <row r="517" spans="1:3" x14ac:dyDescent="0.25">
      <c r="A517" s="123"/>
      <c r="B517" s="142"/>
      <c r="C517" s="142"/>
    </row>
    <row r="518" spans="1:3" x14ac:dyDescent="0.25">
      <c r="A518" s="123"/>
      <c r="B518" s="142"/>
      <c r="C518" s="142"/>
    </row>
    <row r="519" spans="1:3" x14ac:dyDescent="0.25">
      <c r="A519" s="123"/>
      <c r="B519" s="142"/>
      <c r="C519" s="142"/>
    </row>
    <row r="520" spans="1:3" x14ac:dyDescent="0.25">
      <c r="A520" s="123"/>
      <c r="B520" s="142"/>
      <c r="C520" s="142"/>
    </row>
    <row r="521" spans="1:3" x14ac:dyDescent="0.25">
      <c r="A521" s="123"/>
      <c r="B521" s="142"/>
      <c r="C521" s="142"/>
    </row>
    <row r="522" spans="1:3" x14ac:dyDescent="0.25">
      <c r="A522" s="123"/>
      <c r="B522" s="142"/>
      <c r="C522" s="142"/>
    </row>
    <row r="523" spans="1:3" x14ac:dyDescent="0.25">
      <c r="A523" s="123"/>
      <c r="B523" s="142"/>
      <c r="C523" s="142"/>
    </row>
    <row r="524" spans="1:3" x14ac:dyDescent="0.25">
      <c r="A524" s="123"/>
      <c r="B524" s="142"/>
      <c r="C524" s="142"/>
    </row>
    <row r="525" spans="1:3" x14ac:dyDescent="0.25">
      <c r="A525" s="123"/>
      <c r="B525" s="142"/>
      <c r="C525" s="142"/>
    </row>
    <row r="526" spans="1:3" x14ac:dyDescent="0.25">
      <c r="A526" s="123"/>
      <c r="B526" s="142"/>
      <c r="C526" s="142"/>
    </row>
    <row r="527" spans="1:3" x14ac:dyDescent="0.25">
      <c r="A527" s="123"/>
      <c r="B527" s="142"/>
      <c r="C527" s="142"/>
    </row>
    <row r="528" spans="1:3" x14ac:dyDescent="0.25">
      <c r="A528" s="123"/>
      <c r="B528" s="142"/>
      <c r="C528" s="142"/>
    </row>
    <row r="529" spans="1:3" x14ac:dyDescent="0.25">
      <c r="A529" s="123"/>
      <c r="B529" s="142"/>
      <c r="C529" s="142"/>
    </row>
    <row r="530" spans="1:3" x14ac:dyDescent="0.25">
      <c r="A530" s="123"/>
      <c r="B530" s="142"/>
      <c r="C530" s="142"/>
    </row>
    <row r="531" spans="1:3" x14ac:dyDescent="0.25">
      <c r="A531" s="123"/>
      <c r="B531" s="142"/>
      <c r="C531" s="142"/>
    </row>
    <row r="532" spans="1:3" x14ac:dyDescent="0.25">
      <c r="A532" s="123"/>
      <c r="B532" s="142"/>
      <c r="C532" s="142"/>
    </row>
    <row r="533" spans="1:3" x14ac:dyDescent="0.25">
      <c r="A533" s="123"/>
      <c r="B533" s="142"/>
      <c r="C533" s="142"/>
    </row>
    <row r="534" spans="1:3" x14ac:dyDescent="0.25">
      <c r="A534" s="123"/>
      <c r="B534" s="142"/>
      <c r="C534" s="142"/>
    </row>
    <row r="535" spans="1:3" x14ac:dyDescent="0.25">
      <c r="A535" s="123"/>
      <c r="B535" s="142"/>
      <c r="C535" s="142"/>
    </row>
    <row r="536" spans="1:3" x14ac:dyDescent="0.25">
      <c r="A536" s="123"/>
      <c r="B536" s="142"/>
      <c r="C536" s="142"/>
    </row>
    <row r="537" spans="1:3" x14ac:dyDescent="0.25">
      <c r="A537" s="123"/>
      <c r="B537" s="142"/>
      <c r="C537" s="142"/>
    </row>
    <row r="538" spans="1:3" x14ac:dyDescent="0.25">
      <c r="A538" s="123"/>
      <c r="B538" s="142"/>
      <c r="C538" s="142"/>
    </row>
    <row r="539" spans="1:3" x14ac:dyDescent="0.25">
      <c r="A539" s="123"/>
      <c r="B539" s="142"/>
      <c r="C539" s="142"/>
    </row>
    <row r="540" spans="1:3" x14ac:dyDescent="0.25">
      <c r="A540" s="123"/>
      <c r="B540" s="142"/>
      <c r="C540" s="142"/>
    </row>
    <row r="541" spans="1:3" x14ac:dyDescent="0.25">
      <c r="A541" s="123"/>
      <c r="B541" s="142"/>
      <c r="C541" s="142"/>
    </row>
    <row r="542" spans="1:3" x14ac:dyDescent="0.25">
      <c r="A542" s="123"/>
      <c r="B542" s="142"/>
      <c r="C542" s="142"/>
    </row>
    <row r="543" spans="1:3" x14ac:dyDescent="0.25">
      <c r="A543" s="123"/>
      <c r="B543" s="142"/>
      <c r="C543" s="142"/>
    </row>
    <row r="544" spans="1:3" x14ac:dyDescent="0.25">
      <c r="A544" s="123"/>
      <c r="B544" s="142"/>
      <c r="C544" s="142"/>
    </row>
    <row r="545" spans="1:3" x14ac:dyDescent="0.25">
      <c r="A545" s="123"/>
      <c r="B545" s="142"/>
      <c r="C545" s="142"/>
    </row>
    <row r="546" spans="1:3" x14ac:dyDescent="0.25">
      <c r="A546" s="123"/>
      <c r="B546" s="142"/>
      <c r="C546" s="142"/>
    </row>
    <row r="547" spans="1:3" x14ac:dyDescent="0.25">
      <c r="A547" s="123"/>
      <c r="B547" s="142"/>
      <c r="C547" s="142"/>
    </row>
    <row r="548" spans="1:3" x14ac:dyDescent="0.25">
      <c r="A548" s="123"/>
      <c r="B548" s="142"/>
      <c r="C548" s="142"/>
    </row>
    <row r="549" spans="1:3" x14ac:dyDescent="0.25">
      <c r="A549" s="123"/>
      <c r="B549" s="142"/>
      <c r="C549" s="142"/>
    </row>
    <row r="550" spans="1:3" x14ac:dyDescent="0.25">
      <c r="A550" s="123"/>
      <c r="B550" s="142"/>
      <c r="C550" s="142"/>
    </row>
    <row r="551" spans="1:3" x14ac:dyDescent="0.25">
      <c r="A551" s="123"/>
      <c r="B551" s="142"/>
      <c r="C551" s="142"/>
    </row>
    <row r="552" spans="1:3" x14ac:dyDescent="0.25">
      <c r="A552" s="123"/>
      <c r="B552" s="142"/>
      <c r="C552" s="142"/>
    </row>
    <row r="553" spans="1:3" x14ac:dyDescent="0.25">
      <c r="A553" s="123"/>
      <c r="B553" s="142"/>
      <c r="C553" s="142"/>
    </row>
    <row r="554" spans="1:3" x14ac:dyDescent="0.25">
      <c r="A554" s="123"/>
      <c r="B554" s="142"/>
      <c r="C554" s="142"/>
    </row>
    <row r="555" spans="1:3" x14ac:dyDescent="0.25">
      <c r="A555" s="123"/>
      <c r="B555" s="142"/>
      <c r="C555" s="142"/>
    </row>
    <row r="556" spans="1:3" x14ac:dyDescent="0.25">
      <c r="A556" s="123"/>
      <c r="B556" s="142"/>
      <c r="C556" s="142"/>
    </row>
    <row r="557" spans="1:3" x14ac:dyDescent="0.25">
      <c r="A557" s="123"/>
      <c r="B557" s="142"/>
      <c r="C557" s="142"/>
    </row>
    <row r="558" spans="1:3" x14ac:dyDescent="0.25">
      <c r="A558" s="123"/>
      <c r="B558" s="142"/>
      <c r="C558" s="142"/>
    </row>
    <row r="559" spans="1:3" x14ac:dyDescent="0.25">
      <c r="A559" s="123"/>
      <c r="B559" s="142"/>
      <c r="C559" s="142"/>
    </row>
    <row r="560" spans="1:3" x14ac:dyDescent="0.25">
      <c r="A560" s="123"/>
      <c r="B560" s="142"/>
      <c r="C560" s="142"/>
    </row>
    <row r="561" spans="1:3" x14ac:dyDescent="0.25">
      <c r="A561" s="123"/>
      <c r="B561" s="142"/>
      <c r="C561" s="142"/>
    </row>
    <row r="562" spans="1:3" x14ac:dyDescent="0.25">
      <c r="A562" s="123"/>
      <c r="B562" s="142"/>
      <c r="C562" s="142"/>
    </row>
    <row r="563" spans="1:3" x14ac:dyDescent="0.25">
      <c r="A563" s="123"/>
      <c r="B563" s="142"/>
      <c r="C563" s="142"/>
    </row>
    <row r="564" spans="1:3" x14ac:dyDescent="0.25">
      <c r="A564" s="123"/>
      <c r="B564" s="142"/>
      <c r="C564" s="142"/>
    </row>
    <row r="565" spans="1:3" x14ac:dyDescent="0.25">
      <c r="A565" s="123"/>
      <c r="B565" s="142"/>
      <c r="C565" s="142"/>
    </row>
    <row r="566" spans="1:3" x14ac:dyDescent="0.25">
      <c r="A566" s="123"/>
      <c r="B566" s="142"/>
      <c r="C566" s="142"/>
    </row>
    <row r="567" spans="1:3" x14ac:dyDescent="0.25">
      <c r="A567" s="123"/>
      <c r="B567" s="142"/>
      <c r="C567" s="142"/>
    </row>
    <row r="568" spans="1:3" x14ac:dyDescent="0.25">
      <c r="A568" s="123"/>
      <c r="B568" s="142"/>
      <c r="C568" s="142"/>
    </row>
    <row r="569" spans="1:3" x14ac:dyDescent="0.25">
      <c r="A569" s="123"/>
      <c r="B569" s="142"/>
      <c r="C569" s="142"/>
    </row>
    <row r="570" spans="1:3" x14ac:dyDescent="0.25">
      <c r="A570" s="123"/>
      <c r="B570" s="142"/>
      <c r="C570" s="142"/>
    </row>
    <row r="571" spans="1:3" x14ac:dyDescent="0.25">
      <c r="A571" s="123"/>
      <c r="B571" s="142"/>
      <c r="C571" s="142"/>
    </row>
    <row r="572" spans="1:3" x14ac:dyDescent="0.25">
      <c r="A572" s="123"/>
      <c r="B572" s="142"/>
      <c r="C572" s="142"/>
    </row>
    <row r="573" spans="1:3" x14ac:dyDescent="0.25">
      <c r="A573" s="123"/>
      <c r="B573" s="142"/>
      <c r="C573" s="142"/>
    </row>
    <row r="574" spans="1:3" x14ac:dyDescent="0.25">
      <c r="A574" s="123"/>
      <c r="B574" s="142"/>
      <c r="C574" s="142"/>
    </row>
    <row r="575" spans="1:3" x14ac:dyDescent="0.25">
      <c r="A575" s="123"/>
      <c r="B575" s="142"/>
      <c r="C575" s="142"/>
    </row>
    <row r="576" spans="1:3" x14ac:dyDescent="0.25">
      <c r="A576" s="123"/>
      <c r="B576" s="142"/>
      <c r="C576" s="142"/>
    </row>
    <row r="577" spans="1:3" x14ac:dyDescent="0.25">
      <c r="A577" s="123"/>
      <c r="B577" s="142"/>
      <c r="C577" s="142"/>
    </row>
    <row r="578" spans="1:3" x14ac:dyDescent="0.25">
      <c r="A578" s="123"/>
      <c r="B578" s="142"/>
      <c r="C578" s="142"/>
    </row>
    <row r="579" spans="1:3" x14ac:dyDescent="0.25">
      <c r="A579" s="123"/>
      <c r="B579" s="142"/>
      <c r="C579" s="142"/>
    </row>
    <row r="580" spans="1:3" x14ac:dyDescent="0.25">
      <c r="A580" s="123"/>
      <c r="B580" s="142"/>
      <c r="C580" s="142"/>
    </row>
    <row r="581" spans="1:3" x14ac:dyDescent="0.25">
      <c r="A581" s="123"/>
      <c r="B581" s="142"/>
      <c r="C581" s="142"/>
    </row>
    <row r="582" spans="1:3" x14ac:dyDescent="0.25">
      <c r="A582" s="123"/>
      <c r="B582" s="142"/>
      <c r="C582" s="142"/>
    </row>
    <row r="583" spans="1:3" x14ac:dyDescent="0.25">
      <c r="A583" s="123"/>
      <c r="B583" s="142"/>
      <c r="C583" s="142"/>
    </row>
    <row r="584" spans="1:3" x14ac:dyDescent="0.25">
      <c r="A584" s="123"/>
      <c r="B584" s="142"/>
      <c r="C584" s="142"/>
    </row>
    <row r="585" spans="1:3" x14ac:dyDescent="0.25">
      <c r="A585" s="123"/>
      <c r="B585" s="142"/>
      <c r="C585" s="142"/>
    </row>
    <row r="586" spans="1:3" x14ac:dyDescent="0.25">
      <c r="A586" s="123"/>
      <c r="B586" s="142"/>
      <c r="C586" s="142"/>
    </row>
    <row r="587" spans="1:3" x14ac:dyDescent="0.25">
      <c r="A587" s="123"/>
      <c r="B587" s="142"/>
      <c r="C587" s="142"/>
    </row>
    <row r="588" spans="1:3" x14ac:dyDescent="0.25">
      <c r="A588" s="123"/>
      <c r="B588" s="142"/>
      <c r="C588" s="142"/>
    </row>
    <row r="589" spans="1:3" x14ac:dyDescent="0.25">
      <c r="A589" s="123"/>
      <c r="B589" s="142"/>
      <c r="C589" s="142"/>
    </row>
    <row r="590" spans="1:3" x14ac:dyDescent="0.25">
      <c r="A590" s="123"/>
      <c r="B590" s="142"/>
      <c r="C590" s="142"/>
    </row>
    <row r="591" spans="1:3" x14ac:dyDescent="0.25">
      <c r="A591" s="123"/>
      <c r="B591" s="142"/>
      <c r="C591" s="142"/>
    </row>
    <row r="592" spans="1:3" x14ac:dyDescent="0.25">
      <c r="A592" s="123"/>
      <c r="B592" s="142"/>
      <c r="C592" s="142"/>
    </row>
    <row r="593" spans="1:3" x14ac:dyDescent="0.25">
      <c r="A593" s="123"/>
      <c r="B593" s="142"/>
      <c r="C593" s="142"/>
    </row>
    <row r="594" spans="1:3" x14ac:dyDescent="0.25">
      <c r="A594" s="123"/>
      <c r="B594" s="142"/>
      <c r="C594" s="142"/>
    </row>
    <row r="595" spans="1:3" x14ac:dyDescent="0.25">
      <c r="A595" s="123"/>
      <c r="B595" s="142"/>
      <c r="C595" s="142"/>
    </row>
    <row r="596" spans="1:3" x14ac:dyDescent="0.25">
      <c r="A596" s="123"/>
      <c r="B596" s="142"/>
      <c r="C596" s="142"/>
    </row>
    <row r="597" spans="1:3" x14ac:dyDescent="0.25">
      <c r="A597" s="123"/>
      <c r="B597" s="142"/>
      <c r="C597" s="142"/>
    </row>
    <row r="598" spans="1:3" x14ac:dyDescent="0.25">
      <c r="A598" s="123"/>
      <c r="B598" s="142"/>
      <c r="C598" s="142"/>
    </row>
    <row r="599" spans="1:3" x14ac:dyDescent="0.25">
      <c r="A599" s="123"/>
      <c r="B599" s="142"/>
      <c r="C599" s="142"/>
    </row>
    <row r="600" spans="1:3" x14ac:dyDescent="0.25">
      <c r="A600" s="123"/>
      <c r="B600" s="142"/>
      <c r="C600" s="142"/>
    </row>
    <row r="601" spans="1:3" x14ac:dyDescent="0.25">
      <c r="A601" s="123"/>
      <c r="B601" s="142"/>
      <c r="C601" s="142"/>
    </row>
    <row r="602" spans="1:3" x14ac:dyDescent="0.25">
      <c r="A602" s="123"/>
      <c r="B602" s="142"/>
      <c r="C602" s="142"/>
    </row>
    <row r="603" spans="1:3" x14ac:dyDescent="0.25">
      <c r="A603" s="123"/>
      <c r="B603" s="142"/>
      <c r="C603" s="142"/>
    </row>
    <row r="604" spans="1:3" x14ac:dyDescent="0.25">
      <c r="A604" s="123"/>
      <c r="B604" s="142"/>
      <c r="C604" s="142"/>
    </row>
    <row r="605" spans="1:3" x14ac:dyDescent="0.25">
      <c r="A605" s="123"/>
      <c r="B605" s="142"/>
      <c r="C605" s="142"/>
    </row>
    <row r="606" spans="1:3" x14ac:dyDescent="0.25">
      <c r="A606" s="123"/>
      <c r="B606" s="142"/>
      <c r="C606" s="142"/>
    </row>
    <row r="607" spans="1:3" x14ac:dyDescent="0.25">
      <c r="A607" s="123"/>
      <c r="B607" s="142"/>
      <c r="C607" s="142"/>
    </row>
    <row r="608" spans="1:3" x14ac:dyDescent="0.25">
      <c r="A608" s="123"/>
      <c r="B608" s="142"/>
      <c r="C608" s="142"/>
    </row>
    <row r="609" spans="1:3" x14ac:dyDescent="0.25">
      <c r="A609" s="123"/>
      <c r="B609" s="142"/>
      <c r="C609" s="142"/>
    </row>
    <row r="610" spans="1:3" x14ac:dyDescent="0.25">
      <c r="A610" s="123"/>
      <c r="B610" s="142"/>
      <c r="C610" s="142"/>
    </row>
    <row r="611" spans="1:3" x14ac:dyDescent="0.25">
      <c r="A611" s="123"/>
      <c r="B611" s="142"/>
      <c r="C611" s="142"/>
    </row>
    <row r="612" spans="1:3" x14ac:dyDescent="0.25">
      <c r="A612" s="123"/>
      <c r="B612" s="142"/>
      <c r="C612" s="142"/>
    </row>
    <row r="613" spans="1:3" x14ac:dyDescent="0.25">
      <c r="A613" s="123"/>
      <c r="B613" s="142"/>
      <c r="C613" s="142"/>
    </row>
    <row r="614" spans="1:3" x14ac:dyDescent="0.25">
      <c r="A614" s="123"/>
      <c r="B614" s="142"/>
      <c r="C614" s="142"/>
    </row>
    <row r="615" spans="1:3" x14ac:dyDescent="0.25">
      <c r="A615" s="123"/>
      <c r="B615" s="142"/>
      <c r="C615" s="142"/>
    </row>
    <row r="616" spans="1:3" x14ac:dyDescent="0.25">
      <c r="A616" s="123"/>
      <c r="B616" s="142"/>
      <c r="C616" s="142"/>
    </row>
    <row r="617" spans="1:3" x14ac:dyDescent="0.25">
      <c r="A617" s="123"/>
      <c r="B617" s="142"/>
      <c r="C617" s="142"/>
    </row>
    <row r="618" spans="1:3" x14ac:dyDescent="0.25">
      <c r="A618" s="123"/>
      <c r="B618" s="142"/>
      <c r="C618" s="142"/>
    </row>
    <row r="619" spans="1:3" x14ac:dyDescent="0.25">
      <c r="A619" s="123"/>
      <c r="B619" s="142"/>
      <c r="C619" s="142"/>
    </row>
    <row r="620" spans="1:3" x14ac:dyDescent="0.25">
      <c r="A620" s="123"/>
      <c r="B620" s="142"/>
      <c r="C620" s="142"/>
    </row>
    <row r="621" spans="1:3" x14ac:dyDescent="0.25">
      <c r="A621" s="123"/>
      <c r="B621" s="142"/>
      <c r="C621" s="142"/>
    </row>
    <row r="622" spans="1:3" x14ac:dyDescent="0.25">
      <c r="A622" s="123"/>
      <c r="B622" s="142"/>
      <c r="C622" s="142"/>
    </row>
    <row r="623" spans="1:3" x14ac:dyDescent="0.25">
      <c r="A623" s="123"/>
      <c r="B623" s="142"/>
      <c r="C623" s="142"/>
    </row>
    <row r="624" spans="1:3" x14ac:dyDescent="0.25">
      <c r="A624" s="123"/>
      <c r="B624" s="142"/>
      <c r="C624" s="142"/>
    </row>
    <row r="625" spans="1:3" x14ac:dyDescent="0.25">
      <c r="A625" s="123"/>
      <c r="B625" s="142"/>
      <c r="C625" s="142"/>
    </row>
    <row r="626" spans="1:3" x14ac:dyDescent="0.25">
      <c r="A626" s="123"/>
      <c r="B626" s="142"/>
      <c r="C626" s="142"/>
    </row>
    <row r="627" spans="1:3" x14ac:dyDescent="0.25">
      <c r="A627" s="123"/>
      <c r="B627" s="142"/>
      <c r="C627" s="142"/>
    </row>
    <row r="628" spans="1:3" x14ac:dyDescent="0.25">
      <c r="A628" s="123"/>
      <c r="B628" s="142"/>
      <c r="C628" s="142"/>
    </row>
    <row r="629" spans="1:3" x14ac:dyDescent="0.25">
      <c r="A629" s="123"/>
      <c r="B629" s="142"/>
      <c r="C629" s="142"/>
    </row>
    <row r="630" spans="1:3" x14ac:dyDescent="0.25">
      <c r="A630" s="123"/>
      <c r="B630" s="142"/>
      <c r="C630" s="142"/>
    </row>
    <row r="631" spans="1:3" x14ac:dyDescent="0.25">
      <c r="A631" s="123"/>
      <c r="B631" s="142"/>
      <c r="C631" s="142"/>
    </row>
    <row r="632" spans="1:3" x14ac:dyDescent="0.25">
      <c r="A632" s="123"/>
      <c r="B632" s="142"/>
      <c r="C632" s="142"/>
    </row>
    <row r="633" spans="1:3" x14ac:dyDescent="0.25">
      <c r="A633" s="123"/>
      <c r="B633" s="142"/>
      <c r="C633" s="142"/>
    </row>
    <row r="634" spans="1:3" x14ac:dyDescent="0.25">
      <c r="A634" s="123"/>
      <c r="B634" s="142"/>
      <c r="C634" s="142"/>
    </row>
    <row r="635" spans="1:3" x14ac:dyDescent="0.25">
      <c r="A635" s="123"/>
      <c r="B635" s="142"/>
      <c r="C635" s="142"/>
    </row>
    <row r="636" spans="1:3" x14ac:dyDescent="0.25">
      <c r="A636" s="123"/>
      <c r="B636" s="142"/>
      <c r="C636" s="142"/>
    </row>
    <row r="637" spans="1:3" x14ac:dyDescent="0.25">
      <c r="A637" s="123"/>
      <c r="B637" s="142"/>
      <c r="C637" s="142"/>
    </row>
    <row r="638" spans="1:3" x14ac:dyDescent="0.25">
      <c r="A638" s="123"/>
      <c r="B638" s="142"/>
      <c r="C638" s="142"/>
    </row>
    <row r="639" spans="1:3" x14ac:dyDescent="0.25">
      <c r="A639" s="123"/>
      <c r="B639" s="142"/>
      <c r="C639" s="142"/>
    </row>
    <row r="640" spans="1:3" x14ac:dyDescent="0.25">
      <c r="A640" s="123"/>
      <c r="B640" s="142"/>
      <c r="C640" s="142"/>
    </row>
    <row r="641" spans="1:3" x14ac:dyDescent="0.25">
      <c r="A641" s="123"/>
      <c r="B641" s="142"/>
      <c r="C641" s="142"/>
    </row>
    <row r="642" spans="1:3" x14ac:dyDescent="0.25">
      <c r="A642" s="123"/>
      <c r="B642" s="142"/>
      <c r="C642" s="142"/>
    </row>
    <row r="643" spans="1:3" x14ac:dyDescent="0.25">
      <c r="A643" s="123"/>
      <c r="B643" s="142"/>
      <c r="C643" s="142"/>
    </row>
    <row r="644" spans="1:3" x14ac:dyDescent="0.25">
      <c r="A644" s="123"/>
      <c r="B644" s="142"/>
      <c r="C644" s="142"/>
    </row>
    <row r="645" spans="1:3" x14ac:dyDescent="0.25">
      <c r="A645" s="123"/>
      <c r="B645" s="142"/>
      <c r="C645" s="142"/>
    </row>
    <row r="646" spans="1:3" x14ac:dyDescent="0.25">
      <c r="A646" s="123"/>
      <c r="B646" s="142"/>
      <c r="C646" s="142"/>
    </row>
    <row r="647" spans="1:3" x14ac:dyDescent="0.25">
      <c r="A647" s="123"/>
      <c r="B647" s="142"/>
      <c r="C647" s="142"/>
    </row>
    <row r="648" spans="1:3" x14ac:dyDescent="0.25">
      <c r="A648" s="123"/>
      <c r="B648" s="142"/>
      <c r="C648" s="142"/>
    </row>
    <row r="649" spans="1:3" x14ac:dyDescent="0.25">
      <c r="A649" s="123"/>
      <c r="B649" s="142"/>
      <c r="C649" s="142"/>
    </row>
    <row r="650" spans="1:3" x14ac:dyDescent="0.25">
      <c r="A650" s="123"/>
      <c r="B650" s="142"/>
      <c r="C650" s="142"/>
    </row>
    <row r="651" spans="1:3" x14ac:dyDescent="0.25">
      <c r="A651" s="123"/>
      <c r="B651" s="142"/>
      <c r="C651" s="142"/>
    </row>
    <row r="652" spans="1:3" x14ac:dyDescent="0.25">
      <c r="A652" s="123"/>
      <c r="B652" s="142"/>
      <c r="C652" s="142"/>
    </row>
    <row r="653" spans="1:3" x14ac:dyDescent="0.25">
      <c r="A653" s="123"/>
      <c r="B653" s="142"/>
      <c r="C653" s="142"/>
    </row>
    <row r="654" spans="1:3" x14ac:dyDescent="0.25">
      <c r="A654" s="123"/>
      <c r="B654" s="142"/>
      <c r="C654" s="142"/>
    </row>
    <row r="655" spans="1:3" x14ac:dyDescent="0.25">
      <c r="A655" s="123"/>
      <c r="B655" s="142"/>
      <c r="C655" s="142"/>
    </row>
    <row r="656" spans="1:3" x14ac:dyDescent="0.25">
      <c r="A656" s="123"/>
      <c r="B656" s="142"/>
      <c r="C656" s="142"/>
    </row>
    <row r="657" spans="1:3" x14ac:dyDescent="0.25">
      <c r="A657" s="123"/>
      <c r="B657" s="142"/>
      <c r="C657" s="142"/>
    </row>
    <row r="658" spans="1:3" x14ac:dyDescent="0.25">
      <c r="A658" s="123"/>
      <c r="B658" s="142"/>
      <c r="C658" s="142"/>
    </row>
    <row r="659" spans="1:3" x14ac:dyDescent="0.25">
      <c r="A659" s="123"/>
      <c r="B659" s="142"/>
      <c r="C659" s="142"/>
    </row>
    <row r="660" spans="1:3" x14ac:dyDescent="0.25">
      <c r="A660" s="123"/>
      <c r="B660" s="142"/>
      <c r="C660" s="142"/>
    </row>
    <row r="661" spans="1:3" x14ac:dyDescent="0.25">
      <c r="A661" s="123"/>
      <c r="B661" s="142"/>
      <c r="C661" s="142"/>
    </row>
    <row r="662" spans="1:3" x14ac:dyDescent="0.25">
      <c r="A662" s="123"/>
      <c r="B662" s="142"/>
      <c r="C662" s="142"/>
    </row>
    <row r="663" spans="1:3" x14ac:dyDescent="0.25">
      <c r="A663" s="123"/>
      <c r="B663" s="142"/>
      <c r="C663" s="142"/>
    </row>
    <row r="664" spans="1:3" x14ac:dyDescent="0.25">
      <c r="A664" s="123"/>
      <c r="B664" s="142"/>
      <c r="C664" s="142"/>
    </row>
    <row r="665" spans="1:3" x14ac:dyDescent="0.25">
      <c r="A665" s="123"/>
      <c r="B665" s="142"/>
      <c r="C665" s="142"/>
    </row>
    <row r="666" spans="1:3" x14ac:dyDescent="0.25">
      <c r="A666" s="123"/>
      <c r="B666" s="142"/>
      <c r="C666" s="142"/>
    </row>
    <row r="667" spans="1:3" x14ac:dyDescent="0.25">
      <c r="A667" s="123"/>
      <c r="B667" s="142"/>
      <c r="C667" s="142"/>
    </row>
    <row r="668" spans="1:3" x14ac:dyDescent="0.25">
      <c r="A668" s="123"/>
      <c r="B668" s="142"/>
      <c r="C668" s="142"/>
    </row>
    <row r="669" spans="1:3" x14ac:dyDescent="0.25">
      <c r="A669" s="123"/>
      <c r="B669" s="142"/>
      <c r="C669" s="142"/>
    </row>
    <row r="670" spans="1:3" x14ac:dyDescent="0.25">
      <c r="A670" s="123"/>
      <c r="B670" s="142"/>
      <c r="C670" s="142"/>
    </row>
    <row r="671" spans="1:3" x14ac:dyDescent="0.25">
      <c r="A671" s="123"/>
      <c r="B671" s="142"/>
      <c r="C671" s="142"/>
    </row>
    <row r="672" spans="1:3" x14ac:dyDescent="0.25">
      <c r="A672" s="123"/>
      <c r="B672" s="142"/>
      <c r="C672" s="142"/>
    </row>
    <row r="673" spans="1:3" x14ac:dyDescent="0.25">
      <c r="A673" s="123"/>
      <c r="B673" s="142"/>
      <c r="C673" s="142"/>
    </row>
    <row r="674" spans="1:3" x14ac:dyDescent="0.25">
      <c r="A674" s="123"/>
      <c r="B674" s="142"/>
      <c r="C674" s="142"/>
    </row>
    <row r="675" spans="1:3" x14ac:dyDescent="0.25">
      <c r="A675" s="123"/>
      <c r="B675" s="142"/>
      <c r="C675" s="142"/>
    </row>
    <row r="676" spans="1:3" x14ac:dyDescent="0.25">
      <c r="A676" s="123"/>
      <c r="B676" s="142"/>
      <c r="C676" s="142"/>
    </row>
    <row r="677" spans="1:3" x14ac:dyDescent="0.25">
      <c r="A677" s="123"/>
      <c r="B677" s="142"/>
      <c r="C677" s="142"/>
    </row>
    <row r="678" spans="1:3" x14ac:dyDescent="0.25">
      <c r="A678" s="123"/>
      <c r="B678" s="142"/>
      <c r="C678" s="142"/>
    </row>
    <row r="679" spans="1:3" x14ac:dyDescent="0.25">
      <c r="A679" s="123"/>
      <c r="B679" s="142"/>
      <c r="C679" s="142"/>
    </row>
    <row r="680" spans="1:3" x14ac:dyDescent="0.25">
      <c r="A680" s="123"/>
      <c r="B680" s="142"/>
      <c r="C680" s="142"/>
    </row>
    <row r="681" spans="1:3" x14ac:dyDescent="0.25">
      <c r="A681" s="123"/>
      <c r="B681" s="142"/>
      <c r="C681" s="142"/>
    </row>
    <row r="682" spans="1:3" x14ac:dyDescent="0.25">
      <c r="A682" s="123"/>
      <c r="B682" s="142"/>
      <c r="C682" s="142"/>
    </row>
    <row r="683" spans="1:3" x14ac:dyDescent="0.25">
      <c r="A683" s="123"/>
      <c r="B683" s="142"/>
      <c r="C683" s="142"/>
    </row>
    <row r="684" spans="1:3" x14ac:dyDescent="0.25">
      <c r="A684" s="123"/>
      <c r="B684" s="142"/>
      <c r="C684" s="142"/>
    </row>
    <row r="685" spans="1:3" x14ac:dyDescent="0.25">
      <c r="A685" s="123"/>
      <c r="B685" s="142"/>
      <c r="C685" s="142"/>
    </row>
    <row r="686" spans="1:3" x14ac:dyDescent="0.25">
      <c r="A686" s="123"/>
      <c r="B686" s="142"/>
      <c r="C686" s="142"/>
    </row>
    <row r="687" spans="1:3" x14ac:dyDescent="0.25">
      <c r="A687" s="123"/>
      <c r="B687" s="142"/>
      <c r="C687" s="142"/>
    </row>
    <row r="688" spans="1:3" x14ac:dyDescent="0.25">
      <c r="A688" s="123"/>
      <c r="B688" s="142"/>
      <c r="C688" s="142"/>
    </row>
    <row r="689" spans="1:3" x14ac:dyDescent="0.25">
      <c r="A689" s="123"/>
      <c r="B689" s="142"/>
      <c r="C689" s="142"/>
    </row>
    <row r="690" spans="1:3" x14ac:dyDescent="0.25">
      <c r="A690" s="123"/>
      <c r="B690" s="142"/>
      <c r="C690" s="142"/>
    </row>
    <row r="691" spans="1:3" x14ac:dyDescent="0.25">
      <c r="A691" s="123"/>
      <c r="B691" s="142"/>
      <c r="C691" s="142"/>
    </row>
    <row r="692" spans="1:3" x14ac:dyDescent="0.25">
      <c r="A692" s="123"/>
      <c r="B692" s="142"/>
      <c r="C692" s="142"/>
    </row>
    <row r="693" spans="1:3" x14ac:dyDescent="0.25">
      <c r="A693" s="123"/>
      <c r="B693" s="142"/>
      <c r="C693" s="142"/>
    </row>
    <row r="694" spans="1:3" x14ac:dyDescent="0.25">
      <c r="A694" s="123"/>
      <c r="B694" s="142"/>
      <c r="C694" s="142"/>
    </row>
    <row r="695" spans="1:3" x14ac:dyDescent="0.25">
      <c r="A695" s="123"/>
      <c r="B695" s="142"/>
      <c r="C695" s="142"/>
    </row>
    <row r="696" spans="1:3" x14ac:dyDescent="0.25">
      <c r="A696" s="123"/>
      <c r="B696" s="142"/>
      <c r="C696" s="142"/>
    </row>
    <row r="697" spans="1:3" x14ac:dyDescent="0.25">
      <c r="A697" s="123"/>
      <c r="B697" s="142"/>
      <c r="C697" s="142"/>
    </row>
    <row r="698" spans="1:3" x14ac:dyDescent="0.25">
      <c r="A698" s="123"/>
      <c r="B698" s="142"/>
      <c r="C698" s="142"/>
    </row>
    <row r="699" spans="1:3" x14ac:dyDescent="0.25">
      <c r="A699" s="123"/>
      <c r="B699" s="142"/>
      <c r="C699" s="142"/>
    </row>
    <row r="700" spans="1:3" x14ac:dyDescent="0.25">
      <c r="A700" s="123"/>
      <c r="B700" s="142"/>
      <c r="C700" s="142"/>
    </row>
    <row r="701" spans="1:3" x14ac:dyDescent="0.25">
      <c r="A701" s="123"/>
      <c r="B701" s="142"/>
      <c r="C701" s="142"/>
    </row>
    <row r="702" spans="1:3" x14ac:dyDescent="0.25">
      <c r="A702" s="123"/>
      <c r="B702" s="142"/>
      <c r="C702" s="142"/>
    </row>
    <row r="703" spans="1:3" x14ac:dyDescent="0.25">
      <c r="A703" s="123"/>
      <c r="B703" s="142"/>
      <c r="C703" s="142"/>
    </row>
    <row r="704" spans="1:3" x14ac:dyDescent="0.25">
      <c r="A704" s="123"/>
      <c r="B704" s="142"/>
      <c r="C704" s="142"/>
    </row>
    <row r="705" spans="1:3" x14ac:dyDescent="0.25">
      <c r="A705" s="123"/>
      <c r="B705" s="142"/>
      <c r="C705" s="142"/>
    </row>
    <row r="706" spans="1:3" x14ac:dyDescent="0.25">
      <c r="A706" s="123"/>
      <c r="B706" s="142"/>
      <c r="C706" s="142"/>
    </row>
    <row r="707" spans="1:3" x14ac:dyDescent="0.25">
      <c r="A707" s="123"/>
      <c r="B707" s="142"/>
      <c r="C707" s="142"/>
    </row>
    <row r="708" spans="1:3" x14ac:dyDescent="0.25">
      <c r="A708" s="123"/>
      <c r="B708" s="142"/>
      <c r="C708" s="142"/>
    </row>
    <row r="709" spans="1:3" x14ac:dyDescent="0.25">
      <c r="A709" s="123"/>
      <c r="B709" s="142"/>
      <c r="C709" s="142"/>
    </row>
    <row r="710" spans="1:3" x14ac:dyDescent="0.25">
      <c r="A710" s="123"/>
      <c r="B710" s="142"/>
      <c r="C710" s="142"/>
    </row>
    <row r="711" spans="1:3" x14ac:dyDescent="0.25">
      <c r="A711" s="123"/>
      <c r="B711" s="142"/>
      <c r="C711" s="142"/>
    </row>
    <row r="712" spans="1:3" x14ac:dyDescent="0.25">
      <c r="A712" s="123"/>
      <c r="B712" s="142"/>
      <c r="C712" s="142"/>
    </row>
    <row r="713" spans="1:3" x14ac:dyDescent="0.25">
      <c r="A713" s="123"/>
      <c r="B713" s="142"/>
      <c r="C713" s="142"/>
    </row>
    <row r="714" spans="1:3" x14ac:dyDescent="0.25">
      <c r="A714" s="123"/>
      <c r="B714" s="142"/>
      <c r="C714" s="142"/>
    </row>
    <row r="715" spans="1:3" x14ac:dyDescent="0.25">
      <c r="A715" s="123"/>
      <c r="B715" s="142"/>
      <c r="C715" s="142"/>
    </row>
    <row r="716" spans="1:3" x14ac:dyDescent="0.25">
      <c r="A716" s="123"/>
      <c r="B716" s="142"/>
      <c r="C716" s="142"/>
    </row>
    <row r="717" spans="1:3" x14ac:dyDescent="0.25">
      <c r="A717" s="123"/>
      <c r="B717" s="142"/>
      <c r="C717" s="142"/>
    </row>
    <row r="718" spans="1:3" x14ac:dyDescent="0.25">
      <c r="A718" s="123"/>
      <c r="B718" s="142"/>
      <c r="C718" s="142"/>
    </row>
    <row r="719" spans="1:3" x14ac:dyDescent="0.25">
      <c r="A719" s="123"/>
      <c r="B719" s="142"/>
      <c r="C719" s="142"/>
    </row>
    <row r="720" spans="1:3" x14ac:dyDescent="0.25">
      <c r="A720" s="123"/>
      <c r="B720" s="142"/>
      <c r="C720" s="142"/>
    </row>
    <row r="721" spans="1:3" x14ac:dyDescent="0.25">
      <c r="A721" s="123"/>
      <c r="B721" s="142"/>
      <c r="C721" s="142"/>
    </row>
    <row r="722" spans="1:3" x14ac:dyDescent="0.25">
      <c r="A722" s="123"/>
      <c r="B722" s="142"/>
      <c r="C722" s="142"/>
    </row>
    <row r="723" spans="1:3" x14ac:dyDescent="0.25">
      <c r="A723" s="123"/>
      <c r="B723" s="142"/>
      <c r="C723" s="142"/>
    </row>
    <row r="724" spans="1:3" x14ac:dyDescent="0.25">
      <c r="A724" s="123"/>
      <c r="B724" s="142"/>
      <c r="C724" s="142"/>
    </row>
    <row r="725" spans="1:3" x14ac:dyDescent="0.25">
      <c r="A725" s="123"/>
      <c r="B725" s="142"/>
      <c r="C725" s="142"/>
    </row>
    <row r="726" spans="1:3" x14ac:dyDescent="0.25">
      <c r="A726" s="123"/>
      <c r="B726" s="142"/>
      <c r="C726" s="142"/>
    </row>
    <row r="727" spans="1:3" x14ac:dyDescent="0.25">
      <c r="A727" s="123"/>
      <c r="B727" s="142"/>
      <c r="C727" s="142"/>
    </row>
    <row r="728" spans="1:3" x14ac:dyDescent="0.25">
      <c r="A728" s="123"/>
      <c r="B728" s="142"/>
      <c r="C728" s="142"/>
    </row>
    <row r="729" spans="1:3" x14ac:dyDescent="0.25">
      <c r="A729" s="123"/>
      <c r="B729" s="142"/>
      <c r="C729" s="142"/>
    </row>
    <row r="730" spans="1:3" x14ac:dyDescent="0.25">
      <c r="A730" s="123"/>
      <c r="B730" s="142"/>
      <c r="C730" s="142"/>
    </row>
    <row r="731" spans="1:3" x14ac:dyDescent="0.25">
      <c r="A731" s="123"/>
      <c r="B731" s="142"/>
      <c r="C731" s="142"/>
    </row>
    <row r="732" spans="1:3" x14ac:dyDescent="0.25">
      <c r="A732" s="123"/>
      <c r="B732" s="142"/>
      <c r="C732" s="142"/>
    </row>
    <row r="733" spans="1:3" x14ac:dyDescent="0.25">
      <c r="A733" s="123"/>
      <c r="B733" s="142"/>
      <c r="C733" s="142"/>
    </row>
    <row r="734" spans="1:3" x14ac:dyDescent="0.25">
      <c r="A734" s="123"/>
      <c r="B734" s="142"/>
      <c r="C734" s="142"/>
    </row>
    <row r="735" spans="1:3" x14ac:dyDescent="0.25">
      <c r="A735" s="123"/>
      <c r="B735" s="142"/>
      <c r="C735" s="142"/>
    </row>
    <row r="736" spans="1:3" x14ac:dyDescent="0.25">
      <c r="A736" s="123"/>
      <c r="B736" s="142"/>
      <c r="C736" s="142"/>
    </row>
    <row r="737" spans="1:3" x14ac:dyDescent="0.25">
      <c r="A737" s="123"/>
      <c r="B737" s="142"/>
      <c r="C737" s="142"/>
    </row>
    <row r="738" spans="1:3" x14ac:dyDescent="0.25">
      <c r="A738" s="123"/>
      <c r="B738" s="142"/>
      <c r="C738" s="142"/>
    </row>
    <row r="739" spans="1:3" x14ac:dyDescent="0.25">
      <c r="A739" s="123"/>
      <c r="B739" s="142"/>
      <c r="C739" s="142"/>
    </row>
    <row r="740" spans="1:3" x14ac:dyDescent="0.25">
      <c r="A740" s="123"/>
      <c r="B740" s="142"/>
      <c r="C740" s="142"/>
    </row>
    <row r="741" spans="1:3" x14ac:dyDescent="0.25">
      <c r="A741" s="123"/>
      <c r="B741" s="142"/>
      <c r="C741" s="142"/>
    </row>
    <row r="742" spans="1:3" x14ac:dyDescent="0.25">
      <c r="A742" s="123"/>
      <c r="B742" s="142"/>
      <c r="C742" s="142"/>
    </row>
    <row r="743" spans="1:3" x14ac:dyDescent="0.25">
      <c r="A743" s="123"/>
      <c r="B743" s="142"/>
      <c r="C743" s="142"/>
    </row>
    <row r="744" spans="1:3" x14ac:dyDescent="0.25">
      <c r="A744" s="123"/>
      <c r="B744" s="142"/>
      <c r="C744" s="142"/>
    </row>
    <row r="745" spans="1:3" x14ac:dyDescent="0.25">
      <c r="A745" s="123"/>
      <c r="B745" s="142"/>
      <c r="C745" s="142"/>
    </row>
    <row r="746" spans="1:3" x14ac:dyDescent="0.25">
      <c r="A746" s="123"/>
      <c r="B746" s="142"/>
      <c r="C746" s="142"/>
    </row>
    <row r="747" spans="1:3" x14ac:dyDescent="0.25">
      <c r="A747" s="123"/>
      <c r="B747" s="142"/>
      <c r="C747" s="142"/>
    </row>
    <row r="748" spans="1:3" x14ac:dyDescent="0.25">
      <c r="A748" s="123"/>
      <c r="B748" s="142"/>
      <c r="C748" s="142"/>
    </row>
    <row r="749" spans="1:3" x14ac:dyDescent="0.25">
      <c r="A749" s="123"/>
      <c r="B749" s="142"/>
      <c r="C749" s="142"/>
    </row>
    <row r="750" spans="1:3" x14ac:dyDescent="0.25">
      <c r="A750" s="123"/>
      <c r="B750" s="142"/>
      <c r="C750" s="142"/>
    </row>
    <row r="751" spans="1:3" x14ac:dyDescent="0.25">
      <c r="A751" s="123"/>
      <c r="B751" s="142"/>
      <c r="C751" s="142"/>
    </row>
    <row r="752" spans="1:3" x14ac:dyDescent="0.25">
      <c r="A752" s="123"/>
      <c r="B752" s="142"/>
      <c r="C752" s="142"/>
    </row>
    <row r="753" spans="1:3" x14ac:dyDescent="0.25">
      <c r="A753" s="123"/>
      <c r="B753" s="142"/>
      <c r="C753" s="142"/>
    </row>
    <row r="754" spans="1:3" x14ac:dyDescent="0.25">
      <c r="A754" s="123"/>
      <c r="B754" s="142"/>
      <c r="C754" s="142"/>
    </row>
    <row r="755" spans="1:3" x14ac:dyDescent="0.25">
      <c r="A755" s="123"/>
      <c r="B755" s="142"/>
      <c r="C755" s="142"/>
    </row>
    <row r="756" spans="1:3" x14ac:dyDescent="0.25">
      <c r="A756" s="123"/>
      <c r="B756" s="142"/>
      <c r="C756" s="142"/>
    </row>
    <row r="757" spans="1:3" x14ac:dyDescent="0.25">
      <c r="A757" s="123"/>
      <c r="B757" s="142"/>
      <c r="C757" s="142"/>
    </row>
    <row r="758" spans="1:3" x14ac:dyDescent="0.25">
      <c r="A758" s="123"/>
      <c r="B758" s="142"/>
      <c r="C758" s="142"/>
    </row>
    <row r="759" spans="1:3" x14ac:dyDescent="0.25">
      <c r="A759" s="123"/>
      <c r="B759" s="142"/>
      <c r="C759" s="142"/>
    </row>
    <row r="760" spans="1:3" x14ac:dyDescent="0.25">
      <c r="A760" s="123"/>
      <c r="B760" s="142"/>
      <c r="C760" s="142"/>
    </row>
    <row r="761" spans="1:3" x14ac:dyDescent="0.25">
      <c r="A761" s="123"/>
      <c r="B761" s="142"/>
      <c r="C761" s="142"/>
    </row>
    <row r="762" spans="1:3" x14ac:dyDescent="0.25">
      <c r="A762" s="123"/>
      <c r="B762" s="142"/>
      <c r="C762" s="142"/>
    </row>
    <row r="763" spans="1:3" x14ac:dyDescent="0.25">
      <c r="A763" s="123"/>
      <c r="B763" s="142"/>
      <c r="C763" s="142"/>
    </row>
    <row r="764" spans="1:3" x14ac:dyDescent="0.25">
      <c r="A764" s="123"/>
      <c r="B764" s="142"/>
      <c r="C764" s="142"/>
    </row>
    <row r="765" spans="1:3" x14ac:dyDescent="0.25">
      <c r="A765" s="123"/>
      <c r="B765" s="142"/>
      <c r="C765" s="142"/>
    </row>
    <row r="766" spans="1:3" x14ac:dyDescent="0.25">
      <c r="A766" s="123"/>
      <c r="B766" s="142"/>
      <c r="C766" s="142"/>
    </row>
    <row r="767" spans="1:3" x14ac:dyDescent="0.25">
      <c r="A767" s="123"/>
      <c r="B767" s="142"/>
      <c r="C767" s="142"/>
    </row>
    <row r="768" spans="1:3" x14ac:dyDescent="0.25">
      <c r="A768" s="123"/>
      <c r="B768" s="142"/>
      <c r="C768" s="142"/>
    </row>
    <row r="769" spans="1:3" x14ac:dyDescent="0.25">
      <c r="A769" s="123"/>
      <c r="B769" s="142"/>
      <c r="C769" s="142"/>
    </row>
    <row r="770" spans="1:3" x14ac:dyDescent="0.25">
      <c r="A770" s="123"/>
      <c r="B770" s="142"/>
      <c r="C770" s="142"/>
    </row>
    <row r="771" spans="1:3" x14ac:dyDescent="0.25">
      <c r="A771" s="123"/>
      <c r="B771" s="142"/>
      <c r="C771" s="142"/>
    </row>
    <row r="772" spans="1:3" x14ac:dyDescent="0.25">
      <c r="A772" s="123"/>
      <c r="B772" s="142"/>
      <c r="C772" s="142"/>
    </row>
    <row r="773" spans="1:3" x14ac:dyDescent="0.25">
      <c r="A773" s="123"/>
      <c r="B773" s="142"/>
      <c r="C773" s="142"/>
    </row>
    <row r="774" spans="1:3" x14ac:dyDescent="0.25">
      <c r="A774" s="123"/>
      <c r="B774" s="142"/>
      <c r="C774" s="142"/>
    </row>
    <row r="775" spans="1:3" x14ac:dyDescent="0.25">
      <c r="A775" s="123"/>
      <c r="B775" s="142"/>
      <c r="C775" s="142"/>
    </row>
    <row r="776" spans="1:3" x14ac:dyDescent="0.25">
      <c r="A776" s="123"/>
      <c r="B776" s="142"/>
      <c r="C776" s="142"/>
    </row>
    <row r="777" spans="1:3" x14ac:dyDescent="0.25">
      <c r="A777" s="123"/>
      <c r="B777" s="142"/>
      <c r="C777" s="142"/>
    </row>
    <row r="778" spans="1:3" x14ac:dyDescent="0.25">
      <c r="A778" s="123"/>
      <c r="B778" s="142"/>
      <c r="C778" s="142"/>
    </row>
    <row r="779" spans="1:3" x14ac:dyDescent="0.25">
      <c r="A779" s="123"/>
      <c r="B779" s="142"/>
      <c r="C779" s="142"/>
    </row>
    <row r="780" spans="1:3" x14ac:dyDescent="0.25">
      <c r="A780" s="123"/>
      <c r="B780" s="142"/>
      <c r="C780" s="142"/>
    </row>
    <row r="781" spans="1:3" x14ac:dyDescent="0.25">
      <c r="A781" s="123"/>
      <c r="B781" s="142"/>
      <c r="C781" s="142"/>
    </row>
    <row r="782" spans="1:3" x14ac:dyDescent="0.25">
      <c r="A782" s="123"/>
      <c r="B782" s="142"/>
      <c r="C782" s="142"/>
    </row>
    <row r="783" spans="1:3" x14ac:dyDescent="0.25">
      <c r="A783" s="123"/>
      <c r="B783" s="142"/>
      <c r="C783" s="142"/>
    </row>
    <row r="784" spans="1:3" x14ac:dyDescent="0.25">
      <c r="A784" s="123"/>
      <c r="B784" s="142"/>
      <c r="C784" s="142"/>
    </row>
    <row r="785" spans="1:3" x14ac:dyDescent="0.25">
      <c r="A785" s="123"/>
      <c r="B785" s="142"/>
      <c r="C785" s="142"/>
    </row>
    <row r="786" spans="1:3" x14ac:dyDescent="0.25">
      <c r="A786" s="123"/>
      <c r="B786" s="142"/>
      <c r="C786" s="142"/>
    </row>
    <row r="787" spans="1:3" x14ac:dyDescent="0.25">
      <c r="A787" s="123"/>
      <c r="B787" s="142"/>
      <c r="C787" s="142"/>
    </row>
    <row r="788" spans="1:3" x14ac:dyDescent="0.25">
      <c r="A788" s="123"/>
      <c r="B788" s="142"/>
      <c r="C788" s="142"/>
    </row>
    <row r="789" spans="1:3" x14ac:dyDescent="0.25">
      <c r="A789" s="123"/>
      <c r="B789" s="142"/>
      <c r="C789" s="142"/>
    </row>
    <row r="790" spans="1:3" x14ac:dyDescent="0.25">
      <c r="A790" s="123"/>
      <c r="B790" s="142"/>
      <c r="C790" s="142"/>
    </row>
    <row r="791" spans="1:3" x14ac:dyDescent="0.25">
      <c r="A791" s="123"/>
      <c r="B791" s="142"/>
      <c r="C791" s="142"/>
    </row>
    <row r="792" spans="1:3" x14ac:dyDescent="0.25">
      <c r="A792" s="123"/>
      <c r="B792" s="142"/>
      <c r="C792" s="142"/>
    </row>
    <row r="793" spans="1:3" x14ac:dyDescent="0.25">
      <c r="A793" s="123"/>
      <c r="B793" s="142"/>
      <c r="C793" s="142"/>
    </row>
    <row r="794" spans="1:3" x14ac:dyDescent="0.25">
      <c r="A794" s="123"/>
      <c r="B794" s="142"/>
      <c r="C794" s="142"/>
    </row>
    <row r="795" spans="1:3" x14ac:dyDescent="0.25">
      <c r="A795" s="123"/>
      <c r="B795" s="142"/>
      <c r="C795" s="142"/>
    </row>
    <row r="796" spans="1:3" x14ac:dyDescent="0.25">
      <c r="A796" s="123"/>
      <c r="B796" s="142"/>
      <c r="C796" s="142"/>
    </row>
    <row r="797" spans="1:3" x14ac:dyDescent="0.25">
      <c r="A797" s="123"/>
      <c r="B797" s="142"/>
      <c r="C797" s="142"/>
    </row>
    <row r="798" spans="1:3" x14ac:dyDescent="0.25">
      <c r="A798" s="123"/>
      <c r="B798" s="142"/>
      <c r="C798" s="142"/>
    </row>
    <row r="799" spans="1:3" x14ac:dyDescent="0.25">
      <c r="A799" s="123"/>
      <c r="B799" s="142"/>
      <c r="C799" s="142"/>
    </row>
    <row r="800" spans="1:3" x14ac:dyDescent="0.25">
      <c r="A800" s="123"/>
      <c r="B800" s="142"/>
      <c r="C800" s="142"/>
    </row>
    <row r="801" spans="1:3" x14ac:dyDescent="0.25">
      <c r="A801" s="123"/>
      <c r="B801" s="142"/>
      <c r="C801" s="142"/>
    </row>
    <row r="802" spans="1:3" x14ac:dyDescent="0.25">
      <c r="A802" s="123"/>
      <c r="B802" s="142"/>
      <c r="C802" s="142"/>
    </row>
    <row r="803" spans="1:3" x14ac:dyDescent="0.25">
      <c r="A803" s="123"/>
      <c r="B803" s="142"/>
      <c r="C803" s="142"/>
    </row>
    <row r="804" spans="1:3" x14ac:dyDescent="0.25">
      <c r="A804" s="123"/>
      <c r="B804" s="142"/>
      <c r="C804" s="142"/>
    </row>
    <row r="805" spans="1:3" x14ac:dyDescent="0.25">
      <c r="A805" s="123"/>
      <c r="B805" s="142"/>
      <c r="C805" s="142"/>
    </row>
    <row r="806" spans="1:3" x14ac:dyDescent="0.25">
      <c r="A806" s="123"/>
      <c r="B806" s="142"/>
      <c r="C806" s="142"/>
    </row>
    <row r="807" spans="1:3" x14ac:dyDescent="0.25">
      <c r="A807" s="123"/>
      <c r="B807" s="142"/>
      <c r="C807" s="142"/>
    </row>
    <row r="808" spans="1:3" x14ac:dyDescent="0.25">
      <c r="A808" s="123"/>
      <c r="B808" s="142"/>
      <c r="C808" s="142"/>
    </row>
    <row r="809" spans="1:3" x14ac:dyDescent="0.25">
      <c r="A809" s="123"/>
      <c r="B809" s="142"/>
      <c r="C809" s="142"/>
    </row>
    <row r="810" spans="1:3" x14ac:dyDescent="0.25">
      <c r="A810" s="123"/>
      <c r="B810" s="142"/>
      <c r="C810" s="142"/>
    </row>
    <row r="811" spans="1:3" x14ac:dyDescent="0.25">
      <c r="A811" s="123"/>
      <c r="B811" s="142"/>
      <c r="C811" s="142"/>
    </row>
    <row r="812" spans="1:3" x14ac:dyDescent="0.25">
      <c r="A812" s="123"/>
      <c r="B812" s="142"/>
      <c r="C812" s="142"/>
    </row>
    <row r="813" spans="1:3" x14ac:dyDescent="0.25">
      <c r="A813" s="123"/>
      <c r="B813" s="142"/>
      <c r="C813" s="142"/>
    </row>
    <row r="814" spans="1:3" x14ac:dyDescent="0.25">
      <c r="A814" s="123"/>
      <c r="B814" s="142"/>
      <c r="C814" s="142"/>
    </row>
    <row r="815" spans="1:3" x14ac:dyDescent="0.25">
      <c r="A815" s="123"/>
      <c r="B815" s="142"/>
      <c r="C815" s="142"/>
    </row>
    <row r="816" spans="1:3" x14ac:dyDescent="0.25">
      <c r="A816" s="123"/>
      <c r="B816" s="142"/>
      <c r="C816" s="142"/>
    </row>
    <row r="817" spans="1:3" x14ac:dyDescent="0.25">
      <c r="A817" s="123"/>
      <c r="B817" s="142"/>
      <c r="C817" s="142"/>
    </row>
    <row r="818" spans="1:3" x14ac:dyDescent="0.25">
      <c r="A818" s="123"/>
      <c r="B818" s="142"/>
      <c r="C818" s="142"/>
    </row>
    <row r="819" spans="1:3" x14ac:dyDescent="0.25">
      <c r="A819" s="123"/>
      <c r="B819" s="142"/>
      <c r="C819" s="142"/>
    </row>
    <row r="820" spans="1:3" x14ac:dyDescent="0.25">
      <c r="A820" s="123"/>
      <c r="B820" s="142"/>
      <c r="C820" s="142"/>
    </row>
    <row r="821" spans="1:3" x14ac:dyDescent="0.25">
      <c r="A821" s="123"/>
      <c r="B821" s="142"/>
      <c r="C821" s="142"/>
    </row>
    <row r="822" spans="1:3" x14ac:dyDescent="0.25">
      <c r="A822" s="123"/>
      <c r="B822" s="142"/>
      <c r="C822" s="142"/>
    </row>
    <row r="823" spans="1:3" x14ac:dyDescent="0.25">
      <c r="A823" s="123"/>
      <c r="B823" s="142"/>
      <c r="C823" s="142"/>
    </row>
    <row r="824" spans="1:3" x14ac:dyDescent="0.25">
      <c r="A824" s="123"/>
      <c r="B824" s="142"/>
      <c r="C824" s="142"/>
    </row>
    <row r="825" spans="1:3" x14ac:dyDescent="0.25">
      <c r="A825" s="123"/>
      <c r="B825" s="142"/>
      <c r="C825" s="142"/>
    </row>
    <row r="826" spans="1:3" x14ac:dyDescent="0.25">
      <c r="A826" s="123"/>
      <c r="B826" s="142"/>
      <c r="C826" s="142"/>
    </row>
    <row r="827" spans="1:3" x14ac:dyDescent="0.25">
      <c r="A827" s="123"/>
      <c r="B827" s="142"/>
      <c r="C827" s="142"/>
    </row>
    <row r="828" spans="1:3" x14ac:dyDescent="0.25">
      <c r="A828" s="123"/>
      <c r="B828" s="142"/>
      <c r="C828" s="142"/>
    </row>
    <row r="829" spans="1:3" x14ac:dyDescent="0.25">
      <c r="A829" s="123"/>
      <c r="B829" s="142"/>
      <c r="C829" s="142"/>
    </row>
    <row r="830" spans="1:3" x14ac:dyDescent="0.25">
      <c r="A830" s="123"/>
      <c r="B830" s="142"/>
      <c r="C830" s="142"/>
    </row>
    <row r="831" spans="1:3" x14ac:dyDescent="0.25">
      <c r="A831" s="123"/>
      <c r="B831" s="142"/>
      <c r="C831" s="142"/>
    </row>
    <row r="832" spans="1:3" x14ac:dyDescent="0.25">
      <c r="A832" s="123"/>
      <c r="B832" s="142"/>
      <c r="C832" s="142"/>
    </row>
    <row r="833" spans="1:3" x14ac:dyDescent="0.25">
      <c r="A833" s="123"/>
      <c r="B833" s="142"/>
      <c r="C833" s="142"/>
    </row>
    <row r="834" spans="1:3" x14ac:dyDescent="0.25">
      <c r="A834" s="123"/>
      <c r="B834" s="142"/>
      <c r="C834" s="142"/>
    </row>
    <row r="835" spans="1:3" x14ac:dyDescent="0.25">
      <c r="A835" s="123"/>
      <c r="B835" s="142"/>
      <c r="C835" s="142"/>
    </row>
    <row r="836" spans="1:3" x14ac:dyDescent="0.25">
      <c r="A836" s="123"/>
      <c r="B836" s="142"/>
      <c r="C836" s="142"/>
    </row>
    <row r="837" spans="1:3" x14ac:dyDescent="0.25">
      <c r="A837" s="123"/>
      <c r="B837" s="142"/>
      <c r="C837" s="142"/>
    </row>
    <row r="838" spans="1:3" x14ac:dyDescent="0.25">
      <c r="A838" s="123"/>
      <c r="B838" s="142"/>
      <c r="C838" s="142"/>
    </row>
    <row r="839" spans="1:3" x14ac:dyDescent="0.25">
      <c r="A839" s="123"/>
      <c r="B839" s="142"/>
      <c r="C839" s="142"/>
    </row>
    <row r="840" spans="1:3" x14ac:dyDescent="0.25">
      <c r="A840" s="123"/>
      <c r="B840" s="142"/>
      <c r="C840" s="142"/>
    </row>
    <row r="841" spans="1:3" x14ac:dyDescent="0.25">
      <c r="A841" s="123"/>
      <c r="B841" s="142"/>
      <c r="C841" s="142"/>
    </row>
    <row r="842" spans="1:3" x14ac:dyDescent="0.25">
      <c r="A842" s="123"/>
      <c r="B842" s="142"/>
      <c r="C842" s="142"/>
    </row>
    <row r="843" spans="1:3" x14ac:dyDescent="0.25">
      <c r="A843" s="123"/>
      <c r="B843" s="142"/>
      <c r="C843" s="142"/>
    </row>
    <row r="844" spans="1:3" x14ac:dyDescent="0.25">
      <c r="A844" s="123"/>
      <c r="B844" s="142"/>
      <c r="C844" s="142"/>
    </row>
    <row r="845" spans="1:3" x14ac:dyDescent="0.25">
      <c r="A845" s="123"/>
      <c r="B845" s="142"/>
      <c r="C845" s="142"/>
    </row>
    <row r="846" spans="1:3" x14ac:dyDescent="0.25">
      <c r="A846" s="123"/>
      <c r="B846" s="142"/>
      <c r="C846" s="142"/>
    </row>
    <row r="847" spans="1:3" x14ac:dyDescent="0.25">
      <c r="A847" s="123"/>
      <c r="B847" s="142"/>
      <c r="C847" s="142"/>
    </row>
    <row r="848" spans="1:3" x14ac:dyDescent="0.25">
      <c r="A848" s="123"/>
      <c r="B848" s="142"/>
      <c r="C848" s="142"/>
    </row>
    <row r="849" spans="1:3" x14ac:dyDescent="0.25">
      <c r="A849" s="123"/>
      <c r="B849" s="142"/>
      <c r="C849" s="142"/>
    </row>
    <row r="850" spans="1:3" x14ac:dyDescent="0.25">
      <c r="A850" s="123"/>
      <c r="B850" s="142"/>
      <c r="C850" s="142"/>
    </row>
    <row r="851" spans="1:3" x14ac:dyDescent="0.25">
      <c r="A851" s="123"/>
      <c r="B851" s="142"/>
      <c r="C851" s="142"/>
    </row>
    <row r="852" spans="1:3" x14ac:dyDescent="0.25">
      <c r="A852" s="123"/>
      <c r="B852" s="142"/>
      <c r="C852" s="142"/>
    </row>
    <row r="853" spans="1:3" x14ac:dyDescent="0.25">
      <c r="A853" s="123"/>
      <c r="B853" s="142"/>
      <c r="C853" s="142"/>
    </row>
    <row r="854" spans="1:3" x14ac:dyDescent="0.25">
      <c r="A854" s="123"/>
      <c r="B854" s="142"/>
      <c r="C854" s="142"/>
    </row>
    <row r="855" spans="1:3" x14ac:dyDescent="0.25">
      <c r="A855" s="123"/>
      <c r="B855" s="142"/>
      <c r="C855" s="142"/>
    </row>
    <row r="856" spans="1:3" x14ac:dyDescent="0.25">
      <c r="A856" s="123"/>
      <c r="B856" s="142"/>
      <c r="C856" s="142"/>
    </row>
    <row r="857" spans="1:3" x14ac:dyDescent="0.25">
      <c r="A857" s="123"/>
      <c r="B857" s="142"/>
      <c r="C857" s="142"/>
    </row>
    <row r="858" spans="1:3" x14ac:dyDescent="0.25">
      <c r="A858" s="123"/>
      <c r="B858" s="142"/>
      <c r="C858" s="142"/>
    </row>
    <row r="859" spans="1:3" x14ac:dyDescent="0.25">
      <c r="A859" s="123"/>
      <c r="B859" s="142"/>
      <c r="C859" s="142"/>
    </row>
    <row r="860" spans="1:3" x14ac:dyDescent="0.25">
      <c r="A860" s="123"/>
      <c r="B860" s="142"/>
      <c r="C860" s="142"/>
    </row>
    <row r="861" spans="1:3" x14ac:dyDescent="0.25">
      <c r="A861" s="123"/>
      <c r="B861" s="142"/>
      <c r="C861" s="142"/>
    </row>
    <row r="862" spans="1:3" x14ac:dyDescent="0.25">
      <c r="A862" s="123"/>
      <c r="B862" s="142"/>
      <c r="C862" s="142"/>
    </row>
    <row r="863" spans="1:3" x14ac:dyDescent="0.25">
      <c r="A863" s="123"/>
      <c r="B863" s="142"/>
      <c r="C863" s="142"/>
    </row>
    <row r="864" spans="1:3" x14ac:dyDescent="0.25">
      <c r="A864" s="123"/>
      <c r="B864" s="142"/>
      <c r="C864" s="142"/>
    </row>
    <row r="865" spans="1:3" x14ac:dyDescent="0.25">
      <c r="A865" s="123"/>
      <c r="B865" s="142"/>
      <c r="C865" s="142"/>
    </row>
    <row r="866" spans="1:3" x14ac:dyDescent="0.25">
      <c r="A866" s="123"/>
      <c r="B866" s="142"/>
      <c r="C866" s="142"/>
    </row>
    <row r="867" spans="1:3" x14ac:dyDescent="0.25">
      <c r="A867" s="123"/>
      <c r="B867" s="142"/>
      <c r="C867" s="142"/>
    </row>
    <row r="868" spans="1:3" x14ac:dyDescent="0.25">
      <c r="A868" s="123"/>
      <c r="B868" s="142"/>
      <c r="C868" s="142"/>
    </row>
    <row r="869" spans="1:3" x14ac:dyDescent="0.25">
      <c r="A869" s="123"/>
      <c r="B869" s="142"/>
      <c r="C869" s="142"/>
    </row>
    <row r="870" spans="1:3" x14ac:dyDescent="0.25">
      <c r="A870" s="123"/>
      <c r="B870" s="142"/>
      <c r="C870" s="142"/>
    </row>
    <row r="871" spans="1:3" x14ac:dyDescent="0.25">
      <c r="A871" s="123"/>
      <c r="B871" s="142"/>
      <c r="C871" s="142"/>
    </row>
    <row r="872" spans="1:3" x14ac:dyDescent="0.25">
      <c r="A872" s="123"/>
      <c r="B872" s="142"/>
      <c r="C872" s="142"/>
    </row>
    <row r="873" spans="1:3" x14ac:dyDescent="0.25">
      <c r="A873" s="123"/>
      <c r="B873" s="142"/>
      <c r="C873" s="142"/>
    </row>
    <row r="874" spans="1:3" x14ac:dyDescent="0.25">
      <c r="A874" s="123"/>
      <c r="B874" s="142"/>
      <c r="C874" s="142"/>
    </row>
    <row r="875" spans="1:3" x14ac:dyDescent="0.25">
      <c r="A875" s="123"/>
      <c r="B875" s="142"/>
      <c r="C875" s="142"/>
    </row>
    <row r="876" spans="1:3" x14ac:dyDescent="0.25">
      <c r="A876" s="123"/>
      <c r="B876" s="142"/>
      <c r="C876" s="142"/>
    </row>
    <row r="877" spans="1:3" x14ac:dyDescent="0.25">
      <c r="A877" s="123"/>
      <c r="B877" s="142"/>
      <c r="C877" s="142"/>
    </row>
    <row r="878" spans="1:3" x14ac:dyDescent="0.25">
      <c r="A878" s="123"/>
      <c r="B878" s="142"/>
      <c r="C878" s="142"/>
    </row>
    <row r="879" spans="1:3" x14ac:dyDescent="0.25">
      <c r="A879" s="123"/>
      <c r="B879" s="142"/>
      <c r="C879" s="142"/>
    </row>
    <row r="880" spans="1:3" x14ac:dyDescent="0.25">
      <c r="A880" s="123"/>
      <c r="B880" s="142"/>
      <c r="C880" s="142"/>
    </row>
    <row r="881" spans="1:3" x14ac:dyDescent="0.25">
      <c r="A881" s="123"/>
      <c r="B881" s="142"/>
      <c r="C881" s="142"/>
    </row>
    <row r="882" spans="1:3" x14ac:dyDescent="0.25">
      <c r="A882" s="123"/>
      <c r="B882" s="142"/>
      <c r="C882" s="142"/>
    </row>
    <row r="883" spans="1:3" x14ac:dyDescent="0.25">
      <c r="A883" s="123"/>
      <c r="B883" s="142"/>
      <c r="C883" s="142"/>
    </row>
    <row r="884" spans="1:3" x14ac:dyDescent="0.25">
      <c r="A884" s="123"/>
      <c r="B884" s="142"/>
      <c r="C884" s="142"/>
    </row>
    <row r="885" spans="1:3" x14ac:dyDescent="0.25">
      <c r="A885" s="123"/>
      <c r="B885" s="142"/>
      <c r="C885" s="142"/>
    </row>
    <row r="886" spans="1:3" x14ac:dyDescent="0.25">
      <c r="A886" s="123"/>
      <c r="B886" s="142"/>
      <c r="C886" s="142"/>
    </row>
    <row r="887" spans="1:3" x14ac:dyDescent="0.25">
      <c r="A887" s="123"/>
      <c r="B887" s="142"/>
      <c r="C887" s="142"/>
    </row>
    <row r="888" spans="1:3" x14ac:dyDescent="0.25">
      <c r="A888" s="123"/>
      <c r="B888" s="142"/>
      <c r="C888" s="142"/>
    </row>
    <row r="889" spans="1:3" x14ac:dyDescent="0.25">
      <c r="A889" s="123"/>
      <c r="B889" s="142"/>
      <c r="C889" s="142"/>
    </row>
    <row r="890" spans="1:3" x14ac:dyDescent="0.25">
      <c r="A890" s="123"/>
      <c r="B890" s="142"/>
      <c r="C890" s="142"/>
    </row>
    <row r="891" spans="1:3" x14ac:dyDescent="0.25">
      <c r="A891" s="123"/>
      <c r="B891" s="142"/>
      <c r="C891" s="142"/>
    </row>
    <row r="892" spans="1:3" x14ac:dyDescent="0.25">
      <c r="A892" s="123"/>
      <c r="B892" s="142"/>
      <c r="C892" s="142"/>
    </row>
    <row r="893" spans="1:3" x14ac:dyDescent="0.25">
      <c r="A893" s="123"/>
      <c r="B893" s="142"/>
      <c r="C893" s="142"/>
    </row>
    <row r="894" spans="1:3" x14ac:dyDescent="0.25">
      <c r="A894" s="123"/>
      <c r="B894" s="142"/>
      <c r="C894" s="142"/>
    </row>
    <row r="895" spans="1:3" x14ac:dyDescent="0.25">
      <c r="A895" s="123"/>
      <c r="B895" s="142"/>
      <c r="C895" s="142"/>
    </row>
    <row r="896" spans="1:3" x14ac:dyDescent="0.25">
      <c r="A896" s="123"/>
      <c r="B896" s="142"/>
      <c r="C896" s="142"/>
    </row>
    <row r="897" spans="1:3" x14ac:dyDescent="0.25">
      <c r="A897" s="123"/>
      <c r="B897" s="142"/>
      <c r="C897" s="142"/>
    </row>
    <row r="898" spans="1:3" x14ac:dyDescent="0.25">
      <c r="A898" s="123"/>
      <c r="B898" s="142"/>
      <c r="C898" s="142"/>
    </row>
    <row r="899" spans="1:3" x14ac:dyDescent="0.25">
      <c r="A899" s="123"/>
      <c r="B899" s="142"/>
      <c r="C899" s="142"/>
    </row>
    <row r="900" spans="1:3" x14ac:dyDescent="0.25">
      <c r="A900" s="123"/>
      <c r="B900" s="142"/>
      <c r="C900" s="142"/>
    </row>
    <row r="901" spans="1:3" x14ac:dyDescent="0.25">
      <c r="A901" s="123"/>
      <c r="B901" s="142"/>
      <c r="C901" s="142"/>
    </row>
    <row r="902" spans="1:3" x14ac:dyDescent="0.25">
      <c r="A902" s="123"/>
      <c r="B902" s="142"/>
      <c r="C902" s="142"/>
    </row>
    <row r="903" spans="1:3" x14ac:dyDescent="0.25">
      <c r="A903" s="123"/>
      <c r="B903" s="142"/>
      <c r="C903" s="142"/>
    </row>
    <row r="904" spans="1:3" x14ac:dyDescent="0.25">
      <c r="A904" s="123"/>
      <c r="B904" s="142"/>
      <c r="C904" s="142"/>
    </row>
    <row r="905" spans="1:3" x14ac:dyDescent="0.25">
      <c r="A905" s="123"/>
      <c r="B905" s="142"/>
      <c r="C905" s="142"/>
    </row>
    <row r="906" spans="1:3" x14ac:dyDescent="0.25">
      <c r="A906" s="123"/>
      <c r="B906" s="142"/>
      <c r="C906" s="142"/>
    </row>
    <row r="907" spans="1:3" x14ac:dyDescent="0.25">
      <c r="A907" s="123"/>
      <c r="B907" s="142"/>
      <c r="C907" s="142"/>
    </row>
    <row r="908" spans="1:3" x14ac:dyDescent="0.25">
      <c r="A908" s="123"/>
      <c r="B908" s="142"/>
      <c r="C908" s="142"/>
    </row>
    <row r="909" spans="1:3" x14ac:dyDescent="0.25">
      <c r="A909" s="123"/>
      <c r="B909" s="142"/>
      <c r="C909" s="142"/>
    </row>
    <row r="910" spans="1:3" x14ac:dyDescent="0.25">
      <c r="A910" s="123"/>
      <c r="B910" s="142"/>
      <c r="C910" s="142"/>
    </row>
    <row r="911" spans="1:3" x14ac:dyDescent="0.25">
      <c r="A911" s="123"/>
      <c r="B911" s="142"/>
      <c r="C911" s="142"/>
    </row>
    <row r="912" spans="1:3" x14ac:dyDescent="0.25">
      <c r="A912" s="123"/>
      <c r="B912" s="142"/>
      <c r="C912" s="142"/>
    </row>
    <row r="913" spans="1:3" x14ac:dyDescent="0.25">
      <c r="A913" s="123"/>
      <c r="B913" s="142"/>
      <c r="C913" s="142"/>
    </row>
    <row r="914" spans="1:3" x14ac:dyDescent="0.25">
      <c r="A914" s="123"/>
      <c r="B914" s="142"/>
      <c r="C914" s="142"/>
    </row>
    <row r="915" spans="1:3" x14ac:dyDescent="0.25">
      <c r="A915" s="123"/>
      <c r="B915" s="142"/>
      <c r="C915" s="142"/>
    </row>
    <row r="916" spans="1:3" x14ac:dyDescent="0.25">
      <c r="A916" s="123"/>
      <c r="B916" s="142"/>
      <c r="C916" s="142"/>
    </row>
    <row r="917" spans="1:3" x14ac:dyDescent="0.25">
      <c r="A917" s="123"/>
      <c r="B917" s="142"/>
      <c r="C917" s="142"/>
    </row>
    <row r="918" spans="1:3" x14ac:dyDescent="0.25">
      <c r="A918" s="123"/>
      <c r="B918" s="142"/>
      <c r="C918" s="142"/>
    </row>
    <row r="919" spans="1:3" x14ac:dyDescent="0.25">
      <c r="A919" s="123"/>
      <c r="B919" s="142"/>
      <c r="C919" s="142"/>
    </row>
    <row r="920" spans="1:3" x14ac:dyDescent="0.25">
      <c r="A920" s="123"/>
      <c r="B920" s="142"/>
      <c r="C920" s="142"/>
    </row>
    <row r="921" spans="1:3" x14ac:dyDescent="0.25">
      <c r="A921" s="123"/>
      <c r="B921" s="142"/>
      <c r="C921" s="142"/>
    </row>
    <row r="922" spans="1:3" x14ac:dyDescent="0.25">
      <c r="A922" s="123"/>
      <c r="B922" s="142"/>
      <c r="C922" s="142"/>
    </row>
    <row r="923" spans="1:3" x14ac:dyDescent="0.25">
      <c r="A923" s="123"/>
      <c r="B923" s="142"/>
      <c r="C923" s="142"/>
    </row>
    <row r="924" spans="1:3" x14ac:dyDescent="0.25">
      <c r="A924" s="123"/>
      <c r="B924" s="142"/>
      <c r="C924" s="142"/>
    </row>
    <row r="925" spans="1:3" x14ac:dyDescent="0.25">
      <c r="A925" s="123"/>
      <c r="B925" s="142"/>
      <c r="C925" s="142"/>
    </row>
    <row r="926" spans="1:3" x14ac:dyDescent="0.25">
      <c r="A926" s="123"/>
      <c r="B926" s="142"/>
      <c r="C926" s="142"/>
    </row>
    <row r="927" spans="1:3" x14ac:dyDescent="0.25">
      <c r="A927" s="123"/>
      <c r="B927" s="142"/>
      <c r="C927" s="142"/>
    </row>
    <row r="928" spans="1:3" x14ac:dyDescent="0.25">
      <c r="A928" s="123"/>
      <c r="B928" s="142"/>
      <c r="C928" s="142"/>
    </row>
    <row r="929" spans="1:3" x14ac:dyDescent="0.25">
      <c r="A929" s="123"/>
      <c r="B929" s="142"/>
      <c r="C929" s="142"/>
    </row>
    <row r="930" spans="1:3" x14ac:dyDescent="0.25">
      <c r="A930" s="123"/>
      <c r="B930" s="142"/>
      <c r="C930" s="142"/>
    </row>
    <row r="931" spans="1:3" x14ac:dyDescent="0.25">
      <c r="A931" s="123"/>
      <c r="B931" s="142"/>
      <c r="C931" s="142"/>
    </row>
    <row r="932" spans="1:3" x14ac:dyDescent="0.25">
      <c r="A932" s="123"/>
      <c r="B932" s="142"/>
      <c r="C932" s="142"/>
    </row>
    <row r="933" spans="1:3" x14ac:dyDescent="0.25">
      <c r="A933" s="123"/>
      <c r="B933" s="142"/>
      <c r="C933" s="142"/>
    </row>
    <row r="934" spans="1:3" x14ac:dyDescent="0.25">
      <c r="A934" s="123"/>
      <c r="B934" s="142"/>
      <c r="C934" s="142"/>
    </row>
    <row r="935" spans="1:3" x14ac:dyDescent="0.25">
      <c r="A935" s="123"/>
      <c r="B935" s="142"/>
      <c r="C935" s="142"/>
    </row>
    <row r="936" spans="1:3" x14ac:dyDescent="0.25">
      <c r="A936" s="123"/>
      <c r="B936" s="142"/>
      <c r="C936" s="142"/>
    </row>
    <row r="937" spans="1:3" x14ac:dyDescent="0.25">
      <c r="A937" s="123"/>
      <c r="B937" s="142"/>
      <c r="C937" s="142"/>
    </row>
    <row r="938" spans="1:3" x14ac:dyDescent="0.25">
      <c r="A938" s="123"/>
      <c r="B938" s="142"/>
      <c r="C938" s="142"/>
    </row>
    <row r="939" spans="1:3" x14ac:dyDescent="0.25">
      <c r="A939" s="123"/>
      <c r="B939" s="142"/>
      <c r="C939" s="142"/>
    </row>
    <row r="940" spans="1:3" x14ac:dyDescent="0.25">
      <c r="A940" s="123"/>
      <c r="B940" s="142"/>
      <c r="C940" s="142"/>
    </row>
    <row r="941" spans="1:3" x14ac:dyDescent="0.25">
      <c r="A941" s="123"/>
      <c r="B941" s="142"/>
      <c r="C941" s="142"/>
    </row>
    <row r="942" spans="1:3" x14ac:dyDescent="0.25">
      <c r="A942" s="123"/>
      <c r="B942" s="142"/>
      <c r="C942" s="142"/>
    </row>
    <row r="943" spans="1:3" x14ac:dyDescent="0.25">
      <c r="A943" s="123"/>
      <c r="B943" s="142"/>
      <c r="C943" s="142"/>
    </row>
    <row r="944" spans="1:3" x14ac:dyDescent="0.25">
      <c r="A944" s="123"/>
      <c r="B944" s="142"/>
      <c r="C944" s="142"/>
    </row>
    <row r="945" spans="1:3" x14ac:dyDescent="0.25">
      <c r="A945" s="123"/>
      <c r="B945" s="142"/>
      <c r="C945" s="142"/>
    </row>
    <row r="946" spans="1:3" x14ac:dyDescent="0.25">
      <c r="A946" s="123"/>
      <c r="B946" s="142"/>
      <c r="C946" s="142"/>
    </row>
    <row r="947" spans="1:3" x14ac:dyDescent="0.25">
      <c r="A947" s="123"/>
      <c r="B947" s="142"/>
      <c r="C947" s="142"/>
    </row>
    <row r="948" spans="1:3" x14ac:dyDescent="0.25">
      <c r="A948" s="123"/>
      <c r="B948" s="142"/>
      <c r="C948" s="142"/>
    </row>
    <row r="949" spans="1:3" x14ac:dyDescent="0.25">
      <c r="A949" s="123"/>
      <c r="B949" s="142"/>
      <c r="C949" s="142"/>
    </row>
    <row r="950" spans="1:3" x14ac:dyDescent="0.25">
      <c r="A950" s="123"/>
      <c r="B950" s="142"/>
      <c r="C950" s="142"/>
    </row>
    <row r="951" spans="1:3" x14ac:dyDescent="0.25">
      <c r="A951" s="123"/>
      <c r="B951" s="142"/>
      <c r="C951" s="142"/>
    </row>
    <row r="952" spans="1:3" x14ac:dyDescent="0.25">
      <c r="A952" s="123"/>
      <c r="B952" s="142"/>
      <c r="C952" s="142"/>
    </row>
    <row r="953" spans="1:3" x14ac:dyDescent="0.25">
      <c r="A953" s="123"/>
      <c r="B953" s="142"/>
      <c r="C953" s="142"/>
    </row>
    <row r="954" spans="1:3" x14ac:dyDescent="0.25">
      <c r="A954" s="123"/>
      <c r="B954" s="142"/>
      <c r="C954" s="142"/>
    </row>
    <row r="955" spans="1:3" x14ac:dyDescent="0.25">
      <c r="A955" s="123"/>
      <c r="B955" s="142"/>
      <c r="C955" s="142"/>
    </row>
    <row r="956" spans="1:3" x14ac:dyDescent="0.25">
      <c r="A956" s="123"/>
      <c r="B956" s="142"/>
      <c r="C956" s="142"/>
    </row>
    <row r="957" spans="1:3" x14ac:dyDescent="0.25">
      <c r="A957" s="123"/>
      <c r="B957" s="142"/>
      <c r="C957" s="142"/>
    </row>
    <row r="958" spans="1:3" x14ac:dyDescent="0.25">
      <c r="A958" s="123"/>
      <c r="B958" s="142"/>
      <c r="C958" s="142"/>
    </row>
    <row r="959" spans="1:3" x14ac:dyDescent="0.25">
      <c r="A959" s="123"/>
      <c r="B959" s="142"/>
      <c r="C959" s="142"/>
    </row>
    <row r="960" spans="1:3" x14ac:dyDescent="0.25">
      <c r="A960" s="123"/>
      <c r="B960" s="142"/>
      <c r="C960" s="142"/>
    </row>
    <row r="961" spans="1:3" x14ac:dyDescent="0.25">
      <c r="A961" s="123"/>
      <c r="B961" s="142"/>
      <c r="C961" s="142"/>
    </row>
    <row r="962" spans="1:3" x14ac:dyDescent="0.25">
      <c r="A962" s="123"/>
      <c r="B962" s="142"/>
      <c r="C962" s="142"/>
    </row>
    <row r="963" spans="1:3" x14ac:dyDescent="0.25">
      <c r="A963" s="123"/>
      <c r="B963" s="142"/>
      <c r="C963" s="142"/>
    </row>
    <row r="964" spans="1:3" x14ac:dyDescent="0.25">
      <c r="A964" s="123"/>
      <c r="B964" s="142"/>
      <c r="C964" s="142"/>
    </row>
    <row r="965" spans="1:3" x14ac:dyDescent="0.25">
      <c r="A965" s="123"/>
      <c r="B965" s="142"/>
      <c r="C965" s="142"/>
    </row>
    <row r="966" spans="1:3" x14ac:dyDescent="0.25">
      <c r="A966" s="123"/>
      <c r="B966" s="142"/>
      <c r="C966" s="142"/>
    </row>
    <row r="967" spans="1:3" x14ac:dyDescent="0.25">
      <c r="A967" s="123"/>
      <c r="B967" s="142"/>
      <c r="C967" s="142"/>
    </row>
    <row r="968" spans="1:3" x14ac:dyDescent="0.25">
      <c r="A968" s="123"/>
      <c r="B968" s="142"/>
      <c r="C968" s="142"/>
    </row>
    <row r="969" spans="1:3" x14ac:dyDescent="0.25">
      <c r="A969" s="123"/>
      <c r="B969" s="142"/>
      <c r="C969" s="142"/>
    </row>
    <row r="970" spans="1:3" x14ac:dyDescent="0.25">
      <c r="A970" s="123"/>
      <c r="B970" s="142"/>
      <c r="C970" s="142"/>
    </row>
    <row r="971" spans="1:3" x14ac:dyDescent="0.25">
      <c r="A971" s="123"/>
      <c r="B971" s="142"/>
      <c r="C971" s="142"/>
    </row>
    <row r="972" spans="1:3" x14ac:dyDescent="0.25">
      <c r="A972" s="123"/>
      <c r="B972" s="142"/>
      <c r="C972" s="142"/>
    </row>
    <row r="973" spans="1:3" x14ac:dyDescent="0.25">
      <c r="A973" s="123"/>
      <c r="B973" s="142"/>
      <c r="C973" s="142"/>
    </row>
    <row r="974" spans="1:3" x14ac:dyDescent="0.25">
      <c r="A974" s="123"/>
      <c r="B974" s="142"/>
      <c r="C974" s="142"/>
    </row>
    <row r="975" spans="1:3" x14ac:dyDescent="0.25">
      <c r="A975" s="123"/>
      <c r="B975" s="142"/>
      <c r="C975" s="142"/>
    </row>
    <row r="976" spans="1:3" x14ac:dyDescent="0.25">
      <c r="A976" s="123"/>
      <c r="B976" s="142"/>
      <c r="C976" s="142"/>
    </row>
    <row r="977" spans="1:3" x14ac:dyDescent="0.25">
      <c r="A977" s="123"/>
      <c r="B977" s="142"/>
      <c r="C977" s="142"/>
    </row>
    <row r="978" spans="1:3" x14ac:dyDescent="0.25">
      <c r="A978" s="123"/>
      <c r="B978" s="142"/>
      <c r="C978" s="142"/>
    </row>
    <row r="979" spans="1:3" x14ac:dyDescent="0.25">
      <c r="A979" s="123"/>
      <c r="B979" s="142"/>
      <c r="C979" s="142"/>
    </row>
    <row r="980" spans="1:3" x14ac:dyDescent="0.25">
      <c r="A980" s="123"/>
      <c r="B980" s="142"/>
      <c r="C980" s="142"/>
    </row>
    <row r="981" spans="1:3" x14ac:dyDescent="0.25">
      <c r="A981" s="123"/>
      <c r="B981" s="142"/>
      <c r="C981" s="142"/>
    </row>
    <row r="982" spans="1:3" x14ac:dyDescent="0.25">
      <c r="A982" s="123"/>
      <c r="B982" s="142"/>
      <c r="C982" s="142"/>
    </row>
    <row r="983" spans="1:3" x14ac:dyDescent="0.25">
      <c r="A983" s="123"/>
      <c r="B983" s="142"/>
      <c r="C983" s="142"/>
    </row>
    <row r="984" spans="1:3" x14ac:dyDescent="0.25">
      <c r="A984" s="123"/>
      <c r="B984" s="142"/>
      <c r="C984" s="142"/>
    </row>
    <row r="985" spans="1:3" x14ac:dyDescent="0.25">
      <c r="A985" s="123"/>
      <c r="B985" s="142"/>
      <c r="C985" s="142"/>
    </row>
    <row r="986" spans="1:3" x14ac:dyDescent="0.25">
      <c r="A986" s="123"/>
      <c r="B986" s="142"/>
      <c r="C986" s="142"/>
    </row>
    <row r="987" spans="1:3" x14ac:dyDescent="0.25">
      <c r="A987" s="123"/>
      <c r="B987" s="142"/>
      <c r="C987" s="142"/>
    </row>
    <row r="988" spans="1:3" x14ac:dyDescent="0.25">
      <c r="A988" s="123"/>
      <c r="B988" s="142"/>
      <c r="C988" s="142"/>
    </row>
    <row r="989" spans="1:3" x14ac:dyDescent="0.25">
      <c r="A989" s="123"/>
      <c r="B989" s="142"/>
      <c r="C989" s="142"/>
    </row>
    <row r="990" spans="1:3" x14ac:dyDescent="0.25">
      <c r="A990" s="123"/>
      <c r="B990" s="142"/>
      <c r="C990" s="142"/>
    </row>
    <row r="991" spans="1:3" x14ac:dyDescent="0.25">
      <c r="A991" s="123"/>
      <c r="B991" s="142"/>
      <c r="C991" s="142"/>
    </row>
    <row r="992" spans="1:3" x14ac:dyDescent="0.25">
      <c r="A992" s="123"/>
      <c r="B992" s="142"/>
      <c r="C992" s="142"/>
    </row>
    <row r="993" spans="1:3" x14ac:dyDescent="0.25">
      <c r="A993" s="123"/>
      <c r="B993" s="142"/>
      <c r="C993" s="142"/>
    </row>
    <row r="994" spans="1:3" x14ac:dyDescent="0.25">
      <c r="A994" s="123"/>
      <c r="B994" s="142"/>
      <c r="C994" s="142"/>
    </row>
    <row r="995" spans="1:3" x14ac:dyDescent="0.25">
      <c r="A995" s="123"/>
      <c r="B995" s="142"/>
      <c r="C995" s="142"/>
    </row>
    <row r="996" spans="1:3" x14ac:dyDescent="0.25">
      <c r="A996" s="123"/>
      <c r="B996" s="142"/>
      <c r="C996" s="142"/>
    </row>
    <row r="997" spans="1:3" x14ac:dyDescent="0.25">
      <c r="A997" s="123"/>
      <c r="B997" s="142"/>
      <c r="C997" s="142"/>
    </row>
    <row r="998" spans="1:3" x14ac:dyDescent="0.25">
      <c r="A998" s="123"/>
      <c r="B998" s="142"/>
      <c r="C998" s="142"/>
    </row>
    <row r="999" spans="1:3" x14ac:dyDescent="0.25">
      <c r="A999" s="123"/>
      <c r="B999" s="142"/>
      <c r="C999" s="142"/>
    </row>
    <row r="1000" spans="1:3" x14ac:dyDescent="0.25">
      <c r="A1000" s="123"/>
      <c r="B1000" s="142"/>
      <c r="C1000" s="142"/>
    </row>
    <row r="1001" spans="1:3" x14ac:dyDescent="0.25">
      <c r="A1001" s="123"/>
      <c r="B1001" s="142"/>
      <c r="C1001" s="142"/>
    </row>
    <row r="1002" spans="1:3" x14ac:dyDescent="0.25">
      <c r="A1002" s="123"/>
      <c r="B1002" s="142"/>
      <c r="C1002" s="142"/>
    </row>
    <row r="1003" spans="1:3" x14ac:dyDescent="0.25">
      <c r="A1003" s="123"/>
      <c r="B1003" s="142"/>
      <c r="C1003" s="142"/>
    </row>
    <row r="1004" spans="1:3" x14ac:dyDescent="0.25">
      <c r="A1004" s="123"/>
      <c r="B1004" s="142"/>
      <c r="C1004" s="142"/>
    </row>
    <row r="1005" spans="1:3" x14ac:dyDescent="0.25">
      <c r="A1005" s="123"/>
      <c r="B1005" s="142"/>
      <c r="C1005" s="142"/>
    </row>
    <row r="1006" spans="1:3" x14ac:dyDescent="0.25">
      <c r="A1006" s="123"/>
      <c r="B1006" s="142"/>
      <c r="C1006" s="142"/>
    </row>
    <row r="1007" spans="1:3" x14ac:dyDescent="0.25">
      <c r="A1007" s="123"/>
      <c r="B1007" s="142"/>
      <c r="C1007" s="142"/>
    </row>
    <row r="1008" spans="1:3" x14ac:dyDescent="0.25">
      <c r="A1008" s="123"/>
      <c r="B1008" s="142"/>
      <c r="C1008" s="142"/>
    </row>
    <row r="1009" spans="1:3" x14ac:dyDescent="0.25">
      <c r="A1009" s="123"/>
      <c r="B1009" s="142"/>
      <c r="C1009" s="142"/>
    </row>
    <row r="1010" spans="1:3" x14ac:dyDescent="0.25">
      <c r="A1010" s="123"/>
      <c r="B1010" s="142"/>
      <c r="C1010" s="142"/>
    </row>
    <row r="1011" spans="1:3" x14ac:dyDescent="0.25">
      <c r="A1011" s="123"/>
      <c r="B1011" s="142"/>
      <c r="C1011" s="142"/>
    </row>
    <row r="1012" spans="1:3" x14ac:dyDescent="0.25">
      <c r="A1012" s="123"/>
      <c r="B1012" s="142"/>
      <c r="C1012" s="142"/>
    </row>
    <row r="1013" spans="1:3" x14ac:dyDescent="0.25">
      <c r="A1013" s="123"/>
      <c r="B1013" s="142"/>
      <c r="C1013" s="142"/>
    </row>
    <row r="1014" spans="1:3" x14ac:dyDescent="0.25">
      <c r="A1014" s="123"/>
      <c r="B1014" s="142"/>
      <c r="C1014" s="142"/>
    </row>
    <row r="1015" spans="1:3" x14ac:dyDescent="0.25">
      <c r="A1015" s="123"/>
      <c r="B1015" s="142"/>
      <c r="C1015" s="142"/>
    </row>
    <row r="1016" spans="1:3" x14ac:dyDescent="0.25">
      <c r="A1016" s="123"/>
      <c r="B1016" s="142"/>
      <c r="C1016" s="142"/>
    </row>
    <row r="1017" spans="1:3" x14ac:dyDescent="0.25">
      <c r="A1017" s="123"/>
      <c r="B1017" s="142"/>
      <c r="C1017" s="142"/>
    </row>
    <row r="1018" spans="1:3" x14ac:dyDescent="0.25">
      <c r="A1018" s="123"/>
      <c r="B1018" s="142"/>
      <c r="C1018" s="142"/>
    </row>
    <row r="1019" spans="1:3" x14ac:dyDescent="0.25">
      <c r="A1019" s="123"/>
      <c r="B1019" s="142"/>
      <c r="C1019" s="142"/>
    </row>
    <row r="1020" spans="1:3" x14ac:dyDescent="0.25">
      <c r="A1020" s="123"/>
      <c r="B1020" s="142"/>
      <c r="C1020" s="142"/>
    </row>
    <row r="1021" spans="1:3" x14ac:dyDescent="0.25">
      <c r="A1021" s="123"/>
      <c r="B1021" s="142"/>
      <c r="C1021" s="142"/>
    </row>
    <row r="1022" spans="1:3" x14ac:dyDescent="0.25">
      <c r="A1022" s="123"/>
      <c r="B1022" s="142"/>
      <c r="C1022" s="142"/>
    </row>
    <row r="1023" spans="1:3" x14ac:dyDescent="0.25">
      <c r="A1023" s="123"/>
      <c r="B1023" s="142"/>
      <c r="C1023" s="142"/>
    </row>
    <row r="1024" spans="1:3" x14ac:dyDescent="0.25">
      <c r="A1024" s="123"/>
      <c r="B1024" s="142"/>
      <c r="C1024" s="142"/>
    </row>
    <row r="1025" spans="1:3" x14ac:dyDescent="0.25">
      <c r="A1025" s="123"/>
      <c r="B1025" s="142"/>
      <c r="C1025" s="142"/>
    </row>
    <row r="1026" spans="1:3" x14ac:dyDescent="0.25">
      <c r="A1026" s="123"/>
      <c r="B1026" s="142"/>
      <c r="C1026" s="142"/>
    </row>
    <row r="1027" spans="1:3" x14ac:dyDescent="0.25">
      <c r="A1027" s="123"/>
      <c r="B1027" s="142"/>
      <c r="C1027" s="142"/>
    </row>
    <row r="1028" spans="1:3" x14ac:dyDescent="0.25">
      <c r="A1028" s="123"/>
      <c r="B1028" s="142"/>
      <c r="C1028" s="142"/>
    </row>
    <row r="1029" spans="1:3" x14ac:dyDescent="0.25">
      <c r="A1029" s="123"/>
      <c r="B1029" s="142"/>
      <c r="C1029" s="142"/>
    </row>
    <row r="1030" spans="1:3" x14ac:dyDescent="0.25">
      <c r="A1030" s="123"/>
      <c r="B1030" s="142"/>
      <c r="C1030" s="142"/>
    </row>
    <row r="1031" spans="1:3" x14ac:dyDescent="0.25">
      <c r="A1031" s="123"/>
      <c r="B1031" s="142"/>
      <c r="C1031" s="142"/>
    </row>
    <row r="1032" spans="1:3" x14ac:dyDescent="0.25">
      <c r="A1032" s="123"/>
      <c r="B1032" s="142"/>
      <c r="C1032" s="142"/>
    </row>
    <row r="1033" spans="1:3" x14ac:dyDescent="0.25">
      <c r="A1033" s="123"/>
      <c r="B1033" s="142"/>
      <c r="C1033" s="142"/>
    </row>
    <row r="1034" spans="1:3" x14ac:dyDescent="0.25">
      <c r="A1034" s="123"/>
      <c r="B1034" s="142"/>
      <c r="C1034" s="142"/>
    </row>
    <row r="1035" spans="1:3" x14ac:dyDescent="0.25">
      <c r="A1035" s="123"/>
      <c r="B1035" s="142"/>
      <c r="C1035" s="142"/>
    </row>
    <row r="1036" spans="1:3" x14ac:dyDescent="0.25">
      <c r="A1036" s="123"/>
      <c r="B1036" s="142"/>
      <c r="C1036" s="142"/>
    </row>
    <row r="1037" spans="1:3" x14ac:dyDescent="0.25">
      <c r="A1037" s="123"/>
      <c r="B1037" s="142"/>
      <c r="C1037" s="142"/>
    </row>
    <row r="1038" spans="1:3" x14ac:dyDescent="0.25">
      <c r="A1038" s="123"/>
      <c r="B1038" s="142"/>
      <c r="C1038" s="142"/>
    </row>
    <row r="1039" spans="1:3" x14ac:dyDescent="0.25">
      <c r="A1039" s="123"/>
      <c r="B1039" s="142"/>
      <c r="C1039" s="142"/>
    </row>
    <row r="1040" spans="1:3" x14ac:dyDescent="0.25">
      <c r="A1040" s="123"/>
      <c r="B1040" s="142"/>
      <c r="C1040" s="142"/>
    </row>
    <row r="1041" spans="1:3" x14ac:dyDescent="0.25">
      <c r="A1041" s="123"/>
      <c r="B1041" s="142"/>
      <c r="C1041" s="142"/>
    </row>
    <row r="1042" spans="1:3" x14ac:dyDescent="0.25">
      <c r="A1042" s="123"/>
      <c r="B1042" s="142"/>
      <c r="C1042" s="142"/>
    </row>
    <row r="1043" spans="1:3" x14ac:dyDescent="0.25">
      <c r="A1043" s="123"/>
      <c r="B1043" s="142"/>
      <c r="C1043" s="142"/>
    </row>
    <row r="1044" spans="1:3" x14ac:dyDescent="0.25">
      <c r="A1044" s="123"/>
      <c r="B1044" s="142"/>
      <c r="C1044" s="142"/>
    </row>
    <row r="1045" spans="1:3" x14ac:dyDescent="0.25">
      <c r="A1045" s="123"/>
      <c r="B1045" s="142"/>
      <c r="C1045" s="142"/>
    </row>
    <row r="1046" spans="1:3" x14ac:dyDescent="0.25">
      <c r="A1046" s="123"/>
      <c r="B1046" s="142"/>
      <c r="C1046" s="142"/>
    </row>
    <row r="1047" spans="1:3" x14ac:dyDescent="0.25">
      <c r="A1047" s="123"/>
      <c r="B1047" s="142"/>
      <c r="C1047" s="142"/>
    </row>
    <row r="1048" spans="1:3" x14ac:dyDescent="0.25">
      <c r="A1048" s="123"/>
      <c r="B1048" s="142"/>
      <c r="C1048" s="142"/>
    </row>
    <row r="1049" spans="1:3" x14ac:dyDescent="0.25">
      <c r="A1049" s="123"/>
      <c r="B1049" s="142"/>
      <c r="C1049" s="142"/>
    </row>
    <row r="1050" spans="1:3" x14ac:dyDescent="0.25">
      <c r="A1050" s="123"/>
      <c r="B1050" s="142"/>
      <c r="C1050" s="142"/>
    </row>
    <row r="1051" spans="1:3" x14ac:dyDescent="0.25">
      <c r="A1051" s="123"/>
      <c r="B1051" s="142"/>
      <c r="C1051" s="142"/>
    </row>
    <row r="1052" spans="1:3" x14ac:dyDescent="0.25">
      <c r="A1052" s="123"/>
      <c r="B1052" s="142"/>
      <c r="C1052" s="142"/>
    </row>
    <row r="1053" spans="1:3" x14ac:dyDescent="0.25">
      <c r="A1053" s="123"/>
      <c r="B1053" s="142"/>
      <c r="C1053" s="142"/>
    </row>
    <row r="1054" spans="1:3" x14ac:dyDescent="0.25">
      <c r="A1054" s="123"/>
      <c r="B1054" s="142"/>
      <c r="C1054" s="142"/>
    </row>
    <row r="1055" spans="1:3" x14ac:dyDescent="0.25">
      <c r="A1055" s="123"/>
      <c r="B1055" s="142"/>
      <c r="C1055" s="142"/>
    </row>
    <row r="1056" spans="1:3" x14ac:dyDescent="0.25">
      <c r="A1056" s="123"/>
      <c r="B1056" s="142"/>
      <c r="C1056" s="142"/>
    </row>
    <row r="1057" spans="1:3" x14ac:dyDescent="0.25">
      <c r="A1057" s="123"/>
      <c r="B1057" s="142"/>
      <c r="C1057" s="142"/>
    </row>
    <row r="1058" spans="1:3" x14ac:dyDescent="0.25">
      <c r="A1058" s="123"/>
      <c r="B1058" s="142"/>
      <c r="C1058" s="142"/>
    </row>
    <row r="1059" spans="1:3" x14ac:dyDescent="0.25">
      <c r="A1059" s="123"/>
      <c r="B1059" s="142"/>
      <c r="C1059" s="142"/>
    </row>
    <row r="1060" spans="1:3" x14ac:dyDescent="0.25">
      <c r="A1060" s="123"/>
      <c r="B1060" s="142"/>
      <c r="C1060" s="142"/>
    </row>
    <row r="1061" spans="1:3" x14ac:dyDescent="0.25">
      <c r="A1061" s="123"/>
      <c r="B1061" s="142"/>
      <c r="C1061" s="142"/>
    </row>
    <row r="1062" spans="1:3" x14ac:dyDescent="0.25">
      <c r="A1062" s="123"/>
      <c r="B1062" s="142"/>
      <c r="C1062" s="142"/>
    </row>
    <row r="1063" spans="1:3" x14ac:dyDescent="0.25">
      <c r="A1063" s="123"/>
      <c r="B1063" s="142"/>
      <c r="C1063" s="142"/>
    </row>
    <row r="1064" spans="1:3" x14ac:dyDescent="0.25">
      <c r="A1064" s="123"/>
      <c r="B1064" s="142"/>
      <c r="C1064" s="142"/>
    </row>
    <row r="1065" spans="1:3" x14ac:dyDescent="0.25">
      <c r="A1065" s="123"/>
      <c r="B1065" s="142"/>
      <c r="C1065" s="142"/>
    </row>
    <row r="1066" spans="1:3" x14ac:dyDescent="0.25">
      <c r="A1066" s="123"/>
      <c r="B1066" s="142"/>
      <c r="C1066" s="142"/>
    </row>
    <row r="1067" spans="1:3" x14ac:dyDescent="0.25">
      <c r="A1067" s="123"/>
      <c r="B1067" s="142"/>
      <c r="C1067" s="142"/>
    </row>
    <row r="1068" spans="1:3" x14ac:dyDescent="0.25">
      <c r="A1068" s="123"/>
      <c r="B1068" s="142"/>
      <c r="C1068" s="142"/>
    </row>
    <row r="1069" spans="1:3" x14ac:dyDescent="0.25">
      <c r="A1069" s="123"/>
      <c r="B1069" s="142"/>
      <c r="C1069" s="142"/>
    </row>
    <row r="1070" spans="1:3" x14ac:dyDescent="0.25">
      <c r="A1070" s="123"/>
      <c r="B1070" s="142"/>
      <c r="C1070" s="142"/>
    </row>
    <row r="1071" spans="1:3" x14ac:dyDescent="0.25">
      <c r="A1071" s="123"/>
      <c r="B1071" s="142"/>
      <c r="C1071" s="142"/>
    </row>
    <row r="1072" spans="1:3" x14ac:dyDescent="0.25">
      <c r="A1072" s="123"/>
      <c r="B1072" s="142"/>
      <c r="C1072" s="142"/>
    </row>
    <row r="1073" spans="1:3" x14ac:dyDescent="0.25">
      <c r="A1073" s="123"/>
      <c r="B1073" s="142"/>
      <c r="C1073" s="142"/>
    </row>
    <row r="1074" spans="1:3" x14ac:dyDescent="0.25">
      <c r="A1074" s="123"/>
      <c r="B1074" s="142"/>
      <c r="C1074" s="142"/>
    </row>
    <row r="1075" spans="1:3" x14ac:dyDescent="0.25">
      <c r="A1075" s="123"/>
      <c r="B1075" s="142"/>
      <c r="C1075" s="142"/>
    </row>
    <row r="1076" spans="1:3" x14ac:dyDescent="0.25">
      <c r="A1076" s="123"/>
      <c r="B1076" s="142"/>
      <c r="C1076" s="142"/>
    </row>
    <row r="1077" spans="1:3" x14ac:dyDescent="0.25">
      <c r="A1077" s="123"/>
      <c r="B1077" s="142"/>
      <c r="C1077" s="142"/>
    </row>
    <row r="1078" spans="1:3" x14ac:dyDescent="0.25">
      <c r="A1078" s="123"/>
      <c r="B1078" s="142"/>
      <c r="C1078" s="142"/>
    </row>
    <row r="1079" spans="1:3" x14ac:dyDescent="0.25">
      <c r="A1079" s="123"/>
      <c r="B1079" s="142"/>
      <c r="C1079" s="142"/>
    </row>
    <row r="1080" spans="1:3" x14ac:dyDescent="0.25">
      <c r="A1080" s="123"/>
      <c r="B1080" s="142"/>
      <c r="C1080" s="142"/>
    </row>
    <row r="1081" spans="1:3" x14ac:dyDescent="0.25">
      <c r="A1081" s="123"/>
      <c r="B1081" s="142"/>
      <c r="C1081" s="142"/>
    </row>
    <row r="1082" spans="1:3" x14ac:dyDescent="0.25">
      <c r="A1082" s="123"/>
      <c r="B1082" s="142"/>
      <c r="C1082" s="142"/>
    </row>
    <row r="1083" spans="1:3" x14ac:dyDescent="0.25">
      <c r="A1083" s="123"/>
      <c r="B1083" s="142"/>
      <c r="C1083" s="142"/>
    </row>
    <row r="1084" spans="1:3" x14ac:dyDescent="0.25">
      <c r="A1084" s="123"/>
      <c r="B1084" s="142"/>
      <c r="C1084" s="142"/>
    </row>
    <row r="1085" spans="1:3" x14ac:dyDescent="0.25">
      <c r="A1085" s="123"/>
      <c r="B1085" s="142"/>
      <c r="C1085" s="142"/>
    </row>
    <row r="1086" spans="1:3" x14ac:dyDescent="0.25">
      <c r="A1086" s="123"/>
      <c r="B1086" s="142"/>
      <c r="C1086" s="142"/>
    </row>
    <row r="1087" spans="1:3" x14ac:dyDescent="0.25">
      <c r="A1087" s="123"/>
      <c r="B1087" s="142"/>
      <c r="C1087" s="142"/>
    </row>
    <row r="1088" spans="1:3" x14ac:dyDescent="0.25">
      <c r="A1088" s="123"/>
      <c r="B1088" s="142"/>
      <c r="C1088" s="142"/>
    </row>
    <row r="1089" spans="1:3" x14ac:dyDescent="0.25">
      <c r="A1089" s="123"/>
      <c r="B1089" s="142"/>
      <c r="C1089" s="142"/>
    </row>
    <row r="1090" spans="1:3" x14ac:dyDescent="0.25">
      <c r="A1090" s="123"/>
      <c r="B1090" s="142"/>
      <c r="C1090" s="142"/>
    </row>
    <row r="1091" spans="1:3" x14ac:dyDescent="0.25">
      <c r="A1091" s="123"/>
      <c r="B1091" s="142"/>
      <c r="C1091" s="142"/>
    </row>
    <row r="1092" spans="1:3" x14ac:dyDescent="0.25">
      <c r="A1092" s="123"/>
      <c r="B1092" s="142"/>
      <c r="C1092" s="142"/>
    </row>
    <row r="1093" spans="1:3" x14ac:dyDescent="0.25">
      <c r="A1093" s="123"/>
      <c r="B1093" s="142"/>
      <c r="C1093" s="142"/>
    </row>
    <row r="1094" spans="1:3" x14ac:dyDescent="0.25">
      <c r="A1094" s="123"/>
      <c r="B1094" s="142"/>
      <c r="C1094" s="142"/>
    </row>
    <row r="1095" spans="1:3" x14ac:dyDescent="0.25">
      <c r="A1095" s="123"/>
      <c r="B1095" s="142"/>
      <c r="C1095" s="142"/>
    </row>
    <row r="1096" spans="1:3" x14ac:dyDescent="0.25">
      <c r="A1096" s="123"/>
      <c r="B1096" s="142"/>
      <c r="C1096" s="142"/>
    </row>
    <row r="1097" spans="1:3" x14ac:dyDescent="0.25">
      <c r="A1097" s="123"/>
      <c r="B1097" s="142"/>
      <c r="C1097" s="142"/>
    </row>
    <row r="1098" spans="1:3" x14ac:dyDescent="0.25">
      <c r="A1098" s="123"/>
      <c r="B1098" s="142"/>
      <c r="C1098" s="142"/>
    </row>
    <row r="1099" spans="1:3" x14ac:dyDescent="0.25">
      <c r="A1099" s="123"/>
      <c r="B1099" s="142"/>
      <c r="C1099" s="142"/>
    </row>
    <row r="1100" spans="1:3" x14ac:dyDescent="0.25">
      <c r="A1100" s="123"/>
      <c r="B1100" s="142"/>
      <c r="C1100" s="142"/>
    </row>
    <row r="1101" spans="1:3" x14ac:dyDescent="0.25">
      <c r="A1101" s="123"/>
      <c r="B1101" s="142"/>
      <c r="C1101" s="142"/>
    </row>
    <row r="1102" spans="1:3" x14ac:dyDescent="0.25">
      <c r="A1102" s="123"/>
      <c r="B1102" s="142"/>
      <c r="C1102" s="142"/>
    </row>
    <row r="1103" spans="1:3" x14ac:dyDescent="0.25">
      <c r="A1103" s="123"/>
      <c r="B1103" s="142"/>
      <c r="C1103" s="142"/>
    </row>
    <row r="1104" spans="1:3" x14ac:dyDescent="0.25">
      <c r="A1104" s="123"/>
      <c r="B1104" s="142"/>
      <c r="C1104" s="142"/>
    </row>
    <row r="1105" spans="1:3" x14ac:dyDescent="0.25">
      <c r="A1105" s="123"/>
      <c r="B1105" s="142"/>
      <c r="C1105" s="142"/>
    </row>
    <row r="1106" spans="1:3" x14ac:dyDescent="0.25">
      <c r="A1106" s="123"/>
      <c r="B1106" s="142"/>
      <c r="C1106" s="142"/>
    </row>
    <row r="1107" spans="1:3" x14ac:dyDescent="0.25">
      <c r="A1107" s="123"/>
      <c r="B1107" s="142"/>
      <c r="C1107" s="142"/>
    </row>
    <row r="1108" spans="1:3" x14ac:dyDescent="0.25">
      <c r="A1108" s="123"/>
      <c r="B1108" s="142"/>
      <c r="C1108" s="142"/>
    </row>
    <row r="1109" spans="1:3" x14ac:dyDescent="0.25">
      <c r="A1109" s="123"/>
      <c r="B1109" s="142"/>
      <c r="C1109" s="142"/>
    </row>
    <row r="1110" spans="1:3" x14ac:dyDescent="0.25">
      <c r="A1110" s="123"/>
      <c r="B1110" s="142"/>
      <c r="C1110" s="142"/>
    </row>
    <row r="1111" spans="1:3" x14ac:dyDescent="0.25">
      <c r="A1111" s="123"/>
      <c r="B1111" s="142"/>
      <c r="C1111" s="142"/>
    </row>
    <row r="1112" spans="1:3" x14ac:dyDescent="0.25">
      <c r="A1112" s="123"/>
      <c r="B1112" s="142"/>
      <c r="C1112" s="142"/>
    </row>
    <row r="1113" spans="1:3" x14ac:dyDescent="0.25">
      <c r="A1113" s="123"/>
      <c r="B1113" s="142"/>
      <c r="C1113" s="142"/>
    </row>
    <row r="1114" spans="1:3" x14ac:dyDescent="0.25">
      <c r="A1114" s="123"/>
      <c r="B1114" s="142"/>
      <c r="C1114" s="142"/>
    </row>
    <row r="1115" spans="1:3" x14ac:dyDescent="0.25">
      <c r="A1115" s="123"/>
      <c r="B1115" s="142"/>
      <c r="C1115" s="142"/>
    </row>
    <row r="1116" spans="1:3" x14ac:dyDescent="0.25">
      <c r="A1116" s="123"/>
      <c r="B1116" s="142"/>
      <c r="C1116" s="142"/>
    </row>
    <row r="1117" spans="1:3" x14ac:dyDescent="0.25">
      <c r="A1117" s="123"/>
      <c r="B1117" s="142"/>
      <c r="C1117" s="142"/>
    </row>
    <row r="1118" spans="1:3" x14ac:dyDescent="0.25">
      <c r="A1118" s="123"/>
      <c r="B1118" s="142"/>
      <c r="C1118" s="142"/>
    </row>
    <row r="1119" spans="1:3" x14ac:dyDescent="0.25">
      <c r="A1119" s="123"/>
      <c r="B1119" s="142"/>
      <c r="C1119" s="142"/>
    </row>
    <row r="1120" spans="1:3" x14ac:dyDescent="0.25">
      <c r="A1120" s="123"/>
      <c r="B1120" s="142"/>
      <c r="C1120" s="142"/>
    </row>
    <row r="1121" spans="1:3" x14ac:dyDescent="0.25">
      <c r="A1121" s="123"/>
      <c r="B1121" s="142"/>
      <c r="C1121" s="142"/>
    </row>
    <row r="1122" spans="1:3" x14ac:dyDescent="0.25">
      <c r="A1122" s="123"/>
      <c r="B1122" s="142"/>
      <c r="C1122" s="142"/>
    </row>
    <row r="1123" spans="1:3" x14ac:dyDescent="0.25">
      <c r="A1123" s="123"/>
      <c r="B1123" s="142"/>
      <c r="C1123" s="142"/>
    </row>
    <row r="1124" spans="1:3" x14ac:dyDescent="0.25">
      <c r="A1124" s="123"/>
      <c r="B1124" s="142"/>
      <c r="C1124" s="142"/>
    </row>
    <row r="1125" spans="1:3" x14ac:dyDescent="0.25">
      <c r="A1125" s="123"/>
      <c r="B1125" s="142"/>
      <c r="C1125" s="142"/>
    </row>
    <row r="1126" spans="1:3" x14ac:dyDescent="0.25">
      <c r="A1126" s="123"/>
      <c r="B1126" s="142"/>
      <c r="C1126" s="142"/>
    </row>
    <row r="1127" spans="1:3" x14ac:dyDescent="0.25">
      <c r="A1127" s="123"/>
      <c r="B1127" s="142"/>
      <c r="C1127" s="142"/>
    </row>
    <row r="1128" spans="1:3" x14ac:dyDescent="0.25">
      <c r="A1128" s="123"/>
      <c r="B1128" s="142"/>
      <c r="C1128" s="142"/>
    </row>
    <row r="1129" spans="1:3" x14ac:dyDescent="0.25">
      <c r="A1129" s="123"/>
      <c r="B1129" s="142"/>
      <c r="C1129" s="142"/>
    </row>
    <row r="1130" spans="1:3" x14ac:dyDescent="0.25">
      <c r="A1130" s="123"/>
      <c r="B1130" s="142"/>
      <c r="C1130" s="142"/>
    </row>
    <row r="1131" spans="1:3" x14ac:dyDescent="0.25">
      <c r="A1131" s="123"/>
      <c r="B1131" s="142"/>
      <c r="C1131" s="142"/>
    </row>
    <row r="1132" spans="1:3" x14ac:dyDescent="0.25">
      <c r="A1132" s="123"/>
      <c r="B1132" s="142"/>
      <c r="C1132" s="142"/>
    </row>
    <row r="1133" spans="1:3" x14ac:dyDescent="0.25">
      <c r="A1133" s="123"/>
      <c r="B1133" s="142"/>
      <c r="C1133" s="142"/>
    </row>
    <row r="1134" spans="1:3" x14ac:dyDescent="0.25">
      <c r="A1134" s="123"/>
      <c r="B1134" s="142"/>
      <c r="C1134" s="142"/>
    </row>
    <row r="1135" spans="1:3" x14ac:dyDescent="0.25">
      <c r="A1135" s="123"/>
      <c r="B1135" s="142"/>
      <c r="C1135" s="142"/>
    </row>
    <row r="1136" spans="1:3" x14ac:dyDescent="0.25">
      <c r="A1136" s="123"/>
      <c r="B1136" s="142"/>
      <c r="C1136" s="142"/>
    </row>
    <row r="1137" spans="1:3" x14ac:dyDescent="0.25">
      <c r="A1137" s="123"/>
      <c r="B1137" s="142"/>
      <c r="C1137" s="142"/>
    </row>
    <row r="1138" spans="1:3" x14ac:dyDescent="0.25">
      <c r="A1138" s="123"/>
      <c r="B1138" s="142"/>
      <c r="C1138" s="142"/>
    </row>
    <row r="1139" spans="1:3" x14ac:dyDescent="0.25">
      <c r="A1139" s="123"/>
      <c r="B1139" s="142"/>
      <c r="C1139" s="142"/>
    </row>
    <row r="1140" spans="1:3" x14ac:dyDescent="0.25">
      <c r="A1140" s="123"/>
      <c r="B1140" s="142"/>
      <c r="C1140" s="142"/>
    </row>
    <row r="1141" spans="1:3" x14ac:dyDescent="0.25">
      <c r="A1141" s="123"/>
      <c r="B1141" s="142"/>
      <c r="C1141" s="142"/>
    </row>
    <row r="1142" spans="1:3" x14ac:dyDescent="0.25">
      <c r="A1142" s="123"/>
      <c r="B1142" s="142"/>
      <c r="C1142" s="142"/>
    </row>
    <row r="1143" spans="1:3" x14ac:dyDescent="0.25">
      <c r="A1143" s="123"/>
      <c r="B1143" s="142"/>
      <c r="C1143" s="142"/>
    </row>
    <row r="1144" spans="1:3" x14ac:dyDescent="0.25">
      <c r="A1144" s="123"/>
      <c r="B1144" s="142"/>
      <c r="C1144" s="142"/>
    </row>
    <row r="1145" spans="1:3" x14ac:dyDescent="0.25">
      <c r="A1145" s="123"/>
      <c r="B1145" s="142"/>
      <c r="C1145" s="142"/>
    </row>
    <row r="1146" spans="1:3" x14ac:dyDescent="0.25">
      <c r="A1146" s="123"/>
      <c r="B1146" s="142"/>
      <c r="C1146" s="142"/>
    </row>
    <row r="1147" spans="1:3" x14ac:dyDescent="0.25">
      <c r="A1147" s="123"/>
      <c r="B1147" s="142"/>
      <c r="C1147" s="142"/>
    </row>
    <row r="1148" spans="1:3" x14ac:dyDescent="0.25">
      <c r="A1148" s="123"/>
      <c r="B1148" s="142"/>
      <c r="C1148" s="142"/>
    </row>
    <row r="1149" spans="1:3" x14ac:dyDescent="0.25">
      <c r="A1149" s="123"/>
      <c r="B1149" s="142"/>
      <c r="C1149" s="142"/>
    </row>
    <row r="1150" spans="1:3" x14ac:dyDescent="0.25">
      <c r="A1150" s="123"/>
      <c r="B1150" s="142"/>
      <c r="C1150" s="142"/>
    </row>
    <row r="1151" spans="1:3" x14ac:dyDescent="0.25">
      <c r="A1151" s="123"/>
      <c r="B1151" s="142"/>
      <c r="C1151" s="142"/>
    </row>
    <row r="1152" spans="1:3" x14ac:dyDescent="0.25">
      <c r="A1152" s="123"/>
      <c r="B1152" s="142"/>
      <c r="C1152" s="142"/>
    </row>
    <row r="1153" spans="1:3" x14ac:dyDescent="0.25">
      <c r="A1153" s="123"/>
      <c r="B1153" s="142"/>
      <c r="C1153" s="142"/>
    </row>
    <row r="1154" spans="1:3" x14ac:dyDescent="0.25">
      <c r="A1154" s="123"/>
      <c r="B1154" s="142"/>
      <c r="C1154" s="142"/>
    </row>
    <row r="1155" spans="1:3" x14ac:dyDescent="0.25">
      <c r="A1155" s="123"/>
      <c r="B1155" s="142"/>
      <c r="C1155" s="142"/>
    </row>
    <row r="1156" spans="1:3" x14ac:dyDescent="0.25">
      <c r="A1156" s="123"/>
      <c r="B1156" s="142"/>
      <c r="C1156" s="142"/>
    </row>
    <row r="1157" spans="1:3" x14ac:dyDescent="0.25">
      <c r="A1157" s="123"/>
      <c r="B1157" s="142"/>
      <c r="C1157" s="142"/>
    </row>
    <row r="1158" spans="1:3" x14ac:dyDescent="0.25">
      <c r="A1158" s="123"/>
      <c r="B1158" s="142"/>
      <c r="C1158" s="142"/>
    </row>
    <row r="1159" spans="1:3" x14ac:dyDescent="0.25">
      <c r="A1159" s="123"/>
      <c r="B1159" s="142"/>
      <c r="C1159" s="142"/>
    </row>
    <row r="1160" spans="1:3" x14ac:dyDescent="0.25">
      <c r="A1160" s="123"/>
      <c r="B1160" s="142"/>
      <c r="C1160" s="142"/>
    </row>
    <row r="1161" spans="1:3" x14ac:dyDescent="0.25">
      <c r="A1161" s="123"/>
      <c r="B1161" s="142"/>
      <c r="C1161" s="142"/>
    </row>
    <row r="1162" spans="1:3" x14ac:dyDescent="0.25">
      <c r="A1162" s="123"/>
      <c r="B1162" s="142"/>
      <c r="C1162" s="142"/>
    </row>
    <row r="1163" spans="1:3" x14ac:dyDescent="0.25">
      <c r="A1163" s="123"/>
      <c r="B1163" s="142"/>
      <c r="C1163" s="142"/>
    </row>
    <row r="1164" spans="1:3" x14ac:dyDescent="0.25">
      <c r="A1164" s="123"/>
      <c r="B1164" s="142"/>
      <c r="C1164" s="142"/>
    </row>
    <row r="1165" spans="1:3" x14ac:dyDescent="0.25">
      <c r="A1165" s="123"/>
      <c r="B1165" s="142"/>
      <c r="C1165" s="142"/>
    </row>
    <row r="1166" spans="1:3" x14ac:dyDescent="0.25">
      <c r="A1166" s="123"/>
      <c r="B1166" s="142"/>
      <c r="C1166" s="142"/>
    </row>
    <row r="1167" spans="1:3" x14ac:dyDescent="0.25">
      <c r="A1167" s="123"/>
      <c r="B1167" s="142"/>
      <c r="C1167" s="142"/>
    </row>
    <row r="1168" spans="1:3" x14ac:dyDescent="0.25">
      <c r="A1168" s="123"/>
      <c r="B1168" s="142"/>
      <c r="C1168" s="142"/>
    </row>
    <row r="1169" spans="1:3" x14ac:dyDescent="0.25">
      <c r="A1169" s="123"/>
      <c r="B1169" s="142"/>
      <c r="C1169" s="142"/>
    </row>
    <row r="1170" spans="1:3" x14ac:dyDescent="0.25">
      <c r="A1170" s="123"/>
      <c r="B1170" s="142"/>
      <c r="C1170" s="142"/>
    </row>
    <row r="1171" spans="1:3" x14ac:dyDescent="0.25">
      <c r="A1171" s="123"/>
      <c r="B1171" s="142"/>
      <c r="C1171" s="142"/>
    </row>
    <row r="1172" spans="1:3" x14ac:dyDescent="0.25">
      <c r="A1172" s="123"/>
      <c r="B1172" s="142"/>
      <c r="C1172" s="142"/>
    </row>
    <row r="1173" spans="1:3" x14ac:dyDescent="0.25">
      <c r="A1173" s="123"/>
      <c r="B1173" s="142"/>
      <c r="C1173" s="142"/>
    </row>
    <row r="1174" spans="1:3" x14ac:dyDescent="0.25">
      <c r="A1174" s="123"/>
      <c r="B1174" s="142"/>
      <c r="C1174" s="142"/>
    </row>
    <row r="1175" spans="1:3" x14ac:dyDescent="0.25">
      <c r="A1175" s="123"/>
      <c r="B1175" s="142"/>
      <c r="C1175" s="142"/>
    </row>
    <row r="1176" spans="1:3" x14ac:dyDescent="0.25">
      <c r="A1176" s="123"/>
      <c r="B1176" s="142"/>
      <c r="C1176" s="142"/>
    </row>
    <row r="1177" spans="1:3" x14ac:dyDescent="0.25">
      <c r="A1177" s="123"/>
      <c r="B1177" s="142"/>
      <c r="C1177" s="142"/>
    </row>
    <row r="1178" spans="1:3" x14ac:dyDescent="0.25">
      <c r="A1178" s="123"/>
      <c r="B1178" s="142"/>
      <c r="C1178" s="142"/>
    </row>
    <row r="1179" spans="1:3" x14ac:dyDescent="0.25">
      <c r="A1179" s="123"/>
      <c r="B1179" s="142"/>
      <c r="C1179" s="142"/>
    </row>
    <row r="1180" spans="1:3" x14ac:dyDescent="0.25">
      <c r="A1180" s="123"/>
      <c r="B1180" s="142"/>
      <c r="C1180" s="142"/>
    </row>
    <row r="1181" spans="1:3" x14ac:dyDescent="0.25">
      <c r="A1181" s="123"/>
      <c r="B1181" s="142"/>
      <c r="C1181" s="142"/>
    </row>
    <row r="1182" spans="1:3" x14ac:dyDescent="0.25">
      <c r="A1182" s="123"/>
      <c r="B1182" s="142"/>
      <c r="C1182" s="142"/>
    </row>
    <row r="1183" spans="1:3" x14ac:dyDescent="0.25">
      <c r="A1183" s="123"/>
      <c r="B1183" s="142"/>
      <c r="C1183" s="142"/>
    </row>
    <row r="1184" spans="1:3" x14ac:dyDescent="0.25">
      <c r="A1184" s="123"/>
      <c r="B1184" s="142"/>
      <c r="C1184" s="142"/>
    </row>
    <row r="1185" spans="1:3" x14ac:dyDescent="0.25">
      <c r="A1185" s="123"/>
      <c r="B1185" s="142"/>
      <c r="C1185" s="142"/>
    </row>
    <row r="1186" spans="1:3" x14ac:dyDescent="0.25">
      <c r="A1186" s="123"/>
      <c r="B1186" s="142"/>
      <c r="C1186" s="142"/>
    </row>
    <row r="1187" spans="1:3" x14ac:dyDescent="0.25">
      <c r="A1187" s="123"/>
      <c r="B1187" s="142"/>
      <c r="C1187" s="142"/>
    </row>
    <row r="1188" spans="1:3" x14ac:dyDescent="0.25">
      <c r="A1188" s="123"/>
      <c r="B1188" s="142"/>
      <c r="C1188" s="142"/>
    </row>
    <row r="1189" spans="1:3" x14ac:dyDescent="0.25">
      <c r="A1189" s="123"/>
      <c r="B1189" s="142"/>
      <c r="C1189" s="142"/>
    </row>
    <row r="1190" spans="1:3" x14ac:dyDescent="0.25">
      <c r="A1190" s="123"/>
      <c r="B1190" s="142"/>
      <c r="C1190" s="142"/>
    </row>
    <row r="1191" spans="1:3" x14ac:dyDescent="0.25">
      <c r="A1191" s="123"/>
      <c r="B1191" s="142"/>
      <c r="C1191" s="142"/>
    </row>
    <row r="1192" spans="1:3" x14ac:dyDescent="0.25">
      <c r="A1192" s="123"/>
      <c r="B1192" s="142"/>
      <c r="C1192" s="142"/>
    </row>
    <row r="1193" spans="1:3" x14ac:dyDescent="0.25">
      <c r="A1193" s="123"/>
      <c r="B1193" s="142"/>
      <c r="C1193" s="142"/>
    </row>
    <row r="1194" spans="1:3" x14ac:dyDescent="0.25">
      <c r="A1194" s="123"/>
      <c r="B1194" s="142"/>
      <c r="C1194" s="142"/>
    </row>
    <row r="1195" spans="1:3" x14ac:dyDescent="0.25">
      <c r="A1195" s="123"/>
      <c r="B1195" s="142"/>
      <c r="C1195" s="142"/>
    </row>
    <row r="1196" spans="1:3" x14ac:dyDescent="0.25">
      <c r="A1196" s="123"/>
      <c r="B1196" s="142"/>
      <c r="C1196" s="142"/>
    </row>
    <row r="1197" spans="1:3" x14ac:dyDescent="0.25">
      <c r="A1197" s="123"/>
      <c r="B1197" s="142"/>
      <c r="C1197" s="142"/>
    </row>
    <row r="1198" spans="1:3" x14ac:dyDescent="0.25">
      <c r="A1198" s="123"/>
      <c r="B1198" s="142"/>
      <c r="C1198" s="142"/>
    </row>
    <row r="1199" spans="1:3" x14ac:dyDescent="0.25">
      <c r="A1199" s="123"/>
      <c r="B1199" s="142"/>
      <c r="C1199" s="142"/>
    </row>
    <row r="1200" spans="1:3" x14ac:dyDescent="0.25">
      <c r="A1200" s="123"/>
      <c r="B1200" s="142"/>
      <c r="C1200" s="142"/>
    </row>
    <row r="1201" spans="1:3" x14ac:dyDescent="0.25">
      <c r="A1201" s="123"/>
      <c r="B1201" s="142"/>
      <c r="C1201" s="142"/>
    </row>
    <row r="1202" spans="1:3" x14ac:dyDescent="0.25">
      <c r="A1202" s="123"/>
      <c r="B1202" s="142"/>
      <c r="C1202" s="142"/>
    </row>
    <row r="1203" spans="1:3" x14ac:dyDescent="0.25">
      <c r="A1203" s="123"/>
      <c r="B1203" s="142"/>
      <c r="C1203" s="142"/>
    </row>
    <row r="1204" spans="1:3" x14ac:dyDescent="0.25">
      <c r="A1204" s="123"/>
      <c r="B1204" s="142"/>
      <c r="C1204" s="142"/>
    </row>
    <row r="1205" spans="1:3" x14ac:dyDescent="0.25">
      <c r="A1205" s="123"/>
      <c r="B1205" s="142"/>
      <c r="C1205" s="142"/>
    </row>
    <row r="1206" spans="1:3" x14ac:dyDescent="0.25">
      <c r="A1206" s="123"/>
      <c r="B1206" s="142"/>
      <c r="C1206" s="142"/>
    </row>
    <row r="1207" spans="1:3" x14ac:dyDescent="0.25">
      <c r="A1207" s="123"/>
      <c r="B1207" s="142"/>
      <c r="C1207" s="142"/>
    </row>
    <row r="1208" spans="1:3" x14ac:dyDescent="0.25">
      <c r="A1208" s="123"/>
      <c r="B1208" s="142"/>
      <c r="C1208" s="142"/>
    </row>
    <row r="1209" spans="1:3" x14ac:dyDescent="0.25">
      <c r="A1209" s="123"/>
      <c r="B1209" s="142"/>
      <c r="C1209" s="142"/>
    </row>
    <row r="1210" spans="1:3" x14ac:dyDescent="0.25">
      <c r="A1210" s="123"/>
      <c r="B1210" s="142"/>
      <c r="C1210" s="142"/>
    </row>
    <row r="1211" spans="1:3" x14ac:dyDescent="0.25">
      <c r="A1211" s="123"/>
      <c r="B1211" s="142"/>
      <c r="C1211" s="142"/>
    </row>
    <row r="1212" spans="1:3" x14ac:dyDescent="0.25">
      <c r="A1212" s="123"/>
      <c r="B1212" s="142"/>
      <c r="C1212" s="142"/>
    </row>
    <row r="1213" spans="1:3" x14ac:dyDescent="0.25">
      <c r="A1213" s="123"/>
      <c r="B1213" s="142"/>
      <c r="C1213" s="142"/>
    </row>
    <row r="1214" spans="1:3" x14ac:dyDescent="0.25">
      <c r="A1214" s="123"/>
      <c r="B1214" s="142"/>
      <c r="C1214" s="142"/>
    </row>
    <row r="1215" spans="1:3" x14ac:dyDescent="0.25">
      <c r="A1215" s="123"/>
      <c r="B1215" s="142"/>
      <c r="C1215" s="142"/>
    </row>
    <row r="1216" spans="1:3" x14ac:dyDescent="0.25">
      <c r="A1216" s="123"/>
      <c r="B1216" s="142"/>
      <c r="C1216" s="142"/>
    </row>
    <row r="1217" spans="1:3" x14ac:dyDescent="0.25">
      <c r="A1217" s="123"/>
      <c r="B1217" s="142"/>
      <c r="C1217" s="142"/>
    </row>
    <row r="1218" spans="1:3" x14ac:dyDescent="0.25">
      <c r="A1218" s="123"/>
      <c r="B1218" s="142"/>
      <c r="C1218" s="142"/>
    </row>
    <row r="1219" spans="1:3" x14ac:dyDescent="0.25">
      <c r="A1219" s="123"/>
      <c r="B1219" s="142"/>
      <c r="C1219" s="142"/>
    </row>
    <row r="1220" spans="1:3" x14ac:dyDescent="0.25">
      <c r="A1220" s="123"/>
      <c r="B1220" s="142"/>
      <c r="C1220" s="142"/>
    </row>
    <row r="1221" spans="1:3" x14ac:dyDescent="0.25">
      <c r="A1221" s="123"/>
      <c r="B1221" s="142"/>
      <c r="C1221" s="142"/>
    </row>
    <row r="1222" spans="1:3" x14ac:dyDescent="0.25">
      <c r="A1222" s="123"/>
      <c r="B1222" s="142"/>
      <c r="C1222" s="142"/>
    </row>
    <row r="1223" spans="1:3" x14ac:dyDescent="0.25">
      <c r="A1223" s="123"/>
      <c r="B1223" s="142"/>
      <c r="C1223" s="142"/>
    </row>
    <row r="1224" spans="1:3" x14ac:dyDescent="0.25">
      <c r="A1224" s="123"/>
      <c r="B1224" s="142"/>
      <c r="C1224" s="142"/>
    </row>
    <row r="1225" spans="1:3" x14ac:dyDescent="0.25">
      <c r="A1225" s="123"/>
      <c r="B1225" s="142"/>
      <c r="C1225" s="142"/>
    </row>
    <row r="1226" spans="1:3" x14ac:dyDescent="0.25">
      <c r="A1226" s="123"/>
      <c r="B1226" s="142"/>
      <c r="C1226" s="142"/>
    </row>
    <row r="1227" spans="1:3" x14ac:dyDescent="0.25">
      <c r="A1227" s="123"/>
      <c r="B1227" s="142"/>
      <c r="C1227" s="142"/>
    </row>
    <row r="1228" spans="1:3" x14ac:dyDescent="0.25">
      <c r="A1228" s="123"/>
      <c r="B1228" s="142"/>
      <c r="C1228" s="142"/>
    </row>
    <row r="1229" spans="1:3" x14ac:dyDescent="0.25">
      <c r="A1229" s="123"/>
      <c r="B1229" s="142"/>
      <c r="C1229" s="142"/>
    </row>
    <row r="1230" spans="1:3" x14ac:dyDescent="0.25">
      <c r="A1230" s="123"/>
      <c r="B1230" s="142"/>
      <c r="C1230" s="142"/>
    </row>
    <row r="1231" spans="1:3" x14ac:dyDescent="0.25">
      <c r="A1231" s="123"/>
      <c r="B1231" s="142"/>
      <c r="C1231" s="142"/>
    </row>
    <row r="1232" spans="1:3" x14ac:dyDescent="0.25">
      <c r="A1232" s="123"/>
      <c r="B1232" s="142"/>
      <c r="C1232" s="142"/>
    </row>
    <row r="1233" spans="1:3" x14ac:dyDescent="0.25">
      <c r="A1233" s="123"/>
      <c r="B1233" s="142"/>
      <c r="C1233" s="142"/>
    </row>
    <row r="1234" spans="1:3" x14ac:dyDescent="0.25">
      <c r="A1234" s="123"/>
      <c r="B1234" s="142"/>
      <c r="C1234" s="142"/>
    </row>
    <row r="1235" spans="1:3" x14ac:dyDescent="0.25">
      <c r="A1235" s="123"/>
      <c r="B1235" s="142"/>
      <c r="C1235" s="142"/>
    </row>
    <row r="1236" spans="1:3" x14ac:dyDescent="0.25">
      <c r="A1236" s="123"/>
      <c r="B1236" s="142"/>
      <c r="C1236" s="142"/>
    </row>
    <row r="1237" spans="1:3" x14ac:dyDescent="0.25">
      <c r="A1237" s="123"/>
      <c r="B1237" s="142"/>
      <c r="C1237" s="142"/>
    </row>
    <row r="1238" spans="1:3" x14ac:dyDescent="0.25">
      <c r="A1238" s="123"/>
      <c r="B1238" s="142"/>
      <c r="C1238" s="142"/>
    </row>
    <row r="1239" spans="1:3" x14ac:dyDescent="0.25">
      <c r="A1239" s="123"/>
      <c r="B1239" s="142"/>
      <c r="C1239" s="142"/>
    </row>
    <row r="1240" spans="1:3" x14ac:dyDescent="0.25">
      <c r="A1240" s="123"/>
      <c r="B1240" s="142"/>
      <c r="C1240" s="142"/>
    </row>
    <row r="1241" spans="1:3" x14ac:dyDescent="0.25">
      <c r="A1241" s="123"/>
      <c r="B1241" s="142"/>
      <c r="C1241" s="142"/>
    </row>
    <row r="1242" spans="1:3" x14ac:dyDescent="0.25">
      <c r="A1242" s="123"/>
      <c r="B1242" s="142"/>
      <c r="C1242" s="142"/>
    </row>
    <row r="1243" spans="1:3" x14ac:dyDescent="0.25">
      <c r="A1243" s="123"/>
      <c r="B1243" s="142"/>
      <c r="C1243" s="142"/>
    </row>
    <row r="1244" spans="1:3" x14ac:dyDescent="0.25">
      <c r="A1244" s="123"/>
      <c r="B1244" s="142"/>
      <c r="C1244" s="142"/>
    </row>
    <row r="1245" spans="1:3" x14ac:dyDescent="0.25">
      <c r="A1245" s="123"/>
      <c r="B1245" s="142"/>
      <c r="C1245" s="142"/>
    </row>
    <row r="1246" spans="1:3" x14ac:dyDescent="0.25">
      <c r="A1246" s="123"/>
      <c r="B1246" s="142"/>
      <c r="C1246" s="142"/>
    </row>
    <row r="1247" spans="1:3" x14ac:dyDescent="0.25">
      <c r="A1247" s="123"/>
      <c r="B1247" s="142"/>
      <c r="C1247" s="142"/>
    </row>
    <row r="1248" spans="1:3" x14ac:dyDescent="0.25">
      <c r="A1248" s="123"/>
      <c r="B1248" s="142"/>
      <c r="C1248" s="142"/>
    </row>
    <row r="1249" spans="1:3" x14ac:dyDescent="0.25">
      <c r="A1249" s="123"/>
      <c r="B1249" s="142"/>
      <c r="C1249" s="142"/>
    </row>
    <row r="1250" spans="1:3" x14ac:dyDescent="0.25">
      <c r="A1250" s="123"/>
      <c r="B1250" s="142"/>
      <c r="C1250" s="142"/>
    </row>
    <row r="1251" spans="1:3" x14ac:dyDescent="0.25">
      <c r="A1251" s="123"/>
      <c r="B1251" s="142"/>
      <c r="C1251" s="142"/>
    </row>
    <row r="1252" spans="1:3" x14ac:dyDescent="0.25">
      <c r="A1252" s="123"/>
      <c r="B1252" s="142"/>
      <c r="C1252" s="142"/>
    </row>
    <row r="1253" spans="1:3" x14ac:dyDescent="0.25">
      <c r="A1253" s="123"/>
      <c r="B1253" s="142"/>
      <c r="C1253" s="142"/>
    </row>
    <row r="1254" spans="1:3" x14ac:dyDescent="0.25">
      <c r="A1254" s="123"/>
      <c r="B1254" s="142"/>
      <c r="C1254" s="142"/>
    </row>
    <row r="1255" spans="1:3" x14ac:dyDescent="0.25">
      <c r="A1255" s="123"/>
      <c r="B1255" s="142"/>
      <c r="C1255" s="142"/>
    </row>
    <row r="1256" spans="1:3" x14ac:dyDescent="0.25">
      <c r="A1256" s="123"/>
      <c r="B1256" s="142"/>
      <c r="C1256" s="142"/>
    </row>
    <row r="1257" spans="1:3" x14ac:dyDescent="0.25">
      <c r="A1257" s="123"/>
      <c r="B1257" s="142"/>
      <c r="C1257" s="142"/>
    </row>
    <row r="1258" spans="1:3" x14ac:dyDescent="0.25">
      <c r="A1258" s="123"/>
      <c r="B1258" s="142"/>
      <c r="C1258" s="142"/>
    </row>
    <row r="1259" spans="1:3" x14ac:dyDescent="0.25">
      <c r="A1259" s="123"/>
      <c r="B1259" s="142"/>
      <c r="C1259" s="142"/>
    </row>
    <row r="1260" spans="1:3" x14ac:dyDescent="0.25">
      <c r="A1260" s="123"/>
      <c r="B1260" s="142"/>
      <c r="C1260" s="142"/>
    </row>
    <row r="1261" spans="1:3" x14ac:dyDescent="0.25">
      <c r="A1261" s="123"/>
      <c r="B1261" s="142"/>
      <c r="C1261" s="142"/>
    </row>
    <row r="1262" spans="1:3" x14ac:dyDescent="0.25">
      <c r="A1262" s="123"/>
      <c r="B1262" s="142"/>
      <c r="C1262" s="142"/>
    </row>
    <row r="1263" spans="1:3" x14ac:dyDescent="0.25">
      <c r="A1263" s="123"/>
      <c r="B1263" s="142"/>
      <c r="C1263" s="142"/>
    </row>
    <row r="1264" spans="1:3" x14ac:dyDescent="0.25">
      <c r="A1264" s="123"/>
      <c r="B1264" s="142"/>
      <c r="C1264" s="142"/>
    </row>
    <row r="1265" spans="1:3" x14ac:dyDescent="0.25">
      <c r="A1265" s="123"/>
      <c r="B1265" s="142"/>
      <c r="C1265" s="142"/>
    </row>
    <row r="1266" spans="1:3" x14ac:dyDescent="0.25">
      <c r="A1266" s="123"/>
      <c r="B1266" s="142"/>
      <c r="C1266" s="142"/>
    </row>
    <row r="1267" spans="1:3" x14ac:dyDescent="0.25">
      <c r="A1267" s="123"/>
      <c r="B1267" s="142"/>
      <c r="C1267" s="142"/>
    </row>
    <row r="1268" spans="1:3" x14ac:dyDescent="0.25">
      <c r="A1268" s="123"/>
      <c r="B1268" s="142"/>
      <c r="C1268" s="142"/>
    </row>
    <row r="1269" spans="1:3" x14ac:dyDescent="0.25">
      <c r="A1269" s="123"/>
      <c r="B1269" s="142"/>
      <c r="C1269" s="142"/>
    </row>
    <row r="1270" spans="1:3" x14ac:dyDescent="0.25">
      <c r="A1270" s="123"/>
      <c r="B1270" s="142"/>
      <c r="C1270" s="142"/>
    </row>
    <row r="1271" spans="1:3" x14ac:dyDescent="0.25">
      <c r="A1271" s="123"/>
      <c r="B1271" s="142"/>
      <c r="C1271" s="142"/>
    </row>
    <row r="1272" spans="1:3" x14ac:dyDescent="0.25">
      <c r="A1272" s="123"/>
      <c r="B1272" s="142"/>
      <c r="C1272" s="142"/>
    </row>
    <row r="1273" spans="1:3" x14ac:dyDescent="0.25">
      <c r="A1273" s="123"/>
      <c r="B1273" s="142"/>
      <c r="C1273" s="142"/>
    </row>
    <row r="1274" spans="1:3" x14ac:dyDescent="0.25">
      <c r="A1274" s="123"/>
      <c r="B1274" s="142"/>
      <c r="C1274" s="142"/>
    </row>
    <row r="1275" spans="1:3" x14ac:dyDescent="0.25">
      <c r="A1275" s="123"/>
      <c r="B1275" s="142"/>
      <c r="C1275" s="142"/>
    </row>
    <row r="1276" spans="1:3" x14ac:dyDescent="0.25">
      <c r="A1276" s="123"/>
      <c r="B1276" s="142"/>
      <c r="C1276" s="142"/>
    </row>
    <row r="1277" spans="1:3" x14ac:dyDescent="0.25">
      <c r="A1277" s="123"/>
      <c r="B1277" s="142"/>
      <c r="C1277" s="142"/>
    </row>
    <row r="1278" spans="1:3" x14ac:dyDescent="0.25">
      <c r="A1278" s="123"/>
      <c r="B1278" s="142"/>
      <c r="C1278" s="142"/>
    </row>
    <row r="1279" spans="1:3" x14ac:dyDescent="0.25">
      <c r="A1279" s="123"/>
      <c r="B1279" s="142"/>
      <c r="C1279" s="142"/>
    </row>
    <row r="1280" spans="1:3" x14ac:dyDescent="0.25">
      <c r="A1280" s="123"/>
      <c r="B1280" s="142"/>
      <c r="C1280" s="142"/>
    </row>
    <row r="1281" spans="1:3" x14ac:dyDescent="0.25">
      <c r="A1281" s="123"/>
      <c r="B1281" s="142"/>
      <c r="C1281" s="142"/>
    </row>
    <row r="1282" spans="1:3" x14ac:dyDescent="0.25">
      <c r="A1282" s="123"/>
      <c r="B1282" s="142"/>
      <c r="C1282" s="142"/>
    </row>
    <row r="1283" spans="1:3" x14ac:dyDescent="0.25">
      <c r="A1283" s="123"/>
      <c r="B1283" s="142"/>
      <c r="C1283" s="142"/>
    </row>
    <row r="1284" spans="1:3" x14ac:dyDescent="0.25">
      <c r="A1284" s="123"/>
      <c r="B1284" s="142"/>
      <c r="C1284" s="142"/>
    </row>
    <row r="1285" spans="1:3" x14ac:dyDescent="0.25">
      <c r="A1285" s="123"/>
      <c r="B1285" s="142"/>
      <c r="C1285" s="142"/>
    </row>
    <row r="1286" spans="1:3" x14ac:dyDescent="0.25">
      <c r="A1286" s="123"/>
      <c r="B1286" s="142"/>
      <c r="C1286" s="142"/>
    </row>
    <row r="1287" spans="1:3" x14ac:dyDescent="0.25">
      <c r="A1287" s="123"/>
      <c r="B1287" s="142"/>
      <c r="C1287" s="142"/>
    </row>
    <row r="1288" spans="1:3" x14ac:dyDescent="0.25">
      <c r="A1288" s="123"/>
      <c r="B1288" s="142"/>
      <c r="C1288" s="142"/>
    </row>
    <row r="1289" spans="1:3" x14ac:dyDescent="0.25">
      <c r="A1289" s="123"/>
      <c r="B1289" s="142"/>
      <c r="C1289" s="142"/>
    </row>
    <row r="1290" spans="1:3" x14ac:dyDescent="0.25">
      <c r="A1290" s="123"/>
      <c r="B1290" s="142"/>
      <c r="C1290" s="142"/>
    </row>
    <row r="1291" spans="1:3" x14ac:dyDescent="0.25">
      <c r="A1291" s="123"/>
      <c r="B1291" s="142"/>
      <c r="C1291" s="142"/>
    </row>
    <row r="1292" spans="1:3" x14ac:dyDescent="0.25">
      <c r="A1292" s="123"/>
      <c r="B1292" s="142"/>
      <c r="C1292" s="142"/>
    </row>
    <row r="1293" spans="1:3" x14ac:dyDescent="0.25">
      <c r="A1293" s="123"/>
      <c r="B1293" s="142"/>
      <c r="C1293" s="142"/>
    </row>
    <row r="1294" spans="1:3" x14ac:dyDescent="0.25">
      <c r="A1294" s="123"/>
      <c r="B1294" s="142"/>
      <c r="C1294" s="142"/>
    </row>
    <row r="1295" spans="1:3" x14ac:dyDescent="0.25">
      <c r="A1295" s="123"/>
      <c r="B1295" s="142"/>
      <c r="C1295" s="142"/>
    </row>
    <row r="1296" spans="1:3" x14ac:dyDescent="0.25">
      <c r="A1296" s="123"/>
      <c r="B1296" s="142"/>
      <c r="C1296" s="142"/>
    </row>
    <row r="1297" spans="1:3" x14ac:dyDescent="0.25">
      <c r="A1297" s="123"/>
      <c r="B1297" s="142"/>
      <c r="C1297" s="142"/>
    </row>
    <row r="1298" spans="1:3" x14ac:dyDescent="0.25">
      <c r="A1298" s="123"/>
      <c r="B1298" s="142"/>
      <c r="C1298" s="142"/>
    </row>
    <row r="1299" spans="1:3" x14ac:dyDescent="0.25">
      <c r="A1299" s="123"/>
      <c r="B1299" s="142"/>
      <c r="C1299" s="142"/>
    </row>
    <row r="1300" spans="1:3" x14ac:dyDescent="0.25">
      <c r="A1300" s="123"/>
      <c r="B1300" s="142"/>
      <c r="C1300" s="142"/>
    </row>
    <row r="1301" spans="1:3" x14ac:dyDescent="0.25">
      <c r="A1301" s="123"/>
      <c r="B1301" s="142"/>
      <c r="C1301" s="142"/>
    </row>
    <row r="1302" spans="1:3" x14ac:dyDescent="0.25">
      <c r="A1302" s="123"/>
      <c r="B1302" s="142"/>
      <c r="C1302" s="142"/>
    </row>
    <row r="1303" spans="1:3" x14ac:dyDescent="0.25">
      <c r="A1303" s="123"/>
      <c r="B1303" s="142"/>
      <c r="C1303" s="142"/>
    </row>
    <row r="1304" spans="1:3" x14ac:dyDescent="0.25">
      <c r="A1304" s="123"/>
      <c r="B1304" s="142"/>
      <c r="C1304" s="142"/>
    </row>
    <row r="1305" spans="1:3" x14ac:dyDescent="0.25">
      <c r="A1305" s="123"/>
      <c r="B1305" s="142"/>
      <c r="C1305" s="142"/>
    </row>
    <row r="1306" spans="1:3" x14ac:dyDescent="0.25">
      <c r="A1306" s="123"/>
      <c r="B1306" s="142"/>
      <c r="C1306" s="142"/>
    </row>
    <row r="1307" spans="1:3" x14ac:dyDescent="0.25">
      <c r="A1307" s="123"/>
      <c r="B1307" s="142"/>
      <c r="C1307" s="142"/>
    </row>
    <row r="1308" spans="1:3" x14ac:dyDescent="0.25">
      <c r="A1308" s="123"/>
      <c r="B1308" s="142"/>
      <c r="C1308" s="142"/>
    </row>
    <row r="1309" spans="1:3" x14ac:dyDescent="0.25">
      <c r="A1309" s="123"/>
      <c r="B1309" s="142"/>
      <c r="C1309" s="142"/>
    </row>
    <row r="1310" spans="1:3" x14ac:dyDescent="0.25">
      <c r="A1310" s="123"/>
      <c r="B1310" s="142"/>
      <c r="C1310" s="142"/>
    </row>
    <row r="1311" spans="1:3" x14ac:dyDescent="0.25">
      <c r="A1311" s="123"/>
      <c r="B1311" s="142"/>
      <c r="C1311" s="142"/>
    </row>
    <row r="1312" spans="1:3" x14ac:dyDescent="0.25">
      <c r="A1312" s="123"/>
      <c r="B1312" s="142"/>
      <c r="C1312" s="142"/>
    </row>
    <row r="1313" spans="1:3" x14ac:dyDescent="0.25">
      <c r="A1313" s="123"/>
      <c r="B1313" s="142"/>
      <c r="C1313" s="142"/>
    </row>
    <row r="1314" spans="1:3" x14ac:dyDescent="0.25">
      <c r="A1314" s="123"/>
      <c r="B1314" s="142"/>
      <c r="C1314" s="142"/>
    </row>
    <row r="1315" spans="1:3" x14ac:dyDescent="0.25">
      <c r="A1315" s="123"/>
      <c r="B1315" s="142"/>
      <c r="C1315" s="142"/>
    </row>
    <row r="1316" spans="1:3" x14ac:dyDescent="0.25">
      <c r="A1316" s="123"/>
      <c r="B1316" s="142"/>
      <c r="C1316" s="142"/>
    </row>
    <row r="1317" spans="1:3" x14ac:dyDescent="0.25">
      <c r="A1317" s="123"/>
      <c r="B1317" s="142"/>
      <c r="C1317" s="142"/>
    </row>
    <row r="1318" spans="1:3" x14ac:dyDescent="0.25">
      <c r="A1318" s="123"/>
      <c r="B1318" s="142"/>
      <c r="C1318" s="142"/>
    </row>
    <row r="1319" spans="1:3" x14ac:dyDescent="0.25">
      <c r="A1319" s="123"/>
      <c r="B1319" s="142"/>
      <c r="C1319" s="142"/>
    </row>
    <row r="1320" spans="1:3" x14ac:dyDescent="0.25">
      <c r="A1320" s="123"/>
      <c r="B1320" s="142"/>
      <c r="C1320" s="142"/>
    </row>
    <row r="1321" spans="1:3" x14ac:dyDescent="0.25">
      <c r="A1321" s="123"/>
      <c r="B1321" s="142"/>
      <c r="C1321" s="142"/>
    </row>
    <row r="1322" spans="1:3" x14ac:dyDescent="0.25">
      <c r="A1322" s="123"/>
      <c r="B1322" s="142"/>
      <c r="C1322" s="142"/>
    </row>
    <row r="1323" spans="1:3" x14ac:dyDescent="0.25">
      <c r="A1323" s="123"/>
      <c r="B1323" s="142"/>
      <c r="C1323" s="142"/>
    </row>
    <row r="1324" spans="1:3" x14ac:dyDescent="0.25">
      <c r="A1324" s="123"/>
      <c r="B1324" s="142"/>
      <c r="C1324" s="142"/>
    </row>
    <row r="1325" spans="1:3" x14ac:dyDescent="0.25">
      <c r="A1325" s="123"/>
      <c r="B1325" s="142"/>
      <c r="C1325" s="142"/>
    </row>
    <row r="1326" spans="1:3" x14ac:dyDescent="0.25">
      <c r="A1326" s="123"/>
      <c r="B1326" s="142"/>
      <c r="C1326" s="142"/>
    </row>
    <row r="1327" spans="1:3" x14ac:dyDescent="0.25">
      <c r="A1327" s="123"/>
      <c r="B1327" s="142"/>
      <c r="C1327" s="142"/>
    </row>
    <row r="1328" spans="1:3" x14ac:dyDescent="0.25">
      <c r="A1328" s="123"/>
      <c r="B1328" s="142"/>
      <c r="C1328" s="142"/>
    </row>
    <row r="1329" spans="1:3" x14ac:dyDescent="0.25">
      <c r="A1329" s="123"/>
      <c r="B1329" s="142"/>
      <c r="C1329" s="142"/>
    </row>
    <row r="1330" spans="1:3" x14ac:dyDescent="0.25">
      <c r="A1330" s="123"/>
      <c r="B1330" s="142"/>
      <c r="C1330" s="142"/>
    </row>
    <row r="1331" spans="1:3" x14ac:dyDescent="0.25">
      <c r="A1331" s="123"/>
      <c r="B1331" s="142"/>
      <c r="C1331" s="142"/>
    </row>
    <row r="1332" spans="1:3" x14ac:dyDescent="0.25">
      <c r="A1332" s="123"/>
      <c r="B1332" s="142"/>
      <c r="C1332" s="142"/>
    </row>
    <row r="1333" spans="1:3" x14ac:dyDescent="0.25">
      <c r="A1333" s="123"/>
      <c r="B1333" s="142"/>
      <c r="C1333" s="142"/>
    </row>
    <row r="1334" spans="1:3" x14ac:dyDescent="0.25">
      <c r="A1334" s="123"/>
      <c r="B1334" s="142"/>
      <c r="C1334" s="142"/>
    </row>
    <row r="1335" spans="1:3" x14ac:dyDescent="0.25">
      <c r="A1335" s="123"/>
      <c r="B1335" s="142"/>
      <c r="C1335" s="142"/>
    </row>
    <row r="1336" spans="1:3" x14ac:dyDescent="0.25">
      <c r="A1336" s="123"/>
      <c r="B1336" s="142"/>
      <c r="C1336" s="142"/>
    </row>
    <row r="1337" spans="1:3" x14ac:dyDescent="0.25">
      <c r="A1337" s="123"/>
      <c r="B1337" s="142"/>
      <c r="C1337" s="142"/>
    </row>
    <row r="1338" spans="1:3" x14ac:dyDescent="0.25">
      <c r="A1338" s="123"/>
      <c r="B1338" s="142"/>
      <c r="C1338" s="142"/>
    </row>
    <row r="1339" spans="1:3" x14ac:dyDescent="0.25">
      <c r="A1339" s="123"/>
      <c r="B1339" s="142"/>
      <c r="C1339" s="142"/>
    </row>
    <row r="1340" spans="1:3" x14ac:dyDescent="0.25">
      <c r="A1340" s="123"/>
      <c r="B1340" s="142"/>
      <c r="C1340" s="142"/>
    </row>
    <row r="1341" spans="1:3" x14ac:dyDescent="0.25">
      <c r="A1341" s="123"/>
      <c r="B1341" s="142"/>
      <c r="C1341" s="142"/>
    </row>
    <row r="1342" spans="1:3" x14ac:dyDescent="0.25">
      <c r="A1342" s="123"/>
      <c r="B1342" s="142"/>
      <c r="C1342" s="142"/>
    </row>
    <row r="1343" spans="1:3" x14ac:dyDescent="0.25">
      <c r="A1343" s="123"/>
      <c r="B1343" s="142"/>
      <c r="C1343" s="142"/>
    </row>
    <row r="1344" spans="1:3" x14ac:dyDescent="0.25">
      <c r="A1344" s="123"/>
      <c r="B1344" s="142"/>
      <c r="C1344" s="142"/>
    </row>
    <row r="1345" spans="1:3" x14ac:dyDescent="0.25">
      <c r="A1345" s="123"/>
      <c r="B1345" s="142"/>
      <c r="C1345" s="142"/>
    </row>
    <row r="1346" spans="1:3" x14ac:dyDescent="0.25">
      <c r="A1346" s="123"/>
      <c r="B1346" s="142"/>
      <c r="C1346" s="142"/>
    </row>
    <row r="1347" spans="1:3" x14ac:dyDescent="0.25">
      <c r="A1347" s="123"/>
      <c r="B1347" s="142"/>
      <c r="C1347" s="142"/>
    </row>
    <row r="1348" spans="1:3" x14ac:dyDescent="0.25">
      <c r="A1348" s="123"/>
      <c r="B1348" s="142"/>
      <c r="C1348" s="142"/>
    </row>
    <row r="1349" spans="1:3" x14ac:dyDescent="0.25">
      <c r="A1349" s="123"/>
      <c r="B1349" s="142"/>
      <c r="C1349" s="142"/>
    </row>
    <row r="1350" spans="1:3" x14ac:dyDescent="0.25">
      <c r="A1350" s="123"/>
      <c r="B1350" s="142"/>
      <c r="C1350" s="142"/>
    </row>
    <row r="1351" spans="1:3" x14ac:dyDescent="0.25">
      <c r="A1351" s="123"/>
      <c r="B1351" s="142"/>
      <c r="C1351" s="142"/>
    </row>
    <row r="1352" spans="1:3" x14ac:dyDescent="0.25">
      <c r="A1352" s="123"/>
      <c r="B1352" s="142"/>
      <c r="C1352" s="142"/>
    </row>
    <row r="1353" spans="1:3" x14ac:dyDescent="0.25">
      <c r="A1353" s="123"/>
      <c r="B1353" s="142"/>
      <c r="C1353" s="142"/>
    </row>
    <row r="1354" spans="1:3" x14ac:dyDescent="0.25">
      <c r="A1354" s="123"/>
      <c r="B1354" s="142"/>
      <c r="C1354" s="142"/>
    </row>
    <row r="1355" spans="1:3" x14ac:dyDescent="0.25">
      <c r="A1355" s="123"/>
      <c r="B1355" s="142"/>
      <c r="C1355" s="142"/>
    </row>
    <row r="1356" spans="1:3" x14ac:dyDescent="0.25">
      <c r="A1356" s="123"/>
      <c r="B1356" s="142"/>
      <c r="C1356" s="142"/>
    </row>
    <row r="1357" spans="1:3" x14ac:dyDescent="0.25">
      <c r="A1357" s="123"/>
      <c r="B1357" s="142"/>
      <c r="C1357" s="142"/>
    </row>
    <row r="1358" spans="1:3" x14ac:dyDescent="0.25">
      <c r="A1358" s="123"/>
      <c r="B1358" s="142"/>
      <c r="C1358" s="142"/>
    </row>
    <row r="1359" spans="1:3" x14ac:dyDescent="0.25">
      <c r="A1359" s="123"/>
      <c r="B1359" s="142"/>
      <c r="C1359" s="142"/>
    </row>
    <row r="1360" spans="1:3" x14ac:dyDescent="0.25">
      <c r="A1360" s="123"/>
      <c r="B1360" s="142"/>
      <c r="C1360" s="142"/>
    </row>
    <row r="1361" spans="1:3" x14ac:dyDescent="0.25">
      <c r="A1361" s="123"/>
      <c r="B1361" s="142"/>
      <c r="C1361" s="142"/>
    </row>
    <row r="1362" spans="1:3" x14ac:dyDescent="0.25">
      <c r="A1362" s="123"/>
      <c r="B1362" s="142"/>
      <c r="C1362" s="142"/>
    </row>
    <row r="1363" spans="1:3" x14ac:dyDescent="0.25">
      <c r="A1363" s="123"/>
      <c r="B1363" s="142"/>
      <c r="C1363" s="142"/>
    </row>
    <row r="1364" spans="1:3" x14ac:dyDescent="0.25">
      <c r="A1364" s="123"/>
      <c r="B1364" s="142"/>
      <c r="C1364" s="142"/>
    </row>
    <row r="1365" spans="1:3" x14ac:dyDescent="0.25">
      <c r="A1365" s="123"/>
      <c r="B1365" s="142"/>
      <c r="C1365" s="142"/>
    </row>
    <row r="1366" spans="1:3" x14ac:dyDescent="0.25">
      <c r="A1366" s="123"/>
      <c r="B1366" s="142"/>
      <c r="C1366" s="142"/>
    </row>
    <row r="1367" spans="1:3" x14ac:dyDescent="0.25">
      <c r="A1367" s="123"/>
      <c r="B1367" s="142"/>
      <c r="C1367" s="142"/>
    </row>
    <row r="1368" spans="1:3" x14ac:dyDescent="0.25">
      <c r="A1368" s="123"/>
      <c r="B1368" s="142"/>
      <c r="C1368" s="142"/>
    </row>
    <row r="1369" spans="1:3" x14ac:dyDescent="0.25">
      <c r="A1369" s="123"/>
      <c r="B1369" s="142"/>
      <c r="C1369" s="142"/>
    </row>
    <row r="1370" spans="1:3" x14ac:dyDescent="0.25">
      <c r="A1370" s="123"/>
      <c r="B1370" s="142"/>
      <c r="C1370" s="142"/>
    </row>
  </sheetData>
  <sheetProtection algorithmName="SHA-512" hashValue="YR7C76D/FnOyR12JpKn0qMY0sriuQTft1p84kWfS8yVrLdYaQUhDnKJoKBjizPkBdZygIFFmxfmhQm22i+yKVw==" saltValue="btyInxHKOQ5l043V4Mo06A==" spinCount="100000" sheet="1" objects="1" scenarios="1"/>
  <mergeCells count="12">
    <mergeCell ref="B13:B15"/>
    <mergeCell ref="B115:B116"/>
    <mergeCell ref="B48:B50"/>
    <mergeCell ref="B64:B66"/>
    <mergeCell ref="B74:B76"/>
    <mergeCell ref="B77:B78"/>
    <mergeCell ref="B83:B85"/>
    <mergeCell ref="B86:B88"/>
    <mergeCell ref="B89:B91"/>
    <mergeCell ref="B92:B94"/>
    <mergeCell ref="B103:B106"/>
    <mergeCell ref="B111:B11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499984740745262"/>
  </sheetPr>
  <dimension ref="B1:Y34"/>
  <sheetViews>
    <sheetView showGridLines="0" zoomScale="80" zoomScaleNormal="80" zoomScalePageLayoutView="80" workbookViewId="0">
      <selection activeCell="B19" sqref="B19:H19"/>
    </sheetView>
  </sheetViews>
  <sheetFormatPr defaultColWidth="8.85546875" defaultRowHeight="15" x14ac:dyDescent="0.25"/>
  <cols>
    <col min="3" max="3" width="31.28515625" customWidth="1"/>
    <col min="7" max="7" width="17.85546875" customWidth="1"/>
  </cols>
  <sheetData>
    <row r="1" spans="2:25" s="87" customFormat="1" x14ac:dyDescent="0.25"/>
    <row r="2" spans="2:25" s="106" customFormat="1" ht="5.0999999999999996" customHeight="1" x14ac:dyDescent="0.25">
      <c r="B2" s="107"/>
      <c r="C2" s="107"/>
      <c r="D2" s="107"/>
      <c r="E2" s="107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2:25" s="89" customFormat="1" ht="15" customHeight="1" x14ac:dyDescent="0.2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2:25" s="89" customFormat="1" ht="15" customHeight="1" x14ac:dyDescent="0.25"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2:25" s="87" customFormat="1" ht="20.100000000000001" customHeight="1" x14ac:dyDescent="0.25">
      <c r="B5" s="302" t="s">
        <v>786</v>
      </c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91"/>
    </row>
    <row r="6" spans="2:25" s="87" customFormat="1" ht="20.100000000000001" customHeight="1" x14ac:dyDescent="0.25"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</row>
    <row r="7" spans="2:25" s="92" customFormat="1" ht="20.100000000000001" customHeight="1" x14ac:dyDescent="0.25">
      <c r="B7" s="304" t="s">
        <v>679</v>
      </c>
      <c r="C7" s="304"/>
      <c r="D7" s="304"/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</row>
    <row r="8" spans="2:25" s="88" customFormat="1" ht="20.100000000000001" customHeight="1" x14ac:dyDescent="0.25">
      <c r="B8" s="301" t="s">
        <v>681</v>
      </c>
      <c r="C8" s="301"/>
      <c r="D8" s="301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89"/>
      <c r="X8" s="89"/>
      <c r="Y8" s="89"/>
    </row>
    <row r="9" spans="2:25" s="88" customFormat="1" ht="20.100000000000001" customHeight="1" x14ac:dyDescent="0.25">
      <c r="B9" s="301" t="s">
        <v>682</v>
      </c>
      <c r="C9" s="301"/>
      <c r="D9" s="301"/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89"/>
      <c r="X9" s="89"/>
      <c r="Y9" s="89"/>
    </row>
    <row r="10" spans="2:25" s="88" customFormat="1" ht="20.100000000000001" customHeight="1" x14ac:dyDescent="0.25">
      <c r="B10" s="301" t="s">
        <v>683</v>
      </c>
      <c r="C10" s="301"/>
      <c r="D10" s="301"/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89"/>
      <c r="X10" s="89"/>
      <c r="Y10" s="89"/>
    </row>
    <row r="11" spans="2:25" s="88" customFormat="1" ht="20.100000000000001" customHeight="1" x14ac:dyDescent="0.25">
      <c r="B11" s="301" t="s">
        <v>684</v>
      </c>
      <c r="C11" s="301"/>
      <c r="D11" s="301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89"/>
      <c r="X11" s="89"/>
      <c r="Y11" s="89"/>
    </row>
    <row r="12" spans="2:25" s="87" customFormat="1" ht="20.100000000000001" customHeight="1" x14ac:dyDescent="0.25"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</row>
    <row r="13" spans="2:25" s="87" customFormat="1" ht="20.100000000000001" customHeight="1" x14ac:dyDescent="0.25">
      <c r="B13" s="303" t="s">
        <v>680</v>
      </c>
      <c r="C13" s="303"/>
      <c r="D13" s="303"/>
      <c r="E13" s="303"/>
      <c r="F13" s="303"/>
      <c r="G13" s="303"/>
      <c r="H13" s="303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</row>
    <row r="14" spans="2:25" s="87" customFormat="1" ht="20.100000000000001" customHeight="1" x14ac:dyDescent="0.25">
      <c r="B14" s="299" t="s">
        <v>685</v>
      </c>
      <c r="C14" s="299"/>
      <c r="D14" s="299"/>
      <c r="E14" s="299"/>
      <c r="F14" s="299"/>
      <c r="G14" s="299"/>
      <c r="H14" s="299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</row>
    <row r="15" spans="2:25" s="87" customFormat="1" ht="20.100000000000001" customHeight="1" x14ac:dyDescent="0.25">
      <c r="B15" s="299" t="s">
        <v>518</v>
      </c>
      <c r="C15" s="299"/>
      <c r="D15" s="299"/>
      <c r="E15" s="299"/>
      <c r="F15" s="299"/>
      <c r="G15" s="299"/>
      <c r="H15" s="299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</row>
    <row r="16" spans="2:25" s="87" customFormat="1" ht="20.100000000000001" customHeight="1" x14ac:dyDescent="0.25">
      <c r="B16" s="298" t="s">
        <v>774</v>
      </c>
      <c r="C16" s="298"/>
      <c r="D16" s="298"/>
      <c r="E16" s="298"/>
      <c r="F16" s="298"/>
      <c r="G16" s="298"/>
      <c r="H16" s="29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</row>
    <row r="17" spans="2:25" s="87" customFormat="1" ht="20.100000000000001" customHeight="1" x14ac:dyDescent="0.25">
      <c r="B17" s="299" t="s">
        <v>765</v>
      </c>
      <c r="C17" s="299"/>
      <c r="D17" s="299"/>
      <c r="E17" s="299"/>
      <c r="F17" s="299"/>
      <c r="G17" s="299"/>
      <c r="H17" s="299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</row>
    <row r="18" spans="2:25" s="87" customFormat="1" ht="20.100000000000001" customHeight="1" x14ac:dyDescent="0.25">
      <c r="B18" s="298" t="s">
        <v>519</v>
      </c>
      <c r="C18" s="298"/>
      <c r="D18" s="298"/>
      <c r="E18" s="298"/>
      <c r="F18" s="298"/>
      <c r="G18" s="298"/>
      <c r="H18" s="29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</row>
    <row r="19" spans="2:25" s="87" customFormat="1" ht="20.100000000000001" customHeight="1" x14ac:dyDescent="0.25">
      <c r="B19" s="299" t="s">
        <v>517</v>
      </c>
      <c r="C19" s="299"/>
      <c r="D19" s="299"/>
      <c r="E19" s="299"/>
      <c r="F19" s="299"/>
      <c r="G19" s="299"/>
      <c r="H19" s="299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</row>
    <row r="20" spans="2:25" s="88" customFormat="1" ht="16.5" customHeight="1" x14ac:dyDescent="0.25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89"/>
      <c r="X20" s="89"/>
      <c r="Y20" s="89"/>
    </row>
    <row r="21" spans="2:25" s="88" customFormat="1" ht="17.100000000000001" customHeight="1" x14ac:dyDescent="0.25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89"/>
      <c r="X21" s="89"/>
      <c r="Y21" s="89"/>
    </row>
    <row r="22" spans="2:25" s="88" customFormat="1" ht="17.100000000000001" customHeight="1" x14ac:dyDescent="0.25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89"/>
      <c r="X22" s="89"/>
      <c r="Y22" s="89"/>
    </row>
    <row r="23" spans="2:25" s="88" customFormat="1" ht="17.100000000000001" customHeight="1" x14ac:dyDescent="0.25"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89"/>
      <c r="X23" s="89"/>
      <c r="Y23" s="89"/>
    </row>
    <row r="24" spans="2:25" s="88" customFormat="1" ht="16.5" customHeight="1" x14ac:dyDescent="0.25"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89"/>
      <c r="X24" s="89"/>
      <c r="Y24" s="89"/>
    </row>
    <row r="25" spans="2:25" s="88" customFormat="1" ht="17.100000000000001" customHeight="1" x14ac:dyDescent="0.25"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89"/>
      <c r="X25" s="89"/>
      <c r="Y25" s="89"/>
    </row>
    <row r="26" spans="2:25" s="88" customFormat="1" ht="17.100000000000001" customHeight="1" x14ac:dyDescent="0.25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89"/>
      <c r="X26" s="89"/>
      <c r="Y26" s="89"/>
    </row>
    <row r="27" spans="2:25" s="87" customFormat="1" x14ac:dyDescent="0.25"/>
    <row r="28" spans="2:25" s="87" customFormat="1" x14ac:dyDescent="0.25"/>
    <row r="29" spans="2:25" s="87" customFormat="1" x14ac:dyDescent="0.25"/>
    <row r="30" spans="2:25" s="87" customFormat="1" x14ac:dyDescent="0.25"/>
    <row r="31" spans="2:25" s="87" customFormat="1" x14ac:dyDescent="0.25"/>
    <row r="32" spans="2:25" s="87" customFormat="1" x14ac:dyDescent="0.25"/>
    <row r="33" s="87" customFormat="1" x14ac:dyDescent="0.25"/>
    <row r="34" s="87" customFormat="1" x14ac:dyDescent="0.25"/>
  </sheetData>
  <mergeCells count="14">
    <mergeCell ref="B5:V5"/>
    <mergeCell ref="B13:H13"/>
    <mergeCell ref="B14:H14"/>
    <mergeCell ref="B7:V7"/>
    <mergeCell ref="B8:D8"/>
    <mergeCell ref="B16:H16"/>
    <mergeCell ref="B17:H17"/>
    <mergeCell ref="B18:H18"/>
    <mergeCell ref="B19:H19"/>
    <mergeCell ref="E8:V11"/>
    <mergeCell ref="B9:D9"/>
    <mergeCell ref="B10:D10"/>
    <mergeCell ref="B11:D11"/>
    <mergeCell ref="B15:H15"/>
  </mergeCells>
  <pageMargins left="0.511811024" right="0.511811024" top="0.78740157499999996" bottom="0.78740157499999996" header="0.31496062000000002" footer="0.31496062000000002"/>
  <pageSetup paperSize="9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K61"/>
  <sheetViews>
    <sheetView showGridLines="0" workbookViewId="0">
      <selection activeCell="E1" sqref="E1"/>
    </sheetView>
  </sheetViews>
  <sheetFormatPr defaultColWidth="8.85546875" defaultRowHeight="11.25" x14ac:dyDescent="0.2"/>
  <cols>
    <col min="1" max="1" width="6.42578125" style="93" customWidth="1"/>
    <col min="2" max="2" width="18.140625" style="93" customWidth="1"/>
    <col min="3" max="3" width="60.7109375" style="93" bestFit="1" customWidth="1"/>
    <col min="4" max="4" width="24" style="93" customWidth="1"/>
    <col min="5" max="5" width="16.85546875" style="93" customWidth="1"/>
    <col min="6" max="6" width="15.42578125" style="93" customWidth="1"/>
    <col min="7" max="7" width="14.85546875" style="93" bestFit="1" customWidth="1"/>
    <col min="8" max="8" width="14.28515625" style="93" bestFit="1" customWidth="1"/>
    <col min="9" max="9" width="11.7109375" style="93" bestFit="1" customWidth="1"/>
    <col min="10" max="16384" width="8.85546875" style="93"/>
  </cols>
  <sheetData>
    <row r="1" spans="2:11" ht="117.95" customHeight="1" x14ac:dyDescent="0.2"/>
    <row r="2" spans="2:11" ht="65.099999999999994" customHeight="1" x14ac:dyDescent="0.2">
      <c r="B2" s="308" t="s">
        <v>496</v>
      </c>
      <c r="C2" s="308"/>
      <c r="D2" s="308"/>
      <c r="E2" s="308"/>
      <c r="F2" s="308"/>
      <c r="G2" s="308"/>
      <c r="H2" s="308"/>
    </row>
    <row r="3" spans="2:11" ht="6" customHeight="1" x14ac:dyDescent="0.2">
      <c r="B3" s="110"/>
      <c r="C3" s="110"/>
      <c r="D3" s="110"/>
      <c r="E3" s="110"/>
      <c r="F3" s="110"/>
      <c r="G3" s="110"/>
      <c r="H3" s="110"/>
    </row>
    <row r="4" spans="2:11" ht="20.100000000000001" customHeight="1" x14ac:dyDescent="0.2">
      <c r="B4" s="305" t="s">
        <v>502</v>
      </c>
      <c r="C4" s="305"/>
      <c r="D4" s="305"/>
      <c r="E4" s="305"/>
      <c r="F4" s="305"/>
      <c r="G4" s="305"/>
      <c r="H4" s="305"/>
    </row>
    <row r="5" spans="2:11" ht="20.100000000000001" customHeight="1" x14ac:dyDescent="0.2">
      <c r="B5" s="102"/>
      <c r="C5" s="102"/>
      <c r="D5" s="102"/>
      <c r="E5" s="102"/>
      <c r="F5" s="102"/>
      <c r="G5" s="102"/>
      <c r="H5" s="102"/>
    </row>
    <row r="6" spans="2:11" ht="30.95" customHeight="1" x14ac:dyDescent="0.2">
      <c r="B6" s="307" t="s">
        <v>620</v>
      </c>
      <c r="C6" s="307"/>
      <c r="D6" s="307"/>
      <c r="E6" s="307"/>
      <c r="F6" s="307"/>
      <c r="G6" s="307"/>
      <c r="H6" s="307"/>
    </row>
    <row r="7" spans="2:11" ht="24" customHeight="1" x14ac:dyDescent="0.2">
      <c r="B7" s="111" t="s">
        <v>497</v>
      </c>
      <c r="C7" s="111" t="s">
        <v>498</v>
      </c>
      <c r="D7" s="111" t="s">
        <v>621</v>
      </c>
      <c r="E7" s="111" t="s">
        <v>500</v>
      </c>
      <c r="F7" s="312"/>
      <c r="G7" s="312"/>
      <c r="H7" s="313"/>
    </row>
    <row r="8" spans="2:11" customFormat="1" ht="38.1" customHeight="1" x14ac:dyDescent="0.25">
      <c r="B8" s="104" t="s">
        <v>525</v>
      </c>
      <c r="C8" s="103" t="s">
        <v>126</v>
      </c>
      <c r="D8" s="95">
        <v>3.7</v>
      </c>
      <c r="E8" s="229" t="s">
        <v>750</v>
      </c>
      <c r="F8" s="314"/>
      <c r="G8" s="315"/>
      <c r="H8" s="316"/>
      <c r="I8" s="105"/>
      <c r="J8" s="105"/>
      <c r="K8" s="105"/>
    </row>
    <row r="9" spans="2:11" customFormat="1" ht="38.1" customHeight="1" x14ac:dyDescent="0.25">
      <c r="B9" s="104" t="s">
        <v>526</v>
      </c>
      <c r="C9" s="98" t="s">
        <v>46</v>
      </c>
      <c r="D9" s="97">
        <v>4.5999999999999996</v>
      </c>
      <c r="E9" s="228" t="s">
        <v>750</v>
      </c>
      <c r="F9" s="314"/>
      <c r="G9" s="315"/>
      <c r="H9" s="316"/>
      <c r="I9" s="105"/>
      <c r="J9" s="105"/>
      <c r="K9" s="105"/>
    </row>
    <row r="10" spans="2:11" customFormat="1" ht="38.1" customHeight="1" x14ac:dyDescent="0.25">
      <c r="B10" s="104" t="s">
        <v>527</v>
      </c>
      <c r="C10" s="320" t="s">
        <v>492</v>
      </c>
      <c r="D10" s="97">
        <v>8.6</v>
      </c>
      <c r="E10" s="97">
        <v>2</v>
      </c>
      <c r="F10" s="314"/>
      <c r="G10" s="315"/>
      <c r="H10" s="316"/>
      <c r="I10" s="105"/>
      <c r="J10" s="105"/>
      <c r="K10" s="105"/>
    </row>
    <row r="11" spans="2:11" customFormat="1" ht="38.1" customHeight="1" x14ac:dyDescent="0.25">
      <c r="B11" s="104" t="s">
        <v>622</v>
      </c>
      <c r="C11" s="321"/>
      <c r="D11" s="97">
        <v>9.4</v>
      </c>
      <c r="E11" s="97">
        <v>2.2000000000000002</v>
      </c>
      <c r="F11" s="314"/>
      <c r="G11" s="315"/>
      <c r="H11" s="316"/>
      <c r="I11" s="105"/>
      <c r="J11" s="105"/>
      <c r="K11" s="105"/>
    </row>
    <row r="12" spans="2:11" customFormat="1" ht="38.1" customHeight="1" x14ac:dyDescent="0.25">
      <c r="B12" s="104" t="s">
        <v>529</v>
      </c>
      <c r="C12" s="322"/>
      <c r="D12" s="97">
        <v>10.199999999999999</v>
      </c>
      <c r="E12" s="97">
        <v>2.4</v>
      </c>
      <c r="F12" s="314"/>
      <c r="G12" s="315"/>
      <c r="H12" s="316"/>
      <c r="I12" s="105"/>
      <c r="J12" s="105"/>
      <c r="K12" s="105"/>
    </row>
    <row r="13" spans="2:11" customFormat="1" ht="38.1" customHeight="1" x14ac:dyDescent="0.25">
      <c r="B13" s="104" t="s">
        <v>530</v>
      </c>
      <c r="C13" s="98" t="s">
        <v>493</v>
      </c>
      <c r="D13" s="97">
        <v>6.9</v>
      </c>
      <c r="E13" s="228" t="s">
        <v>750</v>
      </c>
      <c r="F13" s="314"/>
      <c r="G13" s="315"/>
      <c r="H13" s="316"/>
      <c r="I13" s="105"/>
      <c r="J13" s="105"/>
      <c r="K13" s="105"/>
    </row>
    <row r="14" spans="2:11" customFormat="1" ht="38.1" customHeight="1" x14ac:dyDescent="0.25">
      <c r="B14" s="104" t="s">
        <v>531</v>
      </c>
      <c r="C14" s="98" t="s">
        <v>494</v>
      </c>
      <c r="D14" s="97">
        <v>4.3</v>
      </c>
      <c r="E14" s="228" t="s">
        <v>750</v>
      </c>
      <c r="F14" s="314"/>
      <c r="G14" s="315"/>
      <c r="H14" s="316"/>
      <c r="I14" s="105"/>
      <c r="J14" s="105"/>
      <c r="K14" s="105"/>
    </row>
    <row r="15" spans="2:11" customFormat="1" ht="38.1" customHeight="1" x14ac:dyDescent="0.25">
      <c r="B15" s="104" t="s">
        <v>532</v>
      </c>
      <c r="C15" s="98" t="s">
        <v>623</v>
      </c>
      <c r="D15" s="97">
        <v>5.95</v>
      </c>
      <c r="E15" s="228" t="s">
        <v>750</v>
      </c>
      <c r="F15" s="317"/>
      <c r="G15" s="318"/>
      <c r="H15" s="319"/>
      <c r="I15" s="105"/>
      <c r="J15" s="105"/>
      <c r="K15" s="105"/>
    </row>
    <row r="16" spans="2:11" ht="20.100000000000001" customHeight="1" x14ac:dyDescent="0.2">
      <c r="B16" s="305" t="s">
        <v>502</v>
      </c>
      <c r="C16" s="305"/>
      <c r="D16" s="305"/>
      <c r="E16" s="305"/>
      <c r="F16" s="305"/>
      <c r="G16" s="305"/>
      <c r="H16" s="305"/>
    </row>
    <row r="17" spans="2:11" ht="20.100000000000001" customHeight="1" x14ac:dyDescent="0.2">
      <c r="B17" s="102"/>
      <c r="C17" s="102"/>
      <c r="D17" s="102"/>
      <c r="E17" s="102"/>
      <c r="F17" s="102"/>
      <c r="G17" s="102"/>
      <c r="H17" s="102"/>
    </row>
    <row r="18" spans="2:11" ht="30.95" customHeight="1" x14ac:dyDescent="0.2">
      <c r="B18" s="307" t="s">
        <v>624</v>
      </c>
      <c r="C18" s="307"/>
      <c r="D18" s="307"/>
      <c r="E18" s="307"/>
      <c r="F18" s="307"/>
      <c r="G18" s="307"/>
      <c r="H18" s="307"/>
    </row>
    <row r="19" spans="2:11" ht="24" customHeight="1" x14ac:dyDescent="0.2">
      <c r="B19" s="111" t="s">
        <v>497</v>
      </c>
      <c r="C19" s="111" t="s">
        <v>498</v>
      </c>
      <c r="D19" s="111" t="s">
        <v>621</v>
      </c>
      <c r="E19" s="111" t="s">
        <v>500</v>
      </c>
      <c r="F19" s="312"/>
      <c r="G19" s="312"/>
      <c r="H19" s="313"/>
    </row>
    <row r="20" spans="2:11" customFormat="1" ht="38.1" customHeight="1" x14ac:dyDescent="0.25">
      <c r="B20" s="104" t="s">
        <v>362</v>
      </c>
      <c r="C20" s="103" t="s">
        <v>46</v>
      </c>
      <c r="D20" s="95">
        <v>3.7</v>
      </c>
      <c r="E20" s="229" t="s">
        <v>750</v>
      </c>
      <c r="F20" s="314"/>
      <c r="G20" s="315"/>
      <c r="H20" s="316"/>
      <c r="I20" s="105"/>
      <c r="J20" s="105"/>
      <c r="K20" s="105"/>
    </row>
    <row r="21" spans="2:11" customFormat="1" ht="38.1" customHeight="1" x14ac:dyDescent="0.25">
      <c r="B21" s="104" t="s">
        <v>549</v>
      </c>
      <c r="C21" s="98" t="s">
        <v>625</v>
      </c>
      <c r="D21" s="97">
        <v>1.8</v>
      </c>
      <c r="E21" s="228" t="s">
        <v>750</v>
      </c>
      <c r="F21" s="314"/>
      <c r="G21" s="315"/>
      <c r="H21" s="316"/>
      <c r="I21" s="105"/>
      <c r="J21" s="105"/>
      <c r="K21" s="105"/>
    </row>
    <row r="22" spans="2:11" customFormat="1" ht="38.1" customHeight="1" x14ac:dyDescent="0.25">
      <c r="B22" s="104" t="s">
        <v>361</v>
      </c>
      <c r="C22" s="98" t="s">
        <v>626</v>
      </c>
      <c r="D22" s="97">
        <v>3.7</v>
      </c>
      <c r="E22" s="228" t="s">
        <v>750</v>
      </c>
      <c r="F22" s="314"/>
      <c r="G22" s="315"/>
      <c r="H22" s="316"/>
      <c r="I22" s="105"/>
      <c r="J22" s="105"/>
      <c r="K22" s="105"/>
    </row>
    <row r="23" spans="2:11" customFormat="1" ht="38.1" customHeight="1" x14ac:dyDescent="0.25">
      <c r="B23" s="104" t="s">
        <v>353</v>
      </c>
      <c r="C23" s="309" t="s">
        <v>127</v>
      </c>
      <c r="D23" s="97">
        <v>8.6</v>
      </c>
      <c r="E23" s="97">
        <v>2</v>
      </c>
      <c r="F23" s="314"/>
      <c r="G23" s="315"/>
      <c r="H23" s="316"/>
      <c r="I23" s="105"/>
      <c r="J23" s="105"/>
      <c r="K23" s="105"/>
    </row>
    <row r="24" spans="2:11" customFormat="1" ht="38.1" customHeight="1" x14ac:dyDescent="0.25">
      <c r="B24" s="104" t="s">
        <v>627</v>
      </c>
      <c r="C24" s="310"/>
      <c r="D24" s="97">
        <v>9.4</v>
      </c>
      <c r="E24" s="97">
        <v>2.2000000000000002</v>
      </c>
      <c r="F24" s="314"/>
      <c r="G24" s="315"/>
      <c r="H24" s="316"/>
      <c r="I24" s="105"/>
      <c r="J24" s="105"/>
      <c r="K24" s="105"/>
    </row>
    <row r="25" spans="2:11" customFormat="1" ht="38.1" customHeight="1" x14ac:dyDescent="0.25">
      <c r="B25" s="104" t="s">
        <v>551</v>
      </c>
      <c r="C25" s="311"/>
      <c r="D25" s="97">
        <v>10.199999999999999</v>
      </c>
      <c r="E25" s="97">
        <v>2.4</v>
      </c>
      <c r="F25" s="314"/>
      <c r="G25" s="315"/>
      <c r="H25" s="316"/>
      <c r="I25" s="105"/>
      <c r="J25" s="105"/>
      <c r="K25" s="105"/>
    </row>
    <row r="26" spans="2:11" customFormat="1" ht="38.1" customHeight="1" x14ac:dyDescent="0.25">
      <c r="B26" s="104" t="s">
        <v>354</v>
      </c>
      <c r="C26" s="98" t="s">
        <v>628</v>
      </c>
      <c r="D26" s="97">
        <v>6.9</v>
      </c>
      <c r="E26" s="228" t="s">
        <v>750</v>
      </c>
      <c r="F26" s="314"/>
      <c r="G26" s="315"/>
      <c r="H26" s="316"/>
      <c r="I26" s="105"/>
      <c r="J26" s="105"/>
      <c r="K26" s="105"/>
    </row>
    <row r="27" spans="2:11" customFormat="1" ht="38.1" customHeight="1" x14ac:dyDescent="0.25">
      <c r="B27" s="104" t="s">
        <v>355</v>
      </c>
      <c r="C27" s="98" t="s">
        <v>629</v>
      </c>
      <c r="D27" s="97">
        <v>6.9</v>
      </c>
      <c r="E27" s="228" t="s">
        <v>750</v>
      </c>
      <c r="F27" s="314"/>
      <c r="G27" s="315"/>
      <c r="H27" s="316"/>
      <c r="I27" s="105"/>
      <c r="J27" s="105"/>
      <c r="K27" s="105"/>
    </row>
    <row r="28" spans="2:11" customFormat="1" ht="38.1" customHeight="1" x14ac:dyDescent="0.25">
      <c r="B28" s="104" t="s">
        <v>488</v>
      </c>
      <c r="C28" s="98" t="s">
        <v>489</v>
      </c>
      <c r="D28" s="97">
        <v>6</v>
      </c>
      <c r="E28" s="228" t="s">
        <v>750</v>
      </c>
      <c r="F28" s="317"/>
      <c r="G28" s="318"/>
      <c r="H28" s="319"/>
      <c r="I28" s="105"/>
      <c r="J28" s="105"/>
      <c r="K28" s="105"/>
    </row>
    <row r="29" spans="2:11" ht="20.100000000000001" customHeight="1" x14ac:dyDescent="0.2">
      <c r="B29" s="305" t="s">
        <v>502</v>
      </c>
      <c r="C29" s="305"/>
      <c r="D29" s="305"/>
      <c r="E29" s="305"/>
      <c r="F29" s="305"/>
      <c r="G29" s="305"/>
      <c r="H29" s="305"/>
    </row>
    <row r="30" spans="2:11" ht="20.100000000000001" customHeight="1" x14ac:dyDescent="0.2">
      <c r="B30" s="102"/>
      <c r="C30" s="102"/>
      <c r="D30" s="102"/>
      <c r="E30" s="102"/>
      <c r="F30" s="102"/>
      <c r="G30" s="102"/>
      <c r="H30" s="102"/>
    </row>
    <row r="31" spans="2:11" ht="30.95" customHeight="1" x14ac:dyDescent="0.2">
      <c r="B31" s="307" t="s">
        <v>630</v>
      </c>
      <c r="C31" s="307"/>
      <c r="D31" s="307"/>
      <c r="E31" s="307"/>
      <c r="F31" s="307"/>
      <c r="G31" s="307"/>
      <c r="H31" s="307"/>
    </row>
    <row r="32" spans="2:11" ht="24" customHeight="1" x14ac:dyDescent="0.2">
      <c r="B32" s="111" t="s">
        <v>497</v>
      </c>
      <c r="C32" s="111" t="s">
        <v>498</v>
      </c>
      <c r="D32" s="111" t="s">
        <v>621</v>
      </c>
      <c r="E32" s="111" t="s">
        <v>506</v>
      </c>
      <c r="F32" s="306"/>
      <c r="G32" s="306"/>
      <c r="H32" s="306"/>
    </row>
    <row r="33" spans="2:11" customFormat="1" ht="38.1" customHeight="1" x14ac:dyDescent="0.25">
      <c r="B33" s="96" t="s">
        <v>376</v>
      </c>
      <c r="C33" s="100" t="s">
        <v>126</v>
      </c>
      <c r="D33" s="95">
        <v>3.4</v>
      </c>
      <c r="E33" s="95">
        <v>1.6</v>
      </c>
      <c r="F33" s="306"/>
      <c r="G33" s="306"/>
      <c r="H33" s="306"/>
      <c r="I33" s="105"/>
      <c r="J33" s="105"/>
      <c r="K33" s="105"/>
    </row>
    <row r="34" spans="2:11" customFormat="1" ht="38.1" customHeight="1" x14ac:dyDescent="0.25">
      <c r="B34" s="96" t="s">
        <v>370</v>
      </c>
      <c r="C34" s="100" t="s">
        <v>46</v>
      </c>
      <c r="D34" s="95">
        <v>4.2</v>
      </c>
      <c r="E34" s="95">
        <v>0.9</v>
      </c>
      <c r="F34" s="306"/>
      <c r="G34" s="306"/>
      <c r="H34" s="306"/>
      <c r="I34" s="105"/>
      <c r="J34" s="105"/>
      <c r="K34" s="105"/>
    </row>
    <row r="35" spans="2:11" customFormat="1" ht="38.1" customHeight="1" x14ac:dyDescent="0.25">
      <c r="B35" s="96" t="s">
        <v>379</v>
      </c>
      <c r="C35" s="309" t="s">
        <v>492</v>
      </c>
      <c r="D35" s="95">
        <v>6.3</v>
      </c>
      <c r="E35" s="95">
        <v>1.7</v>
      </c>
      <c r="F35" s="306"/>
      <c r="G35" s="306"/>
      <c r="H35" s="306"/>
      <c r="I35" s="105"/>
      <c r="J35" s="105"/>
      <c r="K35" s="105"/>
    </row>
    <row r="36" spans="2:11" customFormat="1" ht="38.1" customHeight="1" x14ac:dyDescent="0.25">
      <c r="B36" s="96" t="s">
        <v>557</v>
      </c>
      <c r="C36" s="310"/>
      <c r="D36" s="95">
        <v>7.2</v>
      </c>
      <c r="E36" s="95">
        <v>1.7</v>
      </c>
      <c r="F36" s="306"/>
      <c r="G36" s="306"/>
      <c r="H36" s="306"/>
      <c r="I36" s="105"/>
      <c r="J36" s="105"/>
      <c r="K36" s="105"/>
    </row>
    <row r="37" spans="2:11" customFormat="1" ht="38.1" customHeight="1" x14ac:dyDescent="0.25">
      <c r="B37" s="96" t="s">
        <v>365</v>
      </c>
      <c r="C37" s="311"/>
      <c r="D37" s="95">
        <v>8.5</v>
      </c>
      <c r="E37" s="95">
        <v>1.7</v>
      </c>
      <c r="F37" s="306"/>
      <c r="G37" s="306"/>
      <c r="H37" s="306"/>
      <c r="I37" s="105"/>
      <c r="J37" s="105"/>
      <c r="K37" s="105"/>
    </row>
    <row r="38" spans="2:11" customFormat="1" ht="38.1" customHeight="1" x14ac:dyDescent="0.25">
      <c r="B38" s="96" t="s">
        <v>364</v>
      </c>
      <c r="C38" s="100" t="s">
        <v>493</v>
      </c>
      <c r="D38" s="95">
        <v>6.2</v>
      </c>
      <c r="E38" s="95">
        <v>0.8</v>
      </c>
      <c r="F38" s="306"/>
      <c r="G38" s="306"/>
      <c r="H38" s="306"/>
      <c r="I38" s="105"/>
      <c r="J38" s="105"/>
      <c r="K38" s="105"/>
    </row>
    <row r="39" spans="2:11" customFormat="1" ht="38.1" customHeight="1" x14ac:dyDescent="0.25">
      <c r="B39" s="96" t="s">
        <v>363</v>
      </c>
      <c r="C39" s="100" t="s">
        <v>494</v>
      </c>
      <c r="D39" s="95">
        <v>6.2</v>
      </c>
      <c r="E39" s="95">
        <v>0.8</v>
      </c>
      <c r="F39" s="306"/>
      <c r="G39" s="306"/>
      <c r="H39" s="306"/>
      <c r="I39" s="105"/>
      <c r="J39" s="105"/>
      <c r="K39" s="105"/>
    </row>
    <row r="40" spans="2:11" customFormat="1" ht="38.1" customHeight="1" x14ac:dyDescent="0.25">
      <c r="B40" s="96" t="s">
        <v>367</v>
      </c>
      <c r="C40" s="100" t="s">
        <v>631</v>
      </c>
      <c r="D40" s="95">
        <v>6.2</v>
      </c>
      <c r="E40" s="95" t="s">
        <v>750</v>
      </c>
      <c r="F40" s="306"/>
      <c r="G40" s="306"/>
      <c r="H40" s="306"/>
      <c r="I40" s="105"/>
      <c r="J40" s="105"/>
      <c r="K40" s="105"/>
    </row>
    <row r="41" spans="2:11" ht="20.100000000000001" customHeight="1" x14ac:dyDescent="0.2">
      <c r="B41" s="305" t="s">
        <v>502</v>
      </c>
      <c r="C41" s="305"/>
      <c r="D41" s="305"/>
      <c r="E41" s="305"/>
      <c r="F41" s="305"/>
      <c r="G41" s="305"/>
      <c r="H41" s="305"/>
    </row>
    <row r="42" spans="2:11" ht="20.100000000000001" customHeight="1" x14ac:dyDescent="0.2">
      <c r="B42" s="99"/>
      <c r="C42" s="99"/>
      <c r="D42" s="99"/>
      <c r="E42" s="99"/>
      <c r="F42" s="99"/>
      <c r="G42" s="99"/>
      <c r="H42" s="101"/>
    </row>
    <row r="43" spans="2:11" ht="30.95" customHeight="1" x14ac:dyDescent="0.2">
      <c r="B43" s="307" t="s">
        <v>632</v>
      </c>
      <c r="C43" s="307"/>
      <c r="D43" s="307"/>
      <c r="E43" s="307"/>
      <c r="F43" s="307"/>
      <c r="G43" s="307"/>
      <c r="H43" s="307"/>
    </row>
    <row r="44" spans="2:11" ht="24" customHeight="1" x14ac:dyDescent="0.2">
      <c r="B44" s="111" t="s">
        <v>497</v>
      </c>
      <c r="C44" s="111" t="s">
        <v>498</v>
      </c>
      <c r="D44" s="111" t="s">
        <v>499</v>
      </c>
      <c r="E44" s="111" t="s">
        <v>500</v>
      </c>
      <c r="F44" s="323"/>
      <c r="G44" s="306"/>
      <c r="H44" s="306"/>
    </row>
    <row r="45" spans="2:11" customFormat="1" ht="38.1" customHeight="1" x14ac:dyDescent="0.25">
      <c r="B45" s="104" t="s">
        <v>564</v>
      </c>
      <c r="C45" s="103" t="s">
        <v>633</v>
      </c>
      <c r="D45" s="95">
        <v>2.2000000000000002</v>
      </c>
      <c r="E45" s="95">
        <v>2.2000000000000002</v>
      </c>
      <c r="F45" s="306"/>
      <c r="G45" s="306"/>
      <c r="H45" s="306"/>
      <c r="I45" s="105"/>
      <c r="J45" s="105"/>
      <c r="K45" s="105"/>
    </row>
    <row r="46" spans="2:11" customFormat="1" ht="38.1" customHeight="1" x14ac:dyDescent="0.25">
      <c r="B46" s="94" t="s">
        <v>565</v>
      </c>
      <c r="C46" s="98" t="s">
        <v>503</v>
      </c>
      <c r="D46" s="95">
        <v>2.2000000000000002</v>
      </c>
      <c r="E46" s="95">
        <v>1.1000000000000001</v>
      </c>
      <c r="F46" s="306"/>
      <c r="G46" s="306"/>
      <c r="H46" s="306"/>
      <c r="I46" s="105"/>
      <c r="J46" s="105"/>
      <c r="K46" s="105"/>
    </row>
    <row r="47" spans="2:11" customFormat="1" ht="38.1" customHeight="1" x14ac:dyDescent="0.25">
      <c r="B47" s="94" t="s">
        <v>566</v>
      </c>
      <c r="C47" s="98" t="s">
        <v>634</v>
      </c>
      <c r="D47" s="95">
        <v>2.2000000000000002</v>
      </c>
      <c r="E47" s="95">
        <v>1.1000000000000001</v>
      </c>
      <c r="F47" s="306"/>
      <c r="G47" s="306"/>
      <c r="H47" s="306"/>
      <c r="I47" s="105"/>
      <c r="J47" s="105"/>
      <c r="K47" s="105"/>
    </row>
    <row r="48" spans="2:11" customFormat="1" ht="38.1" customHeight="1" x14ac:dyDescent="0.25">
      <c r="B48" s="94" t="s">
        <v>567</v>
      </c>
      <c r="C48" s="309" t="s">
        <v>504</v>
      </c>
      <c r="D48" s="95">
        <v>4.0999999999999996</v>
      </c>
      <c r="E48" s="95">
        <v>2.2999999999999998</v>
      </c>
      <c r="F48" s="306"/>
      <c r="G48" s="306"/>
      <c r="H48" s="306"/>
      <c r="I48" s="105"/>
      <c r="J48" s="105"/>
      <c r="K48" s="105"/>
    </row>
    <row r="49" spans="2:11" customFormat="1" ht="38.1" customHeight="1" x14ac:dyDescent="0.25">
      <c r="B49" s="94" t="s">
        <v>568</v>
      </c>
      <c r="C49" s="310"/>
      <c r="D49" s="95">
        <v>5.0999999999999996</v>
      </c>
      <c r="E49" s="95">
        <v>2.8</v>
      </c>
      <c r="F49" s="306"/>
      <c r="G49" s="306"/>
      <c r="H49" s="306"/>
      <c r="I49" s="105"/>
      <c r="J49" s="105"/>
      <c r="K49" s="105"/>
    </row>
    <row r="50" spans="2:11" customFormat="1" ht="38.1" customHeight="1" x14ac:dyDescent="0.25">
      <c r="B50" s="94" t="s">
        <v>569</v>
      </c>
      <c r="C50" s="311"/>
      <c r="D50" s="95">
        <v>6.1</v>
      </c>
      <c r="E50" s="95">
        <v>3.5</v>
      </c>
      <c r="F50" s="306"/>
      <c r="G50" s="306"/>
      <c r="H50" s="306"/>
      <c r="I50" s="105"/>
      <c r="J50" s="105"/>
      <c r="K50" s="105"/>
    </row>
    <row r="51" spans="2:11" customFormat="1" ht="38.1" customHeight="1" x14ac:dyDescent="0.25">
      <c r="B51" s="94" t="s">
        <v>570</v>
      </c>
      <c r="C51" s="309" t="s">
        <v>505</v>
      </c>
      <c r="D51" s="95">
        <v>4.0999999999999996</v>
      </c>
      <c r="E51" s="95">
        <v>2.2999999999999998</v>
      </c>
      <c r="F51" s="306"/>
      <c r="G51" s="306"/>
      <c r="H51" s="306"/>
      <c r="I51" s="105"/>
      <c r="J51" s="105"/>
      <c r="K51" s="105"/>
    </row>
    <row r="52" spans="2:11" customFormat="1" ht="38.1" customHeight="1" x14ac:dyDescent="0.25">
      <c r="B52" s="94" t="s">
        <v>571</v>
      </c>
      <c r="C52" s="310"/>
      <c r="D52" s="95">
        <v>5.0999999999999996</v>
      </c>
      <c r="E52" s="95">
        <v>2.8</v>
      </c>
      <c r="F52" s="306"/>
      <c r="G52" s="306"/>
      <c r="H52" s="306"/>
      <c r="I52" s="105"/>
      <c r="J52" s="105"/>
      <c r="K52" s="105"/>
    </row>
    <row r="53" spans="2:11" customFormat="1" ht="38.1" customHeight="1" x14ac:dyDescent="0.25">
      <c r="B53" s="94" t="s">
        <v>572</v>
      </c>
      <c r="C53" s="311"/>
      <c r="D53" s="95">
        <v>6.1</v>
      </c>
      <c r="E53" s="95">
        <v>3.5</v>
      </c>
      <c r="F53" s="306"/>
      <c r="G53" s="306"/>
      <c r="H53" s="306"/>
      <c r="I53" s="105"/>
      <c r="J53" s="105"/>
      <c r="K53" s="105"/>
    </row>
    <row r="54" spans="2:11" customFormat="1" ht="38.1" customHeight="1" x14ac:dyDescent="0.25">
      <c r="B54" s="94" t="s">
        <v>573</v>
      </c>
      <c r="C54" s="309" t="s">
        <v>635</v>
      </c>
      <c r="D54" s="95">
        <v>4.0999999999999996</v>
      </c>
      <c r="E54" s="95">
        <v>2.2999999999999998</v>
      </c>
      <c r="F54" s="306"/>
      <c r="G54" s="306"/>
      <c r="H54" s="306"/>
      <c r="I54" s="105"/>
      <c r="J54" s="105"/>
      <c r="K54" s="105"/>
    </row>
    <row r="55" spans="2:11" customFormat="1" ht="38.1" customHeight="1" x14ac:dyDescent="0.25">
      <c r="B55" s="94" t="s">
        <v>574</v>
      </c>
      <c r="C55" s="310"/>
      <c r="D55" s="95">
        <v>5.0999999999999996</v>
      </c>
      <c r="E55" s="95">
        <v>2.8</v>
      </c>
      <c r="F55" s="306"/>
      <c r="G55" s="306"/>
      <c r="H55" s="306"/>
      <c r="I55" s="105"/>
      <c r="J55" s="105"/>
      <c r="K55" s="105"/>
    </row>
    <row r="56" spans="2:11" customFormat="1" ht="38.1" customHeight="1" x14ac:dyDescent="0.25">
      <c r="B56" s="94" t="s">
        <v>575</v>
      </c>
      <c r="C56" s="311"/>
      <c r="D56" s="95">
        <v>6.1</v>
      </c>
      <c r="E56" s="95">
        <v>3.5</v>
      </c>
      <c r="F56" s="306"/>
      <c r="G56" s="306"/>
      <c r="H56" s="306"/>
      <c r="I56" s="105"/>
      <c r="J56" s="105"/>
      <c r="K56" s="105"/>
    </row>
    <row r="57" spans="2:11" customFormat="1" ht="38.1" customHeight="1" x14ac:dyDescent="0.25">
      <c r="B57" s="94" t="s">
        <v>576</v>
      </c>
      <c r="C57" s="309" t="s">
        <v>636</v>
      </c>
      <c r="D57" s="95">
        <v>4.0999999999999996</v>
      </c>
      <c r="E57" s="95">
        <v>2.2999999999999998</v>
      </c>
      <c r="F57" s="306"/>
      <c r="G57" s="306"/>
      <c r="H57" s="306"/>
      <c r="I57" s="105"/>
      <c r="J57" s="105"/>
      <c r="K57" s="105"/>
    </row>
    <row r="58" spans="2:11" customFormat="1" ht="38.1" customHeight="1" x14ac:dyDescent="0.25">
      <c r="B58" s="94" t="s">
        <v>577</v>
      </c>
      <c r="C58" s="310"/>
      <c r="D58" s="95">
        <v>5.0999999999999996</v>
      </c>
      <c r="E58" s="95">
        <v>2.8</v>
      </c>
      <c r="F58" s="306"/>
      <c r="G58" s="306"/>
      <c r="H58" s="306"/>
      <c r="I58" s="105"/>
      <c r="J58" s="105"/>
      <c r="K58" s="105"/>
    </row>
    <row r="59" spans="2:11" customFormat="1" ht="38.1" customHeight="1" x14ac:dyDescent="0.25">
      <c r="B59" s="94" t="s">
        <v>578</v>
      </c>
      <c r="C59" s="311"/>
      <c r="D59" s="95">
        <v>6.1</v>
      </c>
      <c r="E59" s="95">
        <v>3.5</v>
      </c>
      <c r="F59" s="306"/>
      <c r="G59" s="306"/>
      <c r="H59" s="306"/>
      <c r="I59" s="105"/>
      <c r="J59" s="105"/>
      <c r="K59" s="105"/>
    </row>
    <row r="60" spans="2:11" ht="20.100000000000001" customHeight="1" x14ac:dyDescent="0.2">
      <c r="B60" s="305" t="s">
        <v>502</v>
      </c>
      <c r="C60" s="305"/>
      <c r="D60" s="305"/>
      <c r="E60" s="305"/>
      <c r="F60" s="305"/>
      <c r="G60" s="305"/>
      <c r="H60" s="305"/>
    </row>
    <row r="61" spans="2:11" ht="20.100000000000001" customHeight="1" x14ac:dyDescent="0.2">
      <c r="B61" s="102"/>
      <c r="C61" s="102"/>
      <c r="D61" s="102"/>
      <c r="E61" s="102"/>
      <c r="F61" s="102"/>
      <c r="G61" s="102"/>
      <c r="H61" s="102"/>
    </row>
  </sheetData>
  <sheetProtection algorithmName="SHA-512" hashValue="nNhDyO6rl0DXPdDB1GFlIpYqN5HzrRGl4IR4KmZS1NI9KtX8Ia3xWzi5n1I+LtztFsrq5tyCQGyrRH8+S5R7GA==" saltValue="3/uWmbu4SxBvKwnuZImuog==" spinCount="100000" sheet="1" objects="1" scenarios="1"/>
  <mergeCells count="21">
    <mergeCell ref="F44:H59"/>
    <mergeCell ref="C48:C50"/>
    <mergeCell ref="C51:C53"/>
    <mergeCell ref="C54:C56"/>
    <mergeCell ref="C57:C59"/>
    <mergeCell ref="B60:H60"/>
    <mergeCell ref="F32:H40"/>
    <mergeCell ref="B18:H18"/>
    <mergeCell ref="B2:H2"/>
    <mergeCell ref="B4:H4"/>
    <mergeCell ref="B6:H6"/>
    <mergeCell ref="C23:C25"/>
    <mergeCell ref="B29:H29"/>
    <mergeCell ref="F7:H15"/>
    <mergeCell ref="F19:H28"/>
    <mergeCell ref="B16:H16"/>
    <mergeCell ref="C10:C12"/>
    <mergeCell ref="B31:H31"/>
    <mergeCell ref="C35:C37"/>
    <mergeCell ref="B41:H41"/>
    <mergeCell ref="B43:H43"/>
  </mergeCells>
  <pageMargins left="0.511811024" right="0.511811024" top="0.78740157499999996" bottom="0.78740157499999996" header="0.31496062000000002" footer="0.31496062000000002"/>
  <pageSetup scale="7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9"/>
  <sheetViews>
    <sheetView showGridLines="0" workbookViewId="0">
      <selection activeCell="H10" sqref="H10"/>
    </sheetView>
  </sheetViews>
  <sheetFormatPr defaultColWidth="8.85546875" defaultRowHeight="11.25" x14ac:dyDescent="0.2"/>
  <cols>
    <col min="1" max="1" width="6.42578125" style="93" customWidth="1"/>
    <col min="2" max="2" width="27" style="93" customWidth="1"/>
    <col min="3" max="3" width="60.7109375" style="93" bestFit="1" customWidth="1"/>
    <col min="4" max="4" width="33.28515625" style="93" customWidth="1"/>
    <col min="5" max="5" width="25.28515625" style="93" customWidth="1"/>
    <col min="6" max="16384" width="8.85546875" style="93"/>
  </cols>
  <sheetData>
    <row r="1" spans="2:7" ht="117.95" customHeight="1" x14ac:dyDescent="0.2"/>
    <row r="2" spans="2:7" ht="65.099999999999994" customHeight="1" x14ac:dyDescent="0.2">
      <c r="B2" s="308" t="s">
        <v>752</v>
      </c>
      <c r="C2" s="308"/>
      <c r="D2" s="308"/>
    </row>
    <row r="3" spans="2:7" ht="6" customHeight="1" x14ac:dyDescent="0.2">
      <c r="B3" s="110"/>
      <c r="C3" s="110"/>
      <c r="D3" s="110"/>
    </row>
    <row r="4" spans="2:7" ht="30.95" customHeight="1" x14ac:dyDescent="0.2">
      <c r="B4" s="324" t="s">
        <v>763</v>
      </c>
      <c r="C4" s="324"/>
      <c r="D4" s="324"/>
    </row>
    <row r="5" spans="2:7" ht="24" customHeight="1" x14ac:dyDescent="0.2">
      <c r="B5" s="111" t="s">
        <v>497</v>
      </c>
      <c r="C5" s="111" t="s">
        <v>498</v>
      </c>
      <c r="D5" s="111" t="s">
        <v>754</v>
      </c>
    </row>
    <row r="6" spans="2:7" ht="30" customHeight="1" x14ac:dyDescent="0.2">
      <c r="B6" s="104" t="s">
        <v>755</v>
      </c>
      <c r="C6" s="98" t="s">
        <v>761</v>
      </c>
      <c r="D6" s="97" t="s">
        <v>756</v>
      </c>
    </row>
    <row r="7" spans="2:7" ht="30" customHeight="1" x14ac:dyDescent="0.2">
      <c r="B7" s="104" t="s">
        <v>540</v>
      </c>
      <c r="C7" s="98" t="s">
        <v>757</v>
      </c>
      <c r="D7" s="97" t="s">
        <v>756</v>
      </c>
    </row>
    <row r="8" spans="2:7" ht="30" customHeight="1" x14ac:dyDescent="0.2">
      <c r="B8" s="104" t="s">
        <v>368</v>
      </c>
      <c r="C8" s="98" t="s">
        <v>758</v>
      </c>
      <c r="D8" s="97" t="s">
        <v>753</v>
      </c>
    </row>
    <row r="9" spans="2:7" customFormat="1" ht="38.1" customHeight="1" x14ac:dyDescent="0.25">
      <c r="B9" s="104" t="s">
        <v>759</v>
      </c>
      <c r="C9" s="94" t="s">
        <v>762</v>
      </c>
      <c r="D9" s="97" t="s">
        <v>760</v>
      </c>
      <c r="E9" s="105"/>
      <c r="F9" s="105"/>
      <c r="G9" s="105"/>
    </row>
  </sheetData>
  <sheetProtection algorithmName="SHA-512" hashValue="rDKDLSvOTirmy48m5sGVEyAUFNqvUunJySQosBP0SCVWCWplPQ/txZDw+vGIsiO1rmIsXZVGlAg5DvCbe7/Ttg==" saltValue="KdG/bNZ4uAWwDK3H0f5cxQ==" spinCount="100000" sheet="1" objects="1" scenarios="1"/>
  <mergeCells count="2">
    <mergeCell ref="B2:D2"/>
    <mergeCell ref="B4:D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85546875"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Plan1</vt:lpstr>
      <vt:lpstr>Tabela 2023 - Price List 2023</vt:lpstr>
      <vt:lpstr>Tabela de Capas</vt:lpstr>
      <vt:lpstr>Condições - Conditions</vt:lpstr>
      <vt:lpstr>Mts Tecido Fornecido</vt:lpstr>
      <vt:lpstr>Tabela de OBS</vt:lpstr>
      <vt:lpstr>Markup</vt:lpstr>
      <vt:lpstr>'Condições - Conditions'!Area_de_impressao</vt:lpstr>
      <vt:lpstr>Plan1!Area_de_impressao</vt:lpstr>
      <vt:lpstr>'Tabela 2023 - Price List 2023'!Area_de_impressao</vt:lpstr>
    </vt:vector>
  </TitlesOfParts>
  <Company>Compusystem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Compras</cp:lastModifiedBy>
  <cp:lastPrinted>2023-04-25T17:11:04Z</cp:lastPrinted>
  <dcterms:created xsi:type="dcterms:W3CDTF">2012-01-24T17:46:33Z</dcterms:created>
  <dcterms:modified xsi:type="dcterms:W3CDTF">2024-09-18T12:31:31Z</dcterms:modified>
</cp:coreProperties>
</file>